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C325E606-2907-498A-838A-2CB5AFD85F3E}" xr6:coauthVersionLast="47" xr6:coauthVersionMax="47" xr10:uidLastSave="{00000000-0000-0000-0000-000000000000}"/>
  <bookViews>
    <workbookView xWindow="0" yWindow="0" windowWidth="28800" windowHeight="1548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<sst xmlns="http://schemas.openxmlformats.org/spreadsheetml/2006/main" count="9522" uniqueCount="2068">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</sst>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1</v>
      </c>
      <c r="G2">
        <f>VLOOKUP(B2,raw!A:K,2,0)+VLOOKUP(B2,raw!A:K,10,0)</f>
        <v>2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71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1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41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2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85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2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141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3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134</v>
      </c>
      <c r="E8">
        <f>VLOOKUP(B8,raw!A:K,4,0)</f>
        <v>0</v>
      </c>
      <c r="F8">
        <f>VLOOKUP(B8,raw!A:K,5,0)</f>
        <v>0</v>
      </c>
      <c r="G8">
        <f>VLOOKUP(B8,raw!A:K,2,0)+VLOOKUP(B8,raw!A:K,10,0)</f>
        <v>3</v>
      </c>
      <c r="H8">
        <f>VLOOKUP(B8,raw!A:K,6,0)</f>
        <v>0</v>
      </c>
      <c r="I8">
        <f>VLOOKUP(B8,raw!A:K,9,0)</f>
        <v>35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90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12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202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4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109</v>
      </c>
      <c r="E13">
        <f>VLOOKUP(B13,raw!A:K,4,0)</f>
        <v>1</v>
      </c>
      <c r="F13">
        <f>VLOOKUP(B13,raw!A:K,5,0)</f>
        <v>15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5</v>
      </c>
      <c r="F14">
        <f>VLOOKUP(B14,raw!A:K,5,0)</f>
        <v>1</v>
      </c>
      <c r="G14">
        <f>VLOOKUP(B14,raw!A:K,2,0)+VLOOKUP(B14,raw!A:K,10,0)</f>
        <v>2</v>
      </c>
      <c r="H14">
        <f>VLOOKUP(B14,raw!A:K,6,0)</f>
        <v>0</v>
      </c>
      <c r="I14">
        <f>VLOOKUP(B14,raw!A:K,9,0)</f>
        <v>12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15</v>
      </c>
      <c r="F15">
        <f>VLOOKUP(B15,raw!A:K,5,0)</f>
        <v>11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17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1</v>
      </c>
      <c r="F17">
        <f>VLOOKUP(B17,raw!A:K,5,0)</f>
        <v>11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13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4</v>
      </c>
      <c r="F18">
        <f>VLOOKUP(B18,raw!A:K,5,0)</f>
        <v>1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3</v>
      </c>
      <c r="F21">
        <f>VLOOKUP(B21,raw!A:K,5,0)</f>
        <v>1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11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7</v>
      </c>
      <c r="F22">
        <f>VLOOKUP(B22,raw!A:K,5,0)</f>
        <v>4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5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10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11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1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1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1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67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24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64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1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52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1</v>
      </c>
      <c r="F38">
        <f>VLOOKUP(B38,raw!A:K,5,0)</f>
        <v>3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4</v>
      </c>
      <c r="F39">
        <f>VLOOKUP(B39,raw!A:K,5,0)</f>
        <v>2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39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17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52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9</v>
      </c>
      <c r="F41">
        <f>VLOOKUP(B41,raw!A:K,5,0)</f>
        <v>4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12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61</v>
      </c>
      <c r="D42">
        <f>VLOOKUP(B42,raw!A:K,3,0)+VLOOKUP(B42,raw!A:K,7,0)</f>
        <v>0</v>
      </c>
      <c r="E42">
        <f>VLOOKUP(B42,raw!A:K,4,0)</f>
        <v>1</v>
      </c>
      <c r="F42">
        <f>VLOOKUP(B42,raw!A:K,5,0)</f>
        <v>12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48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46</v>
      </c>
      <c r="D43">
        <f>VLOOKUP(B43,raw!A:K,3,0)+VLOOKUP(B43,raw!A:K,7,0)</f>
        <v>0</v>
      </c>
      <c r="E43">
        <f>VLOOKUP(B43,raw!A:K,4,0)</f>
        <v>3</v>
      </c>
      <c r="F43">
        <f>VLOOKUP(B43,raw!A:K,5,0)</f>
        <v>14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29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86</v>
      </c>
      <c r="D44">
        <f>VLOOKUP(B44,raw!A:K,3,0)+VLOOKUP(B44,raw!A:K,7,0)</f>
        <v>0</v>
      </c>
      <c r="E44">
        <f>VLOOKUP(B44,raw!A:K,4,0)</f>
        <v>9</v>
      </c>
      <c r="F44">
        <f>VLOOKUP(B44,raw!A:K,5,0)</f>
        <v>3</v>
      </c>
      <c r="G44">
        <f>VLOOKUP(B44,raw!A:K,2,0)+VLOOKUP(B44,raw!A:K,10,0)</f>
        <v>1</v>
      </c>
      <c r="H44">
        <f>VLOOKUP(B44,raw!A:K,6,0)</f>
        <v>0</v>
      </c>
      <c r="I44">
        <f>VLOOKUP(B44,raw!A:K,9,0)</f>
        <v>73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4</v>
      </c>
      <c r="F45">
        <f>VLOOKUP(B45,raw!A:K,5,0)</f>
        <v>5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52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2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57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2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51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3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89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2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1</v>
      </c>
      <c r="H52">
        <f>VLOOKUP(B52,raw!A:K,6,0)</f>
        <v>2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96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132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1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73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77</v>
      </c>
      <c r="D59">
        <f>VLOOKUP(B59,raw!A:K,3,0)+VLOOKUP(B59,raw!A:K,7,0)</f>
        <v>75</v>
      </c>
      <c r="E59">
        <f>VLOOKUP(B59,raw!A:K,4,0)</f>
        <v>1</v>
      </c>
      <c r="F59">
        <f>VLOOKUP(B59,raw!A:K,5,0)</f>
        <v>1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0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9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1</v>
      </c>
      <c r="F61">
        <f>VLOOKUP(B61,raw!A:K,5,0)</f>
        <v>12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30</v>
      </c>
      <c r="E62">
        <f>VLOOKUP(B62,raw!A:K,4,0)</f>
        <v>0</v>
      </c>
      <c r="F62">
        <f>VLOOKUP(B62,raw!A:K,5,0)</f>
        <v>9</v>
      </c>
      <c r="G62">
        <f>VLOOKUP(B62,raw!A:K,2,0)+VLOOKUP(B62,raw!A:K,10,0)</f>
        <v>1</v>
      </c>
      <c r="H62">
        <f>VLOOKUP(B62,raw!A:K,6,0)</f>
        <v>0</v>
      </c>
      <c r="I62">
        <f>VLOOKUP(B62,raw!A:K,9,0)</f>
        <v>32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31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8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20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</v>
      </c>
      <c r="F64">
        <f>VLOOKUP(B64,raw!A:K,5,0)</f>
        <v>18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16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2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4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82</v>
      </c>
      <c r="D66">
        <f>VLOOKUP(B66,raw!A:K,3,0)+VLOOKUP(B66,raw!A:K,7,0)</f>
        <v>0</v>
      </c>
      <c r="E66">
        <f>VLOOKUP(B66,raw!A:K,4,0)</f>
        <v>1</v>
      </c>
      <c r="F66">
        <f>VLOOKUP(B66,raw!A:K,5,0)</f>
        <v>50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30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7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1</v>
      </c>
      <c r="F68">
        <f>VLOOKUP(B68,raw!A:K,5,0)</f>
        <v>1</v>
      </c>
      <c r="G68">
        <f>VLOOKUP(B68,raw!A:K,2,0)+VLOOKUP(B68,raw!A:K,10,0)</f>
        <v>4</v>
      </c>
      <c r="H68">
        <f>VLOOKUP(B68,raw!A:K,6,0)</f>
        <v>1</v>
      </c>
      <c r="I68">
        <f>VLOOKUP(B68,raw!A:K,9,0)</f>
        <v>4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6</v>
      </c>
      <c r="H69">
        <f>VLOOKUP(B69,raw!A:K,6,0)</f>
        <v>0</v>
      </c>
      <c r="I69">
        <f>VLOOKUP(B69,raw!A:K,9,0)</f>
        <v>0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47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3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20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3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45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49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46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1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34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3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43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15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1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33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20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8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40</v>
      </c>
      <c r="D86">
        <f>VLOOKUP(B86,raw!A:K,3,0)+VLOOKUP(B86,raw!A:K,7,0)</f>
        <v>13</v>
      </c>
      <c r="E86">
        <f>VLOOKUP(B86,raw!A:K,4,0)</f>
        <v>0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20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40</v>
      </c>
      <c r="D87">
        <f>VLOOKUP(B87,raw!A:K,3,0)+VLOOKUP(B87,raw!A:K,7,0)</f>
        <v>11</v>
      </c>
      <c r="E87">
        <f>VLOOKUP(B87,raw!A:K,4,0)</f>
        <v>2</v>
      </c>
      <c r="F87">
        <f>VLOOKUP(B87,raw!A:K,5,0)</f>
        <v>9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18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45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2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28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2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69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38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1</v>
      </c>
      <c r="F96">
        <f>VLOOKUP(B96,raw!A:K,5,0)</f>
        <v>1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58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52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3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33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1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1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48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2</v>
      </c>
      <c r="H104">
        <f>VLOOKUP(B104,raw!A:K,6,0)</f>
        <v>0</v>
      </c>
      <c r="I104">
        <f>VLOOKUP(B104,raw!A:K,9,0)</f>
        <v>1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39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45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21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51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27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1</v>
      </c>
      <c r="H112">
        <f>VLOOKUP(B112,raw!A:K,6,0)</f>
        <v>0</v>
      </c>
      <c r="I112">
        <f>VLOOKUP(B112,raw!A:K,9,0)</f>
        <v>1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1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69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12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57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26</v>
      </c>
      <c r="G117">
        <f>VLOOKUP(B117,raw!A:K,2,0)+VLOOKUP(B117,raw!A:K,10,0)</f>
        <v>2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1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1</v>
      </c>
      <c r="H121">
        <f>VLOOKUP(B121,raw!A:K,6,0)</f>
        <v>0</v>
      </c>
      <c r="I121">
        <f>VLOOKUP(B121,raw!A:K,9,0)</f>
        <v>110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0</v>
      </c>
      <c r="F122">
        <f>VLOOKUP(B122,raw!A:K,5,0)</f>
        <v>2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56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71</v>
      </c>
      <c r="D123">
        <f>VLOOKUP(B123,raw!A:K,3,0)+VLOOKUP(B123,raw!A:K,7,0)</f>
        <v>57</v>
      </c>
      <c r="E123">
        <f>VLOOKUP(B123,raw!A:K,4,0)</f>
        <v>5</v>
      </c>
      <c r="F123">
        <f>VLOOKUP(B123,raw!A:K,5,0)</f>
        <v>0</v>
      </c>
      <c r="G123">
        <f>VLOOKUP(B123,raw!A:K,2,0)+VLOOKUP(B123,raw!A:K,10,0)</f>
        <v>1</v>
      </c>
      <c r="H123">
        <f>VLOOKUP(B123,raw!A:K,6,0)</f>
        <v>0</v>
      </c>
      <c r="I123">
        <f>VLOOKUP(B123,raw!A:K,9,0)</f>
        <v>8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80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7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62</v>
      </c>
      <c r="E125">
        <f>VLOOKUP(B125,raw!A:K,4,0)</f>
        <v>1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73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6</v>
      </c>
      <c r="H126">
        <f>VLOOKUP(B126,raw!A:K,6,0)</f>
        <v>0</v>
      </c>
      <c r="I126">
        <f>VLOOKUP(B126,raw!A:K,9,0)</f>
        <v>1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43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1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82</v>
      </c>
      <c r="D130">
        <f>VLOOKUP(B130,raw!A:K,3,0)+VLOOKUP(B130,raw!A:K,7,0)</f>
        <v>0</v>
      </c>
      <c r="E130">
        <f>VLOOKUP(B130,raw!A:K,4,0)</f>
        <v>4</v>
      </c>
      <c r="F130">
        <f>VLOOKUP(B130,raw!A:K,5,0)</f>
        <v>37</v>
      </c>
      <c r="G130">
        <f>VLOOKUP(B130,raw!A:K,2,0)+VLOOKUP(B130,raw!A:K,10,0)</f>
        <v>2</v>
      </c>
      <c r="H130">
        <f>VLOOKUP(B130,raw!A:K,6,0)</f>
        <v>0</v>
      </c>
      <c r="I130">
        <f>VLOOKUP(B130,raw!A:K,9,0)</f>
        <v>39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60</v>
      </c>
      <c r="D131">
        <f>VLOOKUP(B131,raw!A:K,3,0)+VLOOKUP(B131,raw!A:K,7,0)</f>
        <v>0</v>
      </c>
      <c r="E131">
        <f>VLOOKUP(B131,raw!A:K,4,0)</f>
        <v>33</v>
      </c>
      <c r="F131">
        <f>VLOOKUP(B131,raw!A:K,5,0)</f>
        <v>12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15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89</v>
      </c>
      <c r="D132">
        <f>VLOOKUP(B132,raw!A:K,3,0)+VLOOKUP(B132,raw!A:K,7,0)</f>
        <v>45</v>
      </c>
      <c r="E132">
        <f>VLOOKUP(B132,raw!A:K,4,0)</f>
        <v>0</v>
      </c>
      <c r="F132">
        <f>VLOOKUP(B132,raw!A:K,5,0)</f>
        <v>2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42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56</v>
      </c>
      <c r="D133">
        <f>VLOOKUP(B133,raw!A:K,3,0)+VLOOKUP(B133,raw!A:K,7,0)</f>
        <v>42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1</v>
      </c>
      <c r="H133">
        <f>VLOOKUP(B133,raw!A:K,6,0)</f>
        <v>0</v>
      </c>
      <c r="I133">
        <f>VLOOKUP(B133,raw!A:K,9,0)</f>
        <v>13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40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1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2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50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115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3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143</v>
      </c>
      <c r="D137">
        <f>VLOOKUP(B137,raw!A:K,3,0)+VLOOKUP(B137,raw!A:K,7,0)</f>
        <v>135</v>
      </c>
      <c r="E137">
        <f>VLOOKUP(B137,raw!A:K,4,0)</f>
        <v>0</v>
      </c>
      <c r="F137">
        <f>VLOOKUP(B137,raw!A:K,5,0)</f>
        <v>2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6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1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217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1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6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74</v>
      </c>
      <c r="D141">
        <f>VLOOKUP(B141,raw!A:K,3,0)+VLOOKUP(B141,raw!A:K,7,0)</f>
        <v>35</v>
      </c>
      <c r="E141">
        <f>VLOOKUP(B141,raw!A:K,4,0)</f>
        <v>0</v>
      </c>
      <c r="F141">
        <f>VLOOKUP(B141,raw!A:K,5,0)</f>
        <v>1</v>
      </c>
      <c r="G141">
        <f>VLOOKUP(B141,raw!A:K,2,0)+VLOOKUP(B141,raw!A:K,10,0)</f>
        <v>1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152</v>
      </c>
      <c r="D142">
        <f>VLOOKUP(B142,raw!A:K,3,0)+VLOOKUP(B142,raw!A:K,7,0)</f>
        <v>114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13</v>
      </c>
      <c r="H142">
        <f>VLOOKUP(B142,raw!A:K,6,0)</f>
        <v>0</v>
      </c>
      <c r="I142">
        <f>VLOOKUP(B142,raw!A:K,9,0)</f>
        <v>23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120</v>
      </c>
      <c r="D143">
        <f>VLOOKUP(B143,raw!A:K,3,0)+VLOOKUP(B143,raw!A:K,7,0)</f>
        <v>16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3</v>
      </c>
      <c r="H143">
        <f>VLOOKUP(B143,raw!A:K,6,0)</f>
        <v>0</v>
      </c>
      <c r="I143">
        <f>VLOOKUP(B143,raw!A:K,9,0)</f>
        <v>101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161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2</v>
      </c>
      <c r="H144">
        <f>VLOOKUP(B144,raw!A:K,6,0)</f>
        <v>0</v>
      </c>
      <c r="I144">
        <f>VLOOKUP(B144,raw!A:K,9,0)</f>
        <v>91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30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1</v>
      </c>
      <c r="H145">
        <f>VLOOKUP(B145,raw!A:K,6,0)</f>
        <v>0</v>
      </c>
      <c r="I145">
        <f>VLOOKUP(B145,raw!A:K,9,0)</f>
        <v>29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138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4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121</v>
      </c>
      <c r="D147">
        <f>VLOOKUP(B147,raw!A:K,3,0)+VLOOKUP(B147,raw!A:K,7,0)</f>
        <v>91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4</v>
      </c>
      <c r="H147">
        <f>VLOOKUP(B147,raw!A:K,6,0)</f>
        <v>0</v>
      </c>
      <c r="I147">
        <f>VLOOKUP(B147,raw!A:K,9,0)</f>
        <v>26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158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3</v>
      </c>
      <c r="H148">
        <f>VLOOKUP(B148,raw!A:K,6,0)</f>
        <v>0</v>
      </c>
      <c r="I148">
        <f>VLOOKUP(B148,raw!A:K,9,0)</f>
        <v>90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93</v>
      </c>
      <c r="D149">
        <f>VLOOKUP(B149,raw!A:K,3,0)+VLOOKUP(B149,raw!A:K,7,0)</f>
        <v>0</v>
      </c>
      <c r="E149">
        <f>VLOOKUP(B149,raw!A:K,4,0)</f>
        <v>5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100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2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2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93</v>
      </c>
      <c r="D152">
        <f>VLOOKUP(B152,raw!A:K,3,0)+VLOOKUP(B152,raw!A:K,7,0)</f>
        <v>92</v>
      </c>
      <c r="E152">
        <f>VLOOKUP(B152,raw!A:K,4,0)</f>
        <v>1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3</v>
      </c>
      <c r="F154">
        <f>VLOOKUP(B154,raw!A:K,5,0)</f>
        <v>1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22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225</v>
      </c>
      <c r="D155">
        <f>VLOOKUP(B155,raw!A:K,3,0)+VLOOKUP(B155,raw!A:K,7,0)</f>
        <v>210</v>
      </c>
      <c r="E155">
        <f>VLOOKUP(B155,raw!A:K,4,0)</f>
        <v>5</v>
      </c>
      <c r="F155">
        <f>VLOOKUP(B155,raw!A:K,5,0)</f>
        <v>0</v>
      </c>
      <c r="G155">
        <f>VLOOKUP(B155,raw!A:K,2,0)+VLOOKUP(B155,raw!A:K,10,0)</f>
        <v>5</v>
      </c>
      <c r="H155">
        <f>VLOOKUP(B155,raw!A:K,6,0)</f>
        <v>0</v>
      </c>
      <c r="I155">
        <f>VLOOKUP(B155,raw!A:K,9,0)</f>
        <v>5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249</v>
      </c>
      <c r="D156">
        <f>VLOOKUP(B156,raw!A:K,3,0)+VLOOKUP(B156,raw!A:K,7,0)</f>
        <v>93</v>
      </c>
      <c r="E156">
        <f>VLOOKUP(B156,raw!A:K,4,0)</f>
        <v>2</v>
      </c>
      <c r="F156">
        <f>VLOOKUP(B156,raw!A:K,5,0)</f>
        <v>0</v>
      </c>
      <c r="G156">
        <f>VLOOKUP(B156,raw!A:K,2,0)+VLOOKUP(B156,raw!A:K,10,0)</f>
        <v>3</v>
      </c>
      <c r="H156">
        <f>VLOOKUP(B156,raw!A:K,6,0)</f>
        <v>0</v>
      </c>
      <c r="I156">
        <f>VLOOKUP(B156,raw!A:K,9,0)</f>
        <v>151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233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2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34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3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48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8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52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1</v>
      </c>
      <c r="F162">
        <f>VLOOKUP(B162,raw!A:K,5,0)</f>
        <v>5</v>
      </c>
      <c r="G162">
        <f>VLOOKUP(B162,raw!A:K,2,0)+VLOOKUP(B162,raw!A:K,10,0)</f>
        <v>1</v>
      </c>
      <c r="H162">
        <f>VLOOKUP(B162,raw!A:K,6,0)</f>
        <v>0</v>
      </c>
      <c r="I162">
        <f>VLOOKUP(B162,raw!A:K,9,0)</f>
        <v>83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82</v>
      </c>
      <c r="D163">
        <f>VLOOKUP(B163,raw!A:K,3,0)+VLOOKUP(B163,raw!A:K,7,0)</f>
        <v>0</v>
      </c>
      <c r="E163">
        <f>VLOOKUP(B163,raw!A:K,4,0)</f>
        <v>10</v>
      </c>
      <c r="F163">
        <f>VLOOKUP(B163,raw!A:K,5,0)</f>
        <v>13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59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54</v>
      </c>
      <c r="D166">
        <f>VLOOKUP(B166,raw!A:K,3,0)+VLOOKUP(B166,raw!A:K,7,0)</f>
        <v>0</v>
      </c>
      <c r="E166">
        <f>VLOOKUP(B166,raw!A:K,4,0)</f>
        <v>2</v>
      </c>
      <c r="F166">
        <f>VLOOKUP(B166,raw!A:K,5,0)</f>
        <v>3</v>
      </c>
      <c r="G166">
        <f>VLOOKUP(B166,raw!A:K,2,0)+VLOOKUP(B166,raw!A:K,10,0)</f>
        <v>2</v>
      </c>
      <c r="H166">
        <f>VLOOKUP(B166,raw!A:K,6,0)</f>
        <v>0</v>
      </c>
      <c r="I166">
        <f>VLOOKUP(B166,raw!A:K,9,0)</f>
        <v>47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3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38</v>
      </c>
      <c r="D168">
        <f>VLOOKUP(B168,raw!A:K,3,0)+VLOOKUP(B168,raw!A:K,7,0)</f>
        <v>8</v>
      </c>
      <c r="E168">
        <f>VLOOKUP(B168,raw!A:K,4,0)</f>
        <v>1</v>
      </c>
      <c r="F168">
        <f>VLOOKUP(B168,raw!A:K,5,0)</f>
        <v>4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15</v>
      </c>
      <c r="H169">
        <f>VLOOKUP(B169,raw!A:K,6,0)</f>
        <v>0</v>
      </c>
      <c r="I169">
        <f>VLOOKUP(B169,raw!A:K,9,0)</f>
        <v>8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97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3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5</v>
      </c>
      <c r="F171">
        <f>VLOOKUP(B171,raw!A:K,5,0)</f>
        <v>4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41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1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1</v>
      </c>
      <c r="F173">
        <f>VLOOKUP(B173,raw!A:K,5,0)</f>
        <v>11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36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1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124</v>
      </c>
      <c r="D175">
        <f>VLOOKUP(B175,raw!A:K,3,0)+VLOOKUP(B175,raw!A:K,7,0)</f>
        <v>0</v>
      </c>
      <c r="E175">
        <f>VLOOKUP(B175,raw!A:K,4,0)</f>
        <v>13</v>
      </c>
      <c r="F175">
        <f>VLOOKUP(B175,raw!A:K,5,0)</f>
        <v>21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90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61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3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4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2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3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172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5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2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29</v>
      </c>
      <c r="E189">
        <f>VLOOKUP(B189,raw!A:K,4,0)</f>
        <v>1</v>
      </c>
      <c r="F189">
        <f>VLOOKUP(B189,raw!A:K,5,0)</f>
        <v>0</v>
      </c>
      <c r="G189">
        <f>VLOOKUP(B189,raw!A:K,2,0)+VLOOKUP(B189,raw!A:K,10,0)</f>
        <v>8</v>
      </c>
      <c r="H189">
        <f>VLOOKUP(B189,raw!A:K,6,0)</f>
        <v>0</v>
      </c>
      <c r="I189">
        <f>VLOOKUP(B189,raw!A:K,9,0)</f>
        <v>1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8</v>
      </c>
      <c r="H190">
        <f>VLOOKUP(B190,raw!A:K,6,0)</f>
        <v>0</v>
      </c>
      <c r="I190">
        <f>VLOOKUP(B190,raw!A:K,9,0)</f>
        <v>23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8</v>
      </c>
      <c r="H192">
        <f>VLOOKUP(B192,raw!A:K,6,0)</f>
        <v>1</v>
      </c>
      <c r="I192">
        <f>VLOOKUP(B192,raw!A:K,9,0)</f>
        <v>13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67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7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91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1</v>
      </c>
      <c r="H194">
        <f>VLOOKUP(B194,raw!A:K,6,0)</f>
        <v>0</v>
      </c>
      <c r="I194">
        <f>VLOOKUP(B194,raw!A:K,9,0)</f>
        <v>1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4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10</v>
      </c>
      <c r="G197">
        <f>VLOOKUP(B197,raw!A:K,2,0)+VLOOKUP(B197,raw!A:K,10,0)</f>
        <v>13</v>
      </c>
      <c r="H197">
        <f>VLOOKUP(B197,raw!A:K,6,0)</f>
        <v>0</v>
      </c>
      <c r="I197">
        <f>VLOOKUP(B197,raw!A:K,9,0)</f>
        <v>5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88</v>
      </c>
      <c r="D198">
        <f>VLOOKUP(B198,raw!A:K,3,0)+VLOOKUP(B198,raw!A:K,7,0)</f>
        <v>48</v>
      </c>
      <c r="E198">
        <f>VLOOKUP(B198,raw!A:K,4,0)</f>
        <v>4</v>
      </c>
      <c r="F198">
        <f>VLOOKUP(B198,raw!A:K,5,0)</f>
        <v>22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128</v>
      </c>
      <c r="E205">
        <f>VLOOKUP(B205,raw!A:K,4,0)</f>
        <v>11</v>
      </c>
      <c r="F205">
        <f>VLOOKUP(B205,raw!A:K,5,0)</f>
        <v>8</v>
      </c>
      <c r="G205">
        <f>VLOOKUP(B205,raw!A:K,2,0)+VLOOKUP(B205,raw!A:K,10,0)</f>
        <v>6</v>
      </c>
      <c r="H205">
        <f>VLOOKUP(B205,raw!A:K,6,0)</f>
        <v>0</v>
      </c>
      <c r="I205">
        <f>VLOOKUP(B205,raw!A:K,9,0)</f>
        <v>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122</v>
      </c>
      <c r="D207">
        <f>VLOOKUP(B207,raw!A:K,3,0)+VLOOKUP(B207,raw!A:K,7,0)</f>
        <v>80</v>
      </c>
      <c r="E207">
        <f>VLOOKUP(B207,raw!A:K,4,0)</f>
        <v>31</v>
      </c>
      <c r="F207">
        <f>VLOOKUP(B207,raw!A:K,5,0)</f>
        <v>4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6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77</v>
      </c>
      <c r="D208">
        <f>VLOOKUP(B208,raw!A:K,3,0)+VLOOKUP(B208,raw!A:K,7,0)</f>
        <v>55</v>
      </c>
      <c r="E208">
        <f>VLOOKUP(B208,raw!A:K,4,0)</f>
        <v>11</v>
      </c>
      <c r="F208">
        <f>VLOOKUP(B208,raw!A:K,5,0)</f>
        <v>11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65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100</v>
      </c>
      <c r="D210">
        <f>VLOOKUP(B210,raw!A:K,3,0)+VLOOKUP(B210,raw!A:K,7,0)</f>
        <v>76</v>
      </c>
      <c r="E210">
        <f>VLOOKUP(B210,raw!A:K,4,0)</f>
        <v>12</v>
      </c>
      <c r="F210">
        <f>VLOOKUP(B210,raw!A:K,5,0)</f>
        <v>10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193</v>
      </c>
      <c r="D211">
        <f>VLOOKUP(B211,raw!A:K,3,0)+VLOOKUP(B211,raw!A:K,7,0)</f>
        <v>179</v>
      </c>
      <c r="E211">
        <f>VLOOKUP(B211,raw!A:K,4,0)</f>
        <v>2</v>
      </c>
      <c r="F211">
        <f>VLOOKUP(B211,raw!A:K,5,0)</f>
        <v>2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121</v>
      </c>
      <c r="D213">
        <f>VLOOKUP(B213,raw!A:K,3,0)+VLOOKUP(B213,raw!A:K,7,0)</f>
        <v>114</v>
      </c>
      <c r="E213">
        <f>VLOOKUP(B213,raw!A:K,4,0)</f>
        <v>0</v>
      </c>
      <c r="F213">
        <f>VLOOKUP(B213,raw!A:K,5,0)</f>
        <v>4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3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228</v>
      </c>
      <c r="D214">
        <f>VLOOKUP(B214,raw!A:K,3,0)+VLOOKUP(B214,raw!A:K,7,0)</f>
        <v>0</v>
      </c>
      <c r="E214">
        <f>VLOOKUP(B214,raw!A:K,4,0)</f>
        <v>17</v>
      </c>
      <c r="F214">
        <f>VLOOKUP(B214,raw!A:K,5,0)</f>
        <v>43</v>
      </c>
      <c r="G214">
        <f>VLOOKUP(B214,raw!A:K,2,0)+VLOOKUP(B214,raw!A:K,10,0)</f>
        <v>28</v>
      </c>
      <c r="H214">
        <f>VLOOKUP(B214,raw!A:K,6,0)</f>
        <v>0</v>
      </c>
      <c r="I214">
        <f>VLOOKUP(B214,raw!A:K,9,0)</f>
        <v>140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116</v>
      </c>
      <c r="D215">
        <f>VLOOKUP(B215,raw!A:K,3,0)+VLOOKUP(B215,raw!A:K,7,0)</f>
        <v>29</v>
      </c>
      <c r="E215">
        <f>VLOOKUP(B215,raw!A:K,4,0)</f>
        <v>12</v>
      </c>
      <c r="F215">
        <f>VLOOKUP(B215,raw!A:K,5,0)</f>
        <v>26</v>
      </c>
      <c r="G215">
        <f>VLOOKUP(B215,raw!A:K,2,0)+VLOOKUP(B215,raw!A:K,10,0)</f>
        <v>1</v>
      </c>
      <c r="H215">
        <f>VLOOKUP(B215,raw!A:K,6,0)</f>
        <v>0</v>
      </c>
      <c r="I215">
        <f>VLOOKUP(B215,raw!A:K,9,0)</f>
        <v>48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47</v>
      </c>
      <c r="E216">
        <f>VLOOKUP(B216,raw!A:K,4,0)</f>
        <v>7</v>
      </c>
      <c r="F216">
        <f>VLOOKUP(B216,raw!A:K,5,0)</f>
        <v>8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36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104</v>
      </c>
      <c r="D217">
        <f>VLOOKUP(B217,raw!A:K,3,0)+VLOOKUP(B217,raw!A:K,7,0)</f>
        <v>22</v>
      </c>
      <c r="E217">
        <f>VLOOKUP(B217,raw!A:K,4,0)</f>
        <v>4</v>
      </c>
      <c r="F217">
        <f>VLOOKUP(B217,raw!A:K,5,0)</f>
        <v>31</v>
      </c>
      <c r="G217">
        <f>VLOOKUP(B217,raw!A:K,2,0)+VLOOKUP(B217,raw!A:K,10,0)</f>
        <v>2</v>
      </c>
      <c r="H217">
        <f>VLOOKUP(B217,raw!A:K,6,0)</f>
        <v>0</v>
      </c>
      <c r="I217">
        <f>VLOOKUP(B217,raw!A:K,9,0)</f>
        <v>45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1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0</v>
      </c>
      <c r="F219">
        <f>VLOOKUP(B219,raw!A:K,5,0)</f>
        <v>1</v>
      </c>
      <c r="G219">
        <f>VLOOKUP(B219,raw!A:K,2,0)+VLOOKUP(B219,raw!A:K,10,0)</f>
        <v>1</v>
      </c>
      <c r="H219">
        <f>VLOOKUP(B219,raw!A:K,6,0)</f>
        <v>1</v>
      </c>
      <c r="I219">
        <f>VLOOKUP(B219,raw!A:K,9,0)</f>
        <v>4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1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4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8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1</v>
      </c>
      <c r="F222">
        <f>VLOOKUP(B222,raw!A:K,5,0)</f>
        <v>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9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134</v>
      </c>
      <c r="D225">
        <f>VLOOKUP(B225,raw!A:K,3,0)+VLOOKUP(B225,raw!A:K,7,0)</f>
        <v>118</v>
      </c>
      <c r="E225">
        <f>VLOOKUP(B225,raw!A:K,4,0)</f>
        <v>6</v>
      </c>
      <c r="F225">
        <f>VLOOKUP(B225,raw!A:K,5,0)</f>
        <v>6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86</v>
      </c>
      <c r="D226">
        <f>VLOOKUP(B226,raw!A:K,3,0)+VLOOKUP(B226,raw!A:K,7,0)</f>
        <v>57</v>
      </c>
      <c r="E226">
        <f>VLOOKUP(B226,raw!A:K,4,0)</f>
        <v>4</v>
      </c>
      <c r="F226">
        <f>VLOOKUP(B226,raw!A:K,5,0)</f>
        <v>3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22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109</v>
      </c>
      <c r="E227">
        <f>VLOOKUP(B227,raw!A:K,4,0)</f>
        <v>1</v>
      </c>
      <c r="F227">
        <f>VLOOKUP(B227,raw!A:K,5,0)</f>
        <v>4</v>
      </c>
      <c r="G227">
        <f>VLOOKUP(B227,raw!A:K,2,0)+VLOOKUP(B227,raw!A:K,10,0)</f>
        <v>2</v>
      </c>
      <c r="H227">
        <f>VLOOKUP(B227,raw!A:K,6,0)</f>
        <v>0</v>
      </c>
      <c r="I227">
        <f>VLOOKUP(B227,raw!A:K,9,0)</f>
        <v>9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115</v>
      </c>
      <c r="D228">
        <f>VLOOKUP(B228,raw!A:K,3,0)+VLOOKUP(B228,raw!A:K,7,0)</f>
        <v>77</v>
      </c>
      <c r="E228">
        <f>VLOOKUP(B228,raw!A:K,4,0)</f>
        <v>3</v>
      </c>
      <c r="F228">
        <f>VLOOKUP(B228,raw!A:K,5,0)</f>
        <v>0</v>
      </c>
      <c r="G228">
        <f>VLOOKUP(B228,raw!A:K,2,0)+VLOOKUP(B228,raw!A:K,10,0)</f>
        <v>6</v>
      </c>
      <c r="H228">
        <f>VLOOKUP(B228,raw!A:K,6,0)</f>
        <v>0</v>
      </c>
      <c r="I228">
        <f>VLOOKUP(B228,raw!A:K,9,0)</f>
        <v>29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168</v>
      </c>
      <c r="D230">
        <f>VLOOKUP(B230,raw!A:K,3,0)+VLOOKUP(B230,raw!A:K,7,0)</f>
        <v>36</v>
      </c>
      <c r="E230">
        <f>VLOOKUP(B230,raw!A:K,4,0)</f>
        <v>7</v>
      </c>
      <c r="F230">
        <f>VLOOKUP(B230,raw!A:K,5,0)</f>
        <v>8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117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163</v>
      </c>
      <c r="D232">
        <f>VLOOKUP(B232,raw!A:K,3,0)+VLOOKUP(B232,raw!A:K,7,0)</f>
        <v>0</v>
      </c>
      <c r="E232">
        <f>VLOOKUP(B232,raw!A:K,4,0)</f>
        <v>8</v>
      </c>
      <c r="F232">
        <f>VLOOKUP(B232,raw!A:K,5,0)</f>
        <v>18</v>
      </c>
      <c r="G232">
        <f>VLOOKUP(B232,raw!A:K,2,0)+VLOOKUP(B232,raw!A:K,10,0)</f>
        <v>4</v>
      </c>
      <c r="H232">
        <f>VLOOKUP(B232,raw!A:K,6,0)</f>
        <v>0</v>
      </c>
      <c r="I232">
        <f>VLOOKUP(B232,raw!A:K,9,0)</f>
        <v>133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210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1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29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210</v>
      </c>
      <c r="D235">
        <f>VLOOKUP(B235,raw!A:K,3,0)+VLOOKUP(B235,raw!A:K,7,0)</f>
        <v>6</v>
      </c>
      <c r="E235">
        <f>VLOOKUP(B235,raw!A:K,4,0)</f>
        <v>26</v>
      </c>
      <c r="F235">
        <f>VLOOKUP(B235,raw!A:K,5,0)</f>
        <v>37</v>
      </c>
      <c r="G235">
        <f>VLOOKUP(B235,raw!A:K,2,0)+VLOOKUP(B235,raw!A:K,10,0)</f>
        <v>3</v>
      </c>
      <c r="H235">
        <f>VLOOKUP(B235,raw!A:K,6,0)</f>
        <v>0</v>
      </c>
      <c r="I235">
        <f>VLOOKUP(B235,raw!A:K,9,0)</f>
        <v>138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248</v>
      </c>
      <c r="D236">
        <f>VLOOKUP(B236,raw!A:K,3,0)+VLOOKUP(B236,raw!A:K,7,0)</f>
        <v>115</v>
      </c>
      <c r="E236">
        <f>VLOOKUP(B236,raw!A:K,4,0)</f>
        <v>26</v>
      </c>
      <c r="F236">
        <f>VLOOKUP(B236,raw!A:K,5,0)</f>
        <v>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106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96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3</v>
      </c>
      <c r="H237">
        <f>VLOOKUP(B237,raw!A:K,6,0)</f>
        <v>0</v>
      </c>
      <c r="I237">
        <f>VLOOKUP(B237,raw!A:K,9,0)</f>
        <v>96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136</v>
      </c>
      <c r="E238">
        <f>VLOOKUP(B238,raw!A:K,4,0)</f>
        <v>7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19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99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10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85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59</v>
      </c>
      <c r="D241">
        <f>VLOOKUP(B241,raw!A:K,3,0)+VLOOKUP(B241,raw!A:K,7,0)</f>
        <v>0</v>
      </c>
      <c r="E241">
        <f>VLOOKUP(B241,raw!A:K,4,0)</f>
        <v>14</v>
      </c>
      <c r="F241">
        <f>VLOOKUP(B241,raw!A:K,5,0)</f>
        <v>29</v>
      </c>
      <c r="G241">
        <f>VLOOKUP(B241,raw!A:K,2,0)+VLOOKUP(B241,raw!A:K,10,0)</f>
        <v>6</v>
      </c>
      <c r="H241">
        <f>VLOOKUP(B241,raw!A:K,6,0)</f>
        <v>0</v>
      </c>
      <c r="I241">
        <f>VLOOKUP(B241,raw!A:K,9,0)</f>
        <v>10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1</v>
      </c>
      <c r="F242">
        <f>VLOOKUP(B242,raw!A:K,5,0)</f>
        <v>1</v>
      </c>
      <c r="G242">
        <f>VLOOKUP(B242,raw!A:K,2,0)+VLOOKUP(B242,raw!A:K,10,0)</f>
        <v>1</v>
      </c>
      <c r="H242">
        <f>VLOOKUP(B242,raw!A:K,6,0)</f>
        <v>0</v>
      </c>
      <c r="I242">
        <f>VLOOKUP(B242,raw!A:K,9,0)</f>
        <v>66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17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38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98</v>
      </c>
      <c r="D248">
        <f>VLOOKUP(B248,raw!A:K,3,0)+VLOOKUP(B248,raw!A:K,7,0)</f>
        <v>35</v>
      </c>
      <c r="E248">
        <f>VLOOKUP(B248,raw!A:K,4,0)</f>
        <v>9</v>
      </c>
      <c r="F248">
        <f>VLOOKUP(B248,raw!A:K,5,0)</f>
        <v>4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44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48</v>
      </c>
      <c r="E249">
        <f>VLOOKUP(B249,raw!A:K,4,0)</f>
        <v>19</v>
      </c>
      <c r="F249">
        <f>VLOOKUP(B249,raw!A:K,5,0)</f>
        <v>3</v>
      </c>
      <c r="G249">
        <f>VLOOKUP(B249,raw!A:K,2,0)+VLOOKUP(B249,raw!A:K,10,0)</f>
        <v>5</v>
      </c>
      <c r="H249">
        <f>VLOOKUP(B249,raw!A:K,6,0)</f>
        <v>0</v>
      </c>
      <c r="I249">
        <f>VLOOKUP(B249,raw!A:K,9,0)</f>
        <v>214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6</v>
      </c>
      <c r="F250">
        <f>VLOOKUP(B250,raw!A:K,5,0)</f>
        <v>18</v>
      </c>
      <c r="G250">
        <f>VLOOKUP(B250,raw!A:K,2,0)+VLOOKUP(B250,raw!A:K,10,0)</f>
        <v>5</v>
      </c>
      <c r="H250">
        <f>VLOOKUP(B250,raw!A:K,6,0)</f>
        <v>0</v>
      </c>
      <c r="I250">
        <f>VLOOKUP(B250,raw!A:K,9,0)</f>
        <v>41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128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1</v>
      </c>
      <c r="H251">
        <f>VLOOKUP(B251,raw!A:K,6,0)</f>
        <v>0</v>
      </c>
      <c r="I251">
        <f>VLOOKUP(B251,raw!A:K,9,0)</f>
        <v>36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37</v>
      </c>
      <c r="E253">
        <f>VLOOKUP(B253,raw!A:K,4,0)</f>
        <v>31</v>
      </c>
      <c r="F253">
        <f>VLOOKUP(B253,raw!A:K,5,0)</f>
        <v>3</v>
      </c>
      <c r="G253">
        <f>VLOOKUP(B253,raw!A:K,2,0)+VLOOKUP(B253,raw!A:K,10,0)</f>
        <v>1</v>
      </c>
      <c r="H253">
        <f>VLOOKUP(B253,raw!A:K,6,0)</f>
        <v>1</v>
      </c>
      <c r="I253">
        <f>VLOOKUP(B253,raw!A:K,9,0)</f>
        <v>84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90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95</v>
      </c>
      <c r="D255">
        <f>VLOOKUP(B255,raw!A:K,3,0)+VLOOKUP(B255,raw!A:K,7,0)</f>
        <v>20</v>
      </c>
      <c r="E255">
        <f>VLOOKUP(B255,raw!A:K,4,0)</f>
        <v>15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60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140</v>
      </c>
      <c r="D256">
        <f>VLOOKUP(B256,raw!A:K,3,0)+VLOOKUP(B256,raw!A:K,7,0)</f>
        <v>69</v>
      </c>
      <c r="E256">
        <f>VLOOKUP(B256,raw!A:K,4,0)</f>
        <v>9</v>
      </c>
      <c r="F256">
        <f>VLOOKUP(B256,raw!A:K,5,0)</f>
        <v>1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61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34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99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46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125</v>
      </c>
      <c r="E260">
        <f>VLOOKUP(B260,raw!A:K,4,0)</f>
        <v>1</v>
      </c>
      <c r="F260">
        <f>VLOOKUP(B260,raw!A:K,5,0)</f>
        <v>5</v>
      </c>
      <c r="G260">
        <f>VLOOKUP(B260,raw!A:K,2,0)+VLOOKUP(B260,raw!A:K,10,0)</f>
        <v>2</v>
      </c>
      <c r="H260">
        <f>VLOOKUP(B260,raw!A:K,6,0)</f>
        <v>0</v>
      </c>
      <c r="I260">
        <f>VLOOKUP(B260,raw!A:K,9,0)</f>
        <v>70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127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2</v>
      </c>
      <c r="H261">
        <f>VLOOKUP(B261,raw!A:K,6,0)</f>
        <v>0</v>
      </c>
      <c r="I261">
        <f>VLOOKUP(B261,raw!A:K,9,0)</f>
        <v>84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235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2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68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97</v>
      </c>
      <c r="D263">
        <f>VLOOKUP(B263,raw!A:K,3,0)+VLOOKUP(B263,raw!A:K,7,0)</f>
        <v>29</v>
      </c>
      <c r="E263">
        <f>VLOOKUP(B263,raw!A:K,4,0)</f>
        <v>0</v>
      </c>
      <c r="F263">
        <f>VLOOKUP(B263,raw!A:K,5,0)</f>
        <v>7</v>
      </c>
      <c r="G263">
        <f>VLOOKUP(B263,raw!A:K,2,0)+VLOOKUP(B263,raw!A:K,10,0)</f>
        <v>2</v>
      </c>
      <c r="H263">
        <f>VLOOKUP(B263,raw!A:K,6,0)</f>
        <v>0</v>
      </c>
      <c r="I263">
        <f>VLOOKUP(B263,raw!A:K,9,0)</f>
        <v>59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21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119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127</v>
      </c>
      <c r="D265">
        <f>VLOOKUP(B265,raw!A:K,3,0)+VLOOKUP(B265,raw!A:K,7,0)</f>
        <v>46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74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29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103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1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59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81</v>
      </c>
      <c r="E270">
        <f>VLOOKUP(B270,raw!A:K,4,0)</f>
        <v>14</v>
      </c>
      <c r="F270">
        <f>VLOOKUP(B270,raw!A:K,5,0)</f>
        <v>20</v>
      </c>
      <c r="G270">
        <f>VLOOKUP(B270,raw!A:K,2,0)+VLOOKUP(B270,raw!A:K,10,0)</f>
        <v>1</v>
      </c>
      <c r="H270">
        <f>VLOOKUP(B270,raw!A:K,6,0)</f>
        <v>0</v>
      </c>
      <c r="I270">
        <f>VLOOKUP(B270,raw!A:K,9,0)</f>
        <v>41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241</v>
      </c>
      <c r="D271">
        <f>VLOOKUP(B271,raw!A:K,3,0)+VLOOKUP(B271,raw!A:K,7,0)</f>
        <v>80</v>
      </c>
      <c r="E271">
        <f>VLOOKUP(B271,raw!A:K,4,0)</f>
        <v>68</v>
      </c>
      <c r="F271">
        <f>VLOOKUP(B271,raw!A:K,5,0)</f>
        <v>42</v>
      </c>
      <c r="G271">
        <f>VLOOKUP(B271,raw!A:K,2,0)+VLOOKUP(B271,raw!A:K,10,0)</f>
        <v>6</v>
      </c>
      <c r="H271">
        <f>VLOOKUP(B271,raw!A:K,6,0)</f>
        <v>1</v>
      </c>
      <c r="I271">
        <f>VLOOKUP(B271,raw!A:K,9,0)</f>
        <v>44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82</v>
      </c>
      <c r="D272">
        <f>VLOOKUP(B272,raw!A:K,3,0)+VLOOKUP(B272,raw!A:K,7,0)</f>
        <v>23</v>
      </c>
      <c r="E272">
        <f>VLOOKUP(B272,raw!A:K,4,0)</f>
        <v>8</v>
      </c>
      <c r="F272">
        <f>VLOOKUP(B272,raw!A:K,5,0)</f>
        <v>9</v>
      </c>
      <c r="G272">
        <f>VLOOKUP(B272,raw!A:K,2,0)+VLOOKUP(B272,raw!A:K,10,0)</f>
        <v>15</v>
      </c>
      <c r="H272">
        <f>VLOOKUP(B272,raw!A:K,6,0)</f>
        <v>1</v>
      </c>
      <c r="I272">
        <f>VLOOKUP(B272,raw!A:K,9,0)</f>
        <v>26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179</v>
      </c>
      <c r="D273">
        <f>VLOOKUP(B273,raw!A:K,3,0)+VLOOKUP(B273,raw!A:K,7,0)</f>
        <v>86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10</v>
      </c>
      <c r="H273">
        <f>VLOOKUP(B273,raw!A:K,6,0)</f>
        <v>0</v>
      </c>
      <c r="I273">
        <f>VLOOKUP(B273,raw!A:K,9,0)</f>
        <v>68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62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135</v>
      </c>
      <c r="D275">
        <f>VLOOKUP(B275,raw!A:K,3,0)+VLOOKUP(B275,raw!A:K,7,0)</f>
        <v>65</v>
      </c>
      <c r="E275">
        <f>VLOOKUP(B275,raw!A:K,4,0)</f>
        <v>8</v>
      </c>
      <c r="F275">
        <f>VLOOKUP(B275,raw!A:K,5,0)</f>
        <v>37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20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255</v>
      </c>
      <c r="D276">
        <f>VLOOKUP(B276,raw!A:K,3,0)+VLOOKUP(B276,raw!A:K,7,0)</f>
        <v>113</v>
      </c>
      <c r="E276">
        <f>VLOOKUP(B276,raw!A:K,4,0)</f>
        <v>6</v>
      </c>
      <c r="F276">
        <f>VLOOKUP(B276,raw!A:K,5,0)</f>
        <v>0</v>
      </c>
      <c r="G276">
        <f>VLOOKUP(B276,raw!A:K,2,0)+VLOOKUP(B276,raw!A:K,10,0)</f>
        <v>3</v>
      </c>
      <c r="H276">
        <f>VLOOKUP(B276,raw!A:K,6,0)</f>
        <v>0</v>
      </c>
      <c r="I276">
        <f>VLOOKUP(B276,raw!A:K,9,0)</f>
        <v>133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157</v>
      </c>
      <c r="E277">
        <f>VLOOKUP(B277,raw!A:K,4,0)</f>
        <v>10</v>
      </c>
      <c r="F277">
        <f>VLOOKUP(B277,raw!A:K,5,0)</f>
        <v>4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5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122</v>
      </c>
      <c r="D278">
        <f>VLOOKUP(B278,raw!A:K,3,0)+VLOOKUP(B278,raw!A:K,7,0)</f>
        <v>97</v>
      </c>
      <c r="E278">
        <f>VLOOKUP(B278,raw!A:K,4,0)</f>
        <v>13</v>
      </c>
      <c r="F278">
        <f>VLOOKUP(B278,raw!A:K,5,0)</f>
        <v>6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4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133</v>
      </c>
      <c r="D281">
        <f>VLOOKUP(B281,raw!A:K,3,0)+VLOOKUP(B281,raw!A:K,7,0)</f>
        <v>81</v>
      </c>
      <c r="E281">
        <f>VLOOKUP(B281,raw!A:K,4,0)</f>
        <v>12</v>
      </c>
      <c r="F281">
        <f>VLOOKUP(B281,raw!A:K,5,0)</f>
        <v>26</v>
      </c>
      <c r="G281">
        <f>VLOOKUP(B281,raw!A:K,2,0)+VLOOKUP(B281,raw!A:K,10,0)</f>
        <v>5</v>
      </c>
      <c r="H281">
        <f>VLOOKUP(B281,raw!A:K,6,0)</f>
        <v>0</v>
      </c>
      <c r="I281">
        <f>VLOOKUP(B281,raw!A:K,9,0)</f>
        <v>9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146</v>
      </c>
      <c r="D282">
        <f>VLOOKUP(B282,raw!A:K,3,0)+VLOOKUP(B282,raw!A:K,7,0)</f>
        <v>77</v>
      </c>
      <c r="E282">
        <f>VLOOKUP(B282,raw!A:K,4,0)</f>
        <v>26</v>
      </c>
      <c r="F282">
        <f>VLOOKUP(B282,raw!A:K,5,0)</f>
        <v>39</v>
      </c>
      <c r="G282">
        <f>VLOOKUP(B282,raw!A:K,2,0)+VLOOKUP(B282,raw!A:K,10,0)</f>
        <v>2</v>
      </c>
      <c r="H282">
        <f>VLOOKUP(B282,raw!A:K,6,0)</f>
        <v>0</v>
      </c>
      <c r="I282">
        <f>VLOOKUP(B282,raw!A:K,9,0)</f>
        <v>2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75</v>
      </c>
      <c r="E284">
        <f>VLOOKUP(B284,raw!A:K,4,0)</f>
        <v>0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7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193</v>
      </c>
      <c r="D285">
        <f>VLOOKUP(B285,raw!A:K,3,0)+VLOOKUP(B285,raw!A:K,7,0)</f>
        <v>76</v>
      </c>
      <c r="E285">
        <f>VLOOKUP(B285,raw!A:K,4,0)</f>
        <v>73</v>
      </c>
      <c r="F285">
        <f>VLOOKUP(B285,raw!A:K,5,0)</f>
        <v>26</v>
      </c>
      <c r="G285">
        <f>VLOOKUP(B285,raw!A:K,2,0)+VLOOKUP(B285,raw!A:K,10,0)</f>
        <v>7</v>
      </c>
      <c r="H285">
        <f>VLOOKUP(B285,raw!A:K,6,0)</f>
        <v>0</v>
      </c>
      <c r="I285">
        <f>VLOOKUP(B285,raw!A:K,9,0)</f>
        <v>11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112</v>
      </c>
      <c r="D286">
        <f>VLOOKUP(B286,raw!A:K,3,0)+VLOOKUP(B286,raw!A:K,7,0)</f>
        <v>46</v>
      </c>
      <c r="E286">
        <f>VLOOKUP(B286,raw!A:K,4,0)</f>
        <v>38</v>
      </c>
      <c r="F286">
        <f>VLOOKUP(B286,raw!A:K,5,0)</f>
        <v>13</v>
      </c>
      <c r="G286">
        <f>VLOOKUP(B286,raw!A:K,2,0)+VLOOKUP(B286,raw!A:K,10,0)</f>
        <v>14</v>
      </c>
      <c r="H286">
        <f>VLOOKUP(B286,raw!A:K,6,0)</f>
        <v>0</v>
      </c>
      <c r="I286">
        <f>VLOOKUP(B286,raw!A:K,9,0)</f>
        <v>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73</v>
      </c>
      <c r="D287">
        <f>VLOOKUP(B287,raw!A:K,3,0)+VLOOKUP(B287,raw!A:K,7,0)</f>
        <v>7</v>
      </c>
      <c r="E287">
        <f>VLOOKUP(B287,raw!A:K,4,0)</f>
        <v>42</v>
      </c>
      <c r="F287">
        <f>VLOOKUP(B287,raw!A:K,5,0)</f>
        <v>11</v>
      </c>
      <c r="G287">
        <f>VLOOKUP(B287,raw!A:K,2,0)+VLOOKUP(B287,raw!A:K,10,0)</f>
        <v>3</v>
      </c>
      <c r="H287">
        <f>VLOOKUP(B287,raw!A:K,6,0)</f>
        <v>0</v>
      </c>
      <c r="I287">
        <f>VLOOKUP(B287,raw!A:K,9,0)</f>
        <v>10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178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17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114</v>
      </c>
      <c r="E289">
        <f>VLOOKUP(B289,raw!A:K,4,0)</f>
        <v>9</v>
      </c>
      <c r="F289">
        <f>VLOOKUP(B289,raw!A:K,5,0)</f>
        <v>3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17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149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2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120</v>
      </c>
      <c r="D292">
        <f>VLOOKUP(B292,raw!A:K,3,0)+VLOOKUP(B292,raw!A:K,7,0)</f>
        <v>104</v>
      </c>
      <c r="E292">
        <f>VLOOKUP(B292,raw!A:K,4,0)</f>
        <v>2</v>
      </c>
      <c r="F292">
        <f>VLOOKUP(B292,raw!A:K,5,0)</f>
        <v>8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6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76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26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277</v>
      </c>
      <c r="D294">
        <f>VLOOKUP(B294,raw!A:K,3,0)+VLOOKUP(B294,raw!A:K,7,0)</f>
        <v>261</v>
      </c>
      <c r="E294">
        <f>VLOOKUP(B294,raw!A:K,4,0)</f>
        <v>6</v>
      </c>
      <c r="F294">
        <f>VLOOKUP(B294,raw!A:K,5,0)</f>
        <v>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9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81</v>
      </c>
      <c r="E295">
        <f>VLOOKUP(B295,raw!A:K,4,0)</f>
        <v>10</v>
      </c>
      <c r="F295">
        <f>VLOOKUP(B295,raw!A:K,5,0)</f>
        <v>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9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155</v>
      </c>
      <c r="D296">
        <f>VLOOKUP(B296,raw!A:K,3,0)+VLOOKUP(B296,raw!A:K,7,0)</f>
        <v>15</v>
      </c>
      <c r="E296">
        <f>VLOOKUP(B296,raw!A:K,4,0)</f>
        <v>5</v>
      </c>
      <c r="F296">
        <f>VLOOKUP(B296,raw!A:K,5,0)</f>
        <v>62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107</v>
      </c>
      <c r="D297">
        <f>VLOOKUP(B297,raw!A:K,3,0)+VLOOKUP(B297,raw!A:K,7,0)</f>
        <v>0</v>
      </c>
      <c r="E297">
        <f>VLOOKUP(B297,raw!A:K,4,0)</f>
        <v>4</v>
      </c>
      <c r="F297">
        <f>VLOOKUP(B297,raw!A:K,5,0)</f>
        <v>26</v>
      </c>
      <c r="G297">
        <f>VLOOKUP(B297,raw!A:K,2,0)+VLOOKUP(B297,raw!A:K,10,0)</f>
        <v>23</v>
      </c>
      <c r="H297">
        <f>VLOOKUP(B297,raw!A:K,6,0)</f>
        <v>1</v>
      </c>
      <c r="I297">
        <f>VLOOKUP(B297,raw!A:K,9,0)</f>
        <v>53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5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4</v>
      </c>
      <c r="F299">
        <f>VLOOKUP(B299,raw!A:K,5,0)</f>
        <v>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20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6</v>
      </c>
      <c r="G300">
        <f>VLOOKUP(B300,raw!A:K,2,0)+VLOOKUP(B300,raw!A:K,10,0)</f>
        <v>2</v>
      </c>
      <c r="H300">
        <f>VLOOKUP(B300,raw!A:K,6,0)</f>
        <v>0</v>
      </c>
      <c r="I300">
        <f>VLOOKUP(B300,raw!A:K,9,0)</f>
        <v>32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92</v>
      </c>
      <c r="D301">
        <f>VLOOKUP(B301,raw!A:K,3,0)+VLOOKUP(B301,raw!A:K,7,0)</f>
        <v>0</v>
      </c>
      <c r="E301">
        <f>VLOOKUP(B301,raw!A:K,4,0)</f>
        <v>4</v>
      </c>
      <c r="F301">
        <f>VLOOKUP(B301,raw!A:K,5,0)</f>
        <v>7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81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19</v>
      </c>
      <c r="G305">
        <f>VLOOKUP(B305,raw!A:K,2,0)+VLOOKUP(B305,raw!A:K,10,0)</f>
        <v>1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5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2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57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66</v>
      </c>
      <c r="D311">
        <f>VLOOKUP(B311,raw!A:K,3,0)+VLOOKUP(B311,raw!A:K,7,0)</f>
        <v>16</v>
      </c>
      <c r="E311">
        <f>VLOOKUP(B311,raw!A:K,4,0)</f>
        <v>1</v>
      </c>
      <c r="F311">
        <f>VLOOKUP(B311,raw!A:K,5,0)</f>
        <v>8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41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125</v>
      </c>
      <c r="D312">
        <f>VLOOKUP(B312,raw!A:K,3,0)+VLOOKUP(B312,raw!A:K,7,0)</f>
        <v>1</v>
      </c>
      <c r="E312">
        <f>VLOOKUP(B312,raw!A:K,4,0)</f>
        <v>6</v>
      </c>
      <c r="F312">
        <f>VLOOKUP(B312,raw!A:K,5,0)</f>
        <v>36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80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427</v>
      </c>
      <c r="D313">
        <f>VLOOKUP(B313,raw!A:K,3,0)+VLOOKUP(B313,raw!A:K,7,0)</f>
        <v>186</v>
      </c>
      <c r="E313">
        <f>VLOOKUP(B313,raw!A:K,4,0)</f>
        <v>28</v>
      </c>
      <c r="F313">
        <f>VLOOKUP(B313,raw!A:K,5,0)</f>
        <v>77</v>
      </c>
      <c r="G313">
        <f>VLOOKUP(B313,raw!A:K,2,0)+VLOOKUP(B313,raw!A:K,10,0)</f>
        <v>3</v>
      </c>
      <c r="H313">
        <f>VLOOKUP(B313,raw!A:K,6,0)</f>
        <v>1</v>
      </c>
      <c r="I313">
        <f>VLOOKUP(B313,raw!A:K,9,0)</f>
        <v>132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78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15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1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2</v>
      </c>
      <c r="F324">
        <f>VLOOKUP(B324,raw!A:K,5,0)</f>
        <v>6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88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151</v>
      </c>
      <c r="D325">
        <f>VLOOKUP(B325,raw!A:K,3,0)+VLOOKUP(B325,raw!A:K,7,0)</f>
        <v>83</v>
      </c>
      <c r="E325">
        <f>VLOOKUP(B325,raw!A:K,4,0)</f>
        <v>6</v>
      </c>
      <c r="F325">
        <f>VLOOKUP(B325,raw!A:K,5,0)</f>
        <v>32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28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264</v>
      </c>
      <c r="D326">
        <f>VLOOKUP(B326,raw!A:K,3,0)+VLOOKUP(B326,raw!A:K,7,0)</f>
        <v>165</v>
      </c>
      <c r="E326">
        <f>VLOOKUP(B326,raw!A:K,4,0)</f>
        <v>5</v>
      </c>
      <c r="F326">
        <f>VLOOKUP(B326,raw!A:K,5,0)</f>
        <v>24</v>
      </c>
      <c r="G326">
        <f>VLOOKUP(B326,raw!A:K,2,0)+VLOOKUP(B326,raw!A:K,10,0)</f>
        <v>5</v>
      </c>
      <c r="H326">
        <f>VLOOKUP(B326,raw!A:K,6,0)</f>
        <v>0</v>
      </c>
      <c r="I326">
        <f>VLOOKUP(B326,raw!A:K,9,0)</f>
        <v>65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149</v>
      </c>
      <c r="D327">
        <f>VLOOKUP(B327,raw!A:K,3,0)+VLOOKUP(B327,raw!A:K,7,0)</f>
        <v>121</v>
      </c>
      <c r="E327">
        <f>VLOOKUP(B327,raw!A:K,4,0)</f>
        <v>4</v>
      </c>
      <c r="F327">
        <f>VLOOKUP(B327,raw!A:K,5,0)</f>
        <v>21</v>
      </c>
      <c r="G327">
        <f>VLOOKUP(B327,raw!A:K,2,0)+VLOOKUP(B327,raw!A:K,10,0)</f>
        <v>2</v>
      </c>
      <c r="H327">
        <f>VLOOKUP(B327,raw!A:K,6,0)</f>
        <v>0</v>
      </c>
      <c r="I327">
        <f>VLOOKUP(B327,raw!A:K,9,0)</f>
        <v>1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115</v>
      </c>
      <c r="E328">
        <f>VLOOKUP(B328,raw!A:K,4,0)</f>
        <v>14</v>
      </c>
      <c r="F328">
        <f>VLOOKUP(B328,raw!A:K,5,0)</f>
        <v>15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7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51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81</v>
      </c>
      <c r="D334">
        <f>VLOOKUP(B334,raw!A:K,3,0)+VLOOKUP(B334,raw!A:K,7,0)</f>
        <v>0</v>
      </c>
      <c r="E334">
        <f>VLOOKUP(B334,raw!A:K,4,0)</f>
        <v>19</v>
      </c>
      <c r="F334">
        <f>VLOOKUP(B334,raw!A:K,5,0)</f>
        <v>0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62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111</v>
      </c>
      <c r="D336">
        <f>VLOOKUP(B336,raw!A:K,3,0)+VLOOKUP(B336,raw!A:K,7,0)</f>
        <v>0</v>
      </c>
      <c r="E336">
        <f>VLOOKUP(B336,raw!A:K,4,0)</f>
        <v>44</v>
      </c>
      <c r="F336">
        <f>VLOOKUP(B336,raw!A:K,5,0)</f>
        <v>18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49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22</v>
      </c>
      <c r="F339">
        <f>VLOOKUP(B339,raw!A:K,5,0)</f>
        <v>11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17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60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19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22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161</v>
      </c>
      <c r="D346">
        <f>VLOOKUP(B346,raw!A:K,3,0)+VLOOKUP(B346,raw!A:K,7,0)</f>
        <v>0</v>
      </c>
      <c r="E346">
        <f>VLOOKUP(B346,raw!A:K,4,0)</f>
        <v>6</v>
      </c>
      <c r="F346">
        <f>VLOOKUP(B346,raw!A:K,5,0)</f>
        <v>41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113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160</v>
      </c>
      <c r="D347">
        <f>VLOOKUP(B347,raw!A:K,3,0)+VLOOKUP(B347,raw!A:K,7,0)</f>
        <v>7</v>
      </c>
      <c r="E347">
        <f>VLOOKUP(B347,raw!A:K,4,0)</f>
        <v>6</v>
      </c>
      <c r="F347">
        <f>VLOOKUP(B347,raw!A:K,5,0)</f>
        <v>7</v>
      </c>
      <c r="G347">
        <f>VLOOKUP(B347,raw!A:K,2,0)+VLOOKUP(B347,raw!A:K,10,0)</f>
        <v>42</v>
      </c>
      <c r="H347">
        <f>VLOOKUP(B347,raw!A:K,6,0)</f>
        <v>1</v>
      </c>
      <c r="I347">
        <f>VLOOKUP(B347,raw!A:K,9,0)</f>
        <v>97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213</v>
      </c>
      <c r="D348">
        <f>VLOOKUP(B348,raw!A:K,3,0)+VLOOKUP(B348,raw!A:K,7,0)</f>
        <v>63</v>
      </c>
      <c r="E348">
        <f>VLOOKUP(B348,raw!A:K,4,0)</f>
        <v>10</v>
      </c>
      <c r="F348">
        <f>VLOOKUP(B348,raw!A:K,5,0)</f>
        <v>43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96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19</v>
      </c>
      <c r="F349">
        <f>VLOOKUP(B349,raw!A:K,5,0)</f>
        <v>12</v>
      </c>
      <c r="G349">
        <f>VLOOKUP(B349,raw!A:K,2,0)+VLOOKUP(B349,raw!A:K,10,0)</f>
        <v>2</v>
      </c>
      <c r="H349">
        <f>VLOOKUP(B349,raw!A:K,6,0)</f>
        <v>0</v>
      </c>
      <c r="I349">
        <f>VLOOKUP(B349,raw!A:K,9,0)</f>
        <v>68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5</v>
      </c>
      <c r="F350">
        <f>VLOOKUP(B350,raw!A:K,5,0)</f>
        <v>3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63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189</v>
      </c>
      <c r="D351">
        <f>VLOOKUP(B351,raw!A:K,3,0)+VLOOKUP(B351,raw!A:K,7,0)</f>
        <v>117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9</v>
      </c>
      <c r="H351">
        <f>VLOOKUP(B351,raw!A:K,6,0)</f>
        <v>0</v>
      </c>
      <c r="I351">
        <f>VLOOKUP(B351,raw!A:K,9,0)</f>
        <v>61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16</v>
      </c>
      <c r="E352">
        <f>VLOOKUP(B352,raw!A:K,4,0)</f>
        <v>11</v>
      </c>
      <c r="F352">
        <f>VLOOKUP(B352,raw!A:K,5,0)</f>
        <v>8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151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2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62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8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5</v>
      </c>
      <c r="F356">
        <f>VLOOKUP(B356,raw!A:K,5,0)</f>
        <v>24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3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209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57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80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128</v>
      </c>
      <c r="D359">
        <f>VLOOKUP(B359,raw!A:K,3,0)+VLOOKUP(B359,raw!A:K,7,0)</f>
        <v>59</v>
      </c>
      <c r="E359">
        <f>VLOOKUP(B359,raw!A:K,4,0)</f>
        <v>43</v>
      </c>
      <c r="F359">
        <f>VLOOKUP(B359,raw!A:K,5,0)</f>
        <v>6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20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97</v>
      </c>
      <c r="D360">
        <f>VLOOKUP(B360,raw!A:K,3,0)+VLOOKUP(B360,raw!A:K,7,0)</f>
        <v>61</v>
      </c>
      <c r="E360">
        <f>VLOOKUP(B360,raw!A:K,4,0)</f>
        <v>5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30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17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115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5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115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1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1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1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228</v>
      </c>
      <c r="D367">
        <f>VLOOKUP(B367,raw!A:K,3,0)+VLOOKUP(B367,raw!A:K,7,0)</f>
        <v>41</v>
      </c>
      <c r="E367">
        <f>VLOOKUP(B367,raw!A:K,4,0)</f>
        <v>2</v>
      </c>
      <c r="F367">
        <f>VLOOKUP(B367,raw!A:K,5,0)</f>
        <v>7</v>
      </c>
      <c r="G367">
        <f>VLOOKUP(B367,raw!A:K,2,0)+VLOOKUP(B367,raw!A:K,10,0)</f>
        <v>28</v>
      </c>
      <c r="H367">
        <f>VLOOKUP(B367,raw!A:K,6,0)</f>
        <v>0</v>
      </c>
      <c r="I367">
        <f>VLOOKUP(B367,raw!A:K,9,0)</f>
        <v>150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7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5</v>
      </c>
      <c r="H368">
        <f>VLOOKUP(B368,raw!A:K,6,0)</f>
        <v>0</v>
      </c>
      <c r="I368">
        <f>VLOOKUP(B368,raw!A:K,9,0)</f>
        <v>142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166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2</v>
      </c>
      <c r="H369">
        <f>VLOOKUP(B369,raw!A:K,6,0)</f>
        <v>1</v>
      </c>
      <c r="I369">
        <f>VLOOKUP(B369,raw!A:K,9,0)</f>
        <v>17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208</v>
      </c>
      <c r="D370">
        <f>VLOOKUP(B370,raw!A:K,3,0)+VLOOKUP(B370,raw!A:K,7,0)</f>
        <v>110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3</v>
      </c>
      <c r="H370">
        <f>VLOOKUP(B370,raw!A:K,6,0)</f>
        <v>0</v>
      </c>
      <c r="I370">
        <f>VLOOKUP(B370,raw!A:K,9,0)</f>
        <v>94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332</v>
      </c>
      <c r="D371">
        <f>VLOOKUP(B371,raw!A:K,3,0)+VLOOKUP(B371,raw!A:K,7,0)</f>
        <v>331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2</v>
      </c>
      <c r="H373">
        <f>VLOOKUP(B373,raw!A:K,6,0)</f>
        <v>0</v>
      </c>
      <c r="I373">
        <f>VLOOKUP(B373,raw!A:K,9,0)</f>
        <v>25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95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46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174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2</v>
      </c>
      <c r="H375">
        <f>VLOOKUP(B375,raw!A:K,6,0)</f>
        <v>0</v>
      </c>
      <c r="I375">
        <f>VLOOKUP(B375,raw!A:K,9,0)</f>
        <v>26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103</v>
      </c>
      <c r="D376">
        <f>VLOOKUP(B376,raw!A:K,3,0)+VLOOKUP(B376,raw!A:K,7,0)</f>
        <v>0</v>
      </c>
      <c r="E376">
        <f>VLOOKUP(B376,raw!A:K,4,0)</f>
        <v>5</v>
      </c>
      <c r="F376">
        <f>VLOOKUP(B376,raw!A:K,5,0)</f>
        <v>72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25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115</v>
      </c>
      <c r="D377">
        <f>VLOOKUP(B377,raw!A:K,3,0)+VLOOKUP(B377,raw!A:K,7,0)</f>
        <v>11</v>
      </c>
      <c r="E377">
        <f>VLOOKUP(B377,raw!A:K,4,0)</f>
        <v>9</v>
      </c>
      <c r="F377">
        <f>VLOOKUP(B377,raw!A:K,5,0)</f>
        <v>54</v>
      </c>
      <c r="G377">
        <f>VLOOKUP(B377,raw!A:K,2,0)+VLOOKUP(B377,raw!A:K,10,0)</f>
        <v>1</v>
      </c>
      <c r="H377">
        <f>VLOOKUP(B377,raw!A:K,6,0)</f>
        <v>0</v>
      </c>
      <c r="I377">
        <f>VLOOKUP(B377,raw!A:K,9,0)</f>
        <v>40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91</v>
      </c>
      <c r="D379">
        <f>VLOOKUP(B379,raw!A:K,3,0)+VLOOKUP(B379,raw!A:K,7,0)</f>
        <v>9</v>
      </c>
      <c r="E379">
        <f>VLOOKUP(B379,raw!A:K,4,0)</f>
        <v>16</v>
      </c>
      <c r="F379">
        <f>VLOOKUP(B379,raw!A:K,5,0)</f>
        <v>13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52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179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79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10</v>
      </c>
      <c r="H381">
        <f>VLOOKUP(B381,raw!A:K,6,0)</f>
        <v>1</v>
      </c>
      <c r="I381">
        <f>VLOOKUP(B381,raw!A:K,9,0)</f>
        <v>18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57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82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24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15</v>
      </c>
      <c r="H383">
        <f>VLOOKUP(B383,raw!A:K,6,0)</f>
        <v>0</v>
      </c>
      <c r="I383">
        <f>VLOOKUP(B383,raw!A:K,9,0)</f>
        <v>75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152</v>
      </c>
      <c r="D384">
        <f>VLOOKUP(B384,raw!A:K,3,0)+VLOOKUP(B384,raw!A:K,7,0)</f>
        <v>39</v>
      </c>
      <c r="E384">
        <f>VLOOKUP(B384,raw!A:K,4,0)</f>
        <v>0</v>
      </c>
      <c r="F384">
        <f>VLOOKUP(B384,raw!A:K,5,0)</f>
        <v>81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24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119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13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54</v>
      </c>
      <c r="E386">
        <f>VLOOKUP(B386,raw!A:K,4,0)</f>
        <v>2</v>
      </c>
      <c r="F386">
        <f>VLOOKUP(B386,raw!A:K,5,0)</f>
        <v>0</v>
      </c>
      <c r="G386">
        <f>VLOOKUP(B386,raw!A:K,2,0)+VLOOKUP(B386,raw!A:K,10,0)</f>
        <v>3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117</v>
      </c>
      <c r="D387">
        <f>VLOOKUP(B387,raw!A:K,3,0)+VLOOKUP(B387,raw!A:K,7,0)</f>
        <v>29</v>
      </c>
      <c r="E387">
        <f>VLOOKUP(B387,raw!A:K,4,0)</f>
        <v>4</v>
      </c>
      <c r="F387">
        <f>VLOOKUP(B387,raw!A:K,5,0)</f>
        <v>0</v>
      </c>
      <c r="G387">
        <f>VLOOKUP(B387,raw!A:K,2,0)+VLOOKUP(B387,raw!A:K,10,0)</f>
        <v>3</v>
      </c>
      <c r="H387">
        <f>VLOOKUP(B387,raw!A:K,6,0)</f>
        <v>0</v>
      </c>
      <c r="I387">
        <f>VLOOKUP(B387,raw!A:K,9,0)</f>
        <v>81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140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40</v>
      </c>
      <c r="H389">
        <f>VLOOKUP(B389,raw!A:K,6,0)</f>
        <v>0</v>
      </c>
      <c r="I389">
        <f>VLOOKUP(B389,raw!A:K,9,0)</f>
        <v>83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181</v>
      </c>
      <c r="D392">
        <f>VLOOKUP(B392,raw!A:K,3,0)+VLOOKUP(B392,raw!A:K,7,0)</f>
        <v>88</v>
      </c>
      <c r="E392">
        <f>VLOOKUP(B392,raw!A:K,4,0)</f>
        <v>26</v>
      </c>
      <c r="F392">
        <f>VLOOKUP(B392,raw!A:K,5,0)</f>
        <v>2</v>
      </c>
      <c r="G392">
        <f>VLOOKUP(B392,raw!A:K,2,0)+VLOOKUP(B392,raw!A:K,10,0)</f>
        <v>4</v>
      </c>
      <c r="H392">
        <f>VLOOKUP(B392,raw!A:K,6,0)</f>
        <v>0</v>
      </c>
      <c r="I392">
        <f>VLOOKUP(B392,raw!A:K,9,0)</f>
        <v>61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160</v>
      </c>
      <c r="D393">
        <f>VLOOKUP(B393,raw!A:K,3,0)+VLOOKUP(B393,raw!A:K,7,0)</f>
        <v>128</v>
      </c>
      <c r="E393">
        <f>VLOOKUP(B393,raw!A:K,4,0)</f>
        <v>12</v>
      </c>
      <c r="F393">
        <f>VLOOKUP(B393,raw!A:K,5,0)</f>
        <v>3</v>
      </c>
      <c r="G393">
        <f>VLOOKUP(B393,raw!A:K,2,0)+VLOOKUP(B393,raw!A:K,10,0)</f>
        <v>5</v>
      </c>
      <c r="H393">
        <f>VLOOKUP(B393,raw!A:K,6,0)</f>
        <v>0</v>
      </c>
      <c r="I393">
        <f>VLOOKUP(B393,raw!A:K,9,0)</f>
        <v>12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4</v>
      </c>
      <c r="F394">
        <f>VLOOKUP(B394,raw!A:K,5,0)</f>
        <v>45</v>
      </c>
      <c r="G394">
        <f>VLOOKUP(B394,raw!A:K,2,0)+VLOOKUP(B394,raw!A:K,10,0)</f>
        <v>4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131</v>
      </c>
      <c r="D395">
        <f>VLOOKUP(B395,raw!A:K,3,0)+VLOOKUP(B395,raw!A:K,7,0)</f>
        <v>12</v>
      </c>
      <c r="E395">
        <f>VLOOKUP(B395,raw!A:K,4,0)</f>
        <v>10</v>
      </c>
      <c r="F395">
        <f>VLOOKUP(B395,raw!A:K,5,0)</f>
        <v>23</v>
      </c>
      <c r="G395">
        <f>VLOOKUP(B395,raw!A:K,2,0)+VLOOKUP(B395,raw!A:K,10,0)</f>
        <v>5</v>
      </c>
      <c r="H395">
        <f>VLOOKUP(B395,raw!A:K,6,0)</f>
        <v>0</v>
      </c>
      <c r="I395">
        <f>VLOOKUP(B395,raw!A:K,9,0)</f>
        <v>81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16</v>
      </c>
      <c r="H396">
        <f>VLOOKUP(B396,raw!A:K,6,0)</f>
        <v>1</v>
      </c>
      <c r="I396">
        <f>VLOOKUP(B396,raw!A:K,9,0)</f>
        <v>38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115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7</v>
      </c>
      <c r="G397">
        <f>VLOOKUP(B397,raw!A:K,2,0)+VLOOKUP(B397,raw!A:K,10,0)</f>
        <v>4</v>
      </c>
      <c r="H397">
        <f>VLOOKUP(B397,raw!A:K,6,0)</f>
        <v>0</v>
      </c>
      <c r="I397">
        <f>VLOOKUP(B397,raw!A:K,9,0)</f>
        <v>89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6</v>
      </c>
      <c r="H398">
        <f>VLOOKUP(B398,raw!A:K,6,0)</f>
        <v>0</v>
      </c>
      <c r="I398">
        <f>VLOOKUP(B398,raw!A:K,9,0)</f>
        <v>66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4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33</v>
      </c>
      <c r="E403">
        <f>VLOOKUP(B403,raw!A:K,4,0)</f>
        <v>4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73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7</v>
      </c>
      <c r="F406">
        <f>VLOOKUP(B406,raw!A:K,5,0)</f>
        <v>1</v>
      </c>
      <c r="G406">
        <f>VLOOKUP(B406,raw!A:K,2,0)+VLOOKUP(B406,raw!A:K,10,0)</f>
        <v>5</v>
      </c>
      <c r="H406">
        <f>VLOOKUP(B406,raw!A:K,6,0)</f>
        <v>1</v>
      </c>
      <c r="I406">
        <f>VLOOKUP(B406,raw!A:K,9,0)</f>
        <v>45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57</v>
      </c>
      <c r="E408">
        <f>VLOOKUP(B408,raw!A:K,4,0)</f>
        <v>0</v>
      </c>
      <c r="F408">
        <f>VLOOKUP(B408,raw!A:K,5,0)</f>
        <v>4</v>
      </c>
      <c r="G408">
        <f>VLOOKUP(B408,raw!A:K,2,0)+VLOOKUP(B408,raw!A:K,10,0)</f>
        <v>5</v>
      </c>
      <c r="H408">
        <f>VLOOKUP(B408,raw!A:K,6,0)</f>
        <v>0</v>
      </c>
      <c r="I408">
        <f>VLOOKUP(B408,raw!A:K,9,0)</f>
        <v>20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17</v>
      </c>
      <c r="H409">
        <f>VLOOKUP(B409,raw!A:K,6,0)</f>
        <v>1</v>
      </c>
      <c r="I409">
        <f>VLOOKUP(B409,raw!A:K,9,0)</f>
        <v>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109</v>
      </c>
      <c r="D410">
        <f>VLOOKUP(B410,raw!A:K,3,0)+VLOOKUP(B410,raw!A:K,7,0)</f>
        <v>51</v>
      </c>
      <c r="E410">
        <f>VLOOKUP(B410,raw!A:K,4,0)</f>
        <v>17</v>
      </c>
      <c r="F410">
        <f>VLOOKUP(B410,raw!A:K,5,0)</f>
        <v>5</v>
      </c>
      <c r="G410">
        <f>VLOOKUP(B410,raw!A:K,2,0)+VLOOKUP(B410,raw!A:K,10,0)</f>
        <v>15</v>
      </c>
      <c r="H410">
        <f>VLOOKUP(B410,raw!A:K,6,0)</f>
        <v>0</v>
      </c>
      <c r="I410">
        <f>VLOOKUP(B410,raw!A:K,9,0)</f>
        <v>20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48</v>
      </c>
      <c r="H411">
        <f>VLOOKUP(B411,raw!A:K,6,0)</f>
        <v>0</v>
      </c>
      <c r="I411">
        <f>VLOOKUP(B411,raw!A:K,9,0)</f>
        <v>27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37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4</v>
      </c>
      <c r="H412">
        <f>VLOOKUP(B412,raw!A:K,6,0)</f>
        <v>0</v>
      </c>
      <c r="I412">
        <f>VLOOKUP(B412,raw!A:K,9,0)</f>
        <v>37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54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5</v>
      </c>
      <c r="H413">
        <f>VLOOKUP(B413,raw!A:K,6,0)</f>
        <v>0</v>
      </c>
      <c r="I413">
        <f>VLOOKUP(B413,raw!A:K,9,0)</f>
        <v>49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170</v>
      </c>
      <c r="D414">
        <f>VLOOKUP(B414,raw!A:K,3,0)+VLOOKUP(B414,raw!A:K,7,0)</f>
        <v>68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101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235</v>
      </c>
      <c r="D415">
        <f>VLOOKUP(B415,raw!A:K,3,0)+VLOOKUP(B415,raw!A:K,7,0)</f>
        <v>147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87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118</v>
      </c>
      <c r="D417">
        <f>VLOOKUP(B417,raw!A:K,3,0)+VLOOKUP(B417,raw!A:K,7,0)</f>
        <v>89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128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6</v>
      </c>
      <c r="H419">
        <f>VLOOKUP(B419,raw!A:K,6,0)</f>
        <v>0</v>
      </c>
      <c r="I419">
        <f>VLOOKUP(B419,raw!A:K,9,0)</f>
        <v>50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121</v>
      </c>
      <c r="D420">
        <f>VLOOKUP(B420,raw!A:K,3,0)+VLOOKUP(B420,raw!A:K,7,0)</f>
        <v>76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39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6</v>
      </c>
      <c r="H421">
        <f>VLOOKUP(B421,raw!A:K,6,0)</f>
        <v>0</v>
      </c>
      <c r="I421">
        <f>VLOOKUP(B421,raw!A:K,9,0)</f>
        <v>8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69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12</v>
      </c>
      <c r="H422">
        <f>VLOOKUP(B422,raw!A:K,6,0)</f>
        <v>0</v>
      </c>
      <c r="I422">
        <f>VLOOKUP(B422,raw!A:K,9,0)</f>
        <v>17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144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13</v>
      </c>
      <c r="H423">
        <f>VLOOKUP(B423,raw!A:K,6,0)</f>
        <v>0</v>
      </c>
      <c r="I423">
        <f>VLOOKUP(B423,raw!A:K,9,0)</f>
        <v>21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18</v>
      </c>
      <c r="H424">
        <f>VLOOKUP(B424,raw!A:K,6,0)</f>
        <v>0</v>
      </c>
      <c r="I424">
        <f>VLOOKUP(B424,raw!A:K,9,0)</f>
        <v>38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16</v>
      </c>
      <c r="H425">
        <f>VLOOKUP(B425,raw!A:K,6,0)</f>
        <v>0</v>
      </c>
      <c r="I425">
        <f>VLOOKUP(B425,raw!A:K,9,0)</f>
        <v>20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141</v>
      </c>
      <c r="D426">
        <f>VLOOKUP(B426,raw!A:K,3,0)+VLOOKUP(B426,raw!A:K,7,0)</f>
        <v>134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7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137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12</v>
      </c>
      <c r="H431">
        <f>VLOOKUP(B431,raw!A:K,6,0)</f>
        <v>0</v>
      </c>
      <c r="I431">
        <f>VLOOKUP(B431,raw!A:K,9,0)</f>
        <v>148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160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121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7</v>
      </c>
      <c r="H434">
        <f>VLOOKUP(B434,raw!A:K,6,0)</f>
        <v>0</v>
      </c>
      <c r="I434">
        <f>VLOOKUP(B434,raw!A:K,9,0)</f>
        <v>41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2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224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14</v>
      </c>
      <c r="H437">
        <f>VLOOKUP(B437,raw!A:K,6,0)</f>
        <v>0</v>
      </c>
      <c r="I437">
        <f>VLOOKUP(B437,raw!A:K,9,0)</f>
        <v>35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112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96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91</v>
      </c>
      <c r="H439">
        <f>VLOOKUP(B439,raw!A:K,6,0)</f>
        <v>0</v>
      </c>
      <c r="I439">
        <f>VLOOKUP(B439,raw!A:K,9,0)</f>
        <v>16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114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17</v>
      </c>
      <c r="H441">
        <f>VLOOKUP(B441,raw!A:K,6,0)</f>
        <v>0</v>
      </c>
      <c r="I441">
        <f>VLOOKUP(B441,raw!A:K,9,0)</f>
        <v>12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168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6</v>
      </c>
      <c r="H444">
        <f>VLOOKUP(B444,raw!A:K,6,0)</f>
        <v>0</v>
      </c>
      <c r="I444">
        <f>VLOOKUP(B444,raw!A:K,9,0)</f>
        <v>71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79</v>
      </c>
      <c r="E446">
        <f>VLOOKUP(B446,raw!A:K,4,0)</f>
        <v>3</v>
      </c>
      <c r="F446">
        <f>VLOOKUP(B446,raw!A:K,5,0)</f>
        <v>17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10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53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39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3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58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53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50</v>
      </c>
      <c r="D453">
        <f>VLOOKUP(B453,raw!A:K,3,0)+VLOOKUP(B453,raw!A:K,7,0)</f>
        <v>36</v>
      </c>
      <c r="E453">
        <f>VLOOKUP(B453,raw!A:K,4,0)</f>
        <v>1</v>
      </c>
      <c r="F453">
        <f>VLOOKUP(B453,raw!A:K,5,0)</f>
        <v>0</v>
      </c>
      <c r="G453">
        <f>VLOOKUP(B453,raw!A:K,2,0)+VLOOKUP(B453,raw!A:K,10,0)</f>
        <v>12</v>
      </c>
      <c r="H453">
        <f>VLOOKUP(B453,raw!A:K,6,0)</f>
        <v>0</v>
      </c>
      <c r="I453">
        <f>VLOOKUP(B453,raw!A:K,9,0)</f>
        <v>1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178</v>
      </c>
      <c r="D454">
        <f>VLOOKUP(B454,raw!A:K,3,0)+VLOOKUP(B454,raw!A:K,7,0)</f>
        <v>133</v>
      </c>
      <c r="E454">
        <f>VLOOKUP(B454,raw!A:K,4,0)</f>
        <v>10</v>
      </c>
      <c r="F454">
        <f>VLOOKUP(B454,raw!A:K,5,0)</f>
        <v>35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125</v>
      </c>
      <c r="E455">
        <f>VLOOKUP(B455,raw!A:K,4,0)</f>
        <v>5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83</v>
      </c>
      <c r="E456">
        <f>VLOOKUP(B456,raw!A:K,4,0)</f>
        <v>4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1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72</v>
      </c>
      <c r="D457">
        <f>VLOOKUP(B457,raw!A:K,3,0)+VLOOKUP(B457,raw!A:K,7,0)</f>
        <v>58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13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51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180</v>
      </c>
      <c r="D459">
        <f>VLOOKUP(B459,raw!A:K,3,0)+VLOOKUP(B459,raw!A:K,7,0)</f>
        <v>142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7</v>
      </c>
      <c r="H459">
        <f>VLOOKUP(B459,raw!A:K,6,0)</f>
        <v>0</v>
      </c>
      <c r="I459">
        <f>VLOOKUP(B459,raw!A:K,9,0)</f>
        <v>29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162</v>
      </c>
      <c r="D460">
        <f>VLOOKUP(B460,raw!A:K,3,0)+VLOOKUP(B460,raw!A:K,7,0)</f>
        <v>123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16</v>
      </c>
      <c r="H460">
        <f>VLOOKUP(B460,raw!A:K,6,0)</f>
        <v>1</v>
      </c>
      <c r="I460">
        <f>VLOOKUP(B460,raw!A:K,9,0)</f>
        <v>12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96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5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122</v>
      </c>
      <c r="D464">
        <f>VLOOKUP(B464,raw!A:K,3,0)+VLOOKUP(B464,raw!A:K,7,0)</f>
        <v>17</v>
      </c>
      <c r="E464">
        <f>VLOOKUP(B464,raw!A:K,4,0)</f>
        <v>5</v>
      </c>
      <c r="F464">
        <f>VLOOKUP(B464,raw!A:K,5,0)</f>
        <v>0</v>
      </c>
      <c r="G464">
        <f>VLOOKUP(B464,raw!A:K,2,0)+VLOOKUP(B464,raw!A:K,10,0)</f>
        <v>24</v>
      </c>
      <c r="H464">
        <f>VLOOKUP(B464,raw!A:K,6,0)</f>
        <v>0</v>
      </c>
      <c r="I464">
        <f>VLOOKUP(B464,raw!A:K,9,0)</f>
        <v>76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28</v>
      </c>
      <c r="D465">
        <f>VLOOKUP(B465,raw!A:K,3,0)+VLOOKUP(B465,raw!A:K,7,0)</f>
        <v>25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32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4</v>
      </c>
      <c r="H466">
        <f>VLOOKUP(B466,raw!A:K,6,0)</f>
        <v>0</v>
      </c>
      <c r="I466">
        <f>VLOOKUP(B466,raw!A:K,9,0)</f>
        <v>0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37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5</v>
      </c>
      <c r="H468">
        <f>VLOOKUP(B468,raw!A:K,6,0)</f>
        <v>0</v>
      </c>
      <c r="I468">
        <f>VLOOKUP(B468,raw!A:K,9,0)</f>
        <v>10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58</v>
      </c>
      <c r="D469">
        <f>VLOOKUP(B469,raw!A:K,3,0)+VLOOKUP(B469,raw!A:K,7,0)</f>
        <v>49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2</v>
      </c>
      <c r="H469">
        <f>VLOOKUP(B469,raw!A:K,6,0)</f>
        <v>0</v>
      </c>
      <c r="I469">
        <f>VLOOKUP(B469,raw!A:K,9,0)</f>
        <v>7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18</v>
      </c>
      <c r="E470">
        <f>VLOOKUP(B470,raw!A:K,4,0)</f>
        <v>2</v>
      </c>
      <c r="F470">
        <f>VLOOKUP(B470,raw!A:K,5,0)</f>
        <v>13</v>
      </c>
      <c r="G470">
        <f>VLOOKUP(B470,raw!A:K,2,0)+VLOOKUP(B470,raw!A:K,10,0)</f>
        <v>2</v>
      </c>
      <c r="H470">
        <f>VLOOKUP(B470,raw!A:K,6,0)</f>
        <v>0</v>
      </c>
      <c r="I470">
        <f>VLOOKUP(B470,raw!A:K,9,0)</f>
        <v>81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58</v>
      </c>
      <c r="D471">
        <f>VLOOKUP(B471,raw!A:K,3,0)+VLOOKUP(B471,raw!A:K,7,0)</f>
        <v>0</v>
      </c>
      <c r="E471">
        <f>VLOOKUP(B471,raw!A:K,4,0)</f>
        <v>2</v>
      </c>
      <c r="F471">
        <f>VLOOKUP(B471,raw!A:K,5,0)</f>
        <v>3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51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61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16</v>
      </c>
      <c r="G473">
        <f>VLOOKUP(B473,raw!A:K,2,0)+VLOOKUP(B473,raw!A:K,10,0)</f>
        <v>5</v>
      </c>
      <c r="H473">
        <f>VLOOKUP(B473,raw!A:K,6,0)</f>
        <v>0</v>
      </c>
      <c r="I473">
        <f>VLOOKUP(B473,raw!A:K,9,0)</f>
        <v>53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69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5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113</v>
      </c>
      <c r="D475">
        <f>VLOOKUP(B475,raw!A:K,3,0)+VLOOKUP(B475,raw!A:K,7,0)</f>
        <v>55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51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171</v>
      </c>
      <c r="D476">
        <f>VLOOKUP(B476,raw!A:K,3,0)+VLOOKUP(B476,raw!A:K,7,0)</f>
        <v>23</v>
      </c>
      <c r="E476">
        <f>VLOOKUP(B476,raw!A:K,4,0)</f>
        <v>7</v>
      </c>
      <c r="F476">
        <f>VLOOKUP(B476,raw!A:K,5,0)</f>
        <v>0</v>
      </c>
      <c r="G476">
        <f>VLOOKUP(B476,raw!A:K,2,0)+VLOOKUP(B476,raw!A:K,10,0)</f>
        <v>5</v>
      </c>
      <c r="H476">
        <f>VLOOKUP(B476,raw!A:K,6,0)</f>
        <v>0</v>
      </c>
      <c r="I476">
        <f>VLOOKUP(B476,raw!A:K,9,0)</f>
        <v>136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7</v>
      </c>
      <c r="F479">
        <f>VLOOKUP(B479,raw!A:K,5,0)</f>
        <v>1</v>
      </c>
      <c r="G479">
        <f>VLOOKUP(B479,raw!A:K,2,0)+VLOOKUP(B479,raw!A:K,10,0)</f>
        <v>2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140</v>
      </c>
      <c r="D480">
        <f>VLOOKUP(B480,raw!A:K,3,0)+VLOOKUP(B480,raw!A:K,7,0)</f>
        <v>26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1</v>
      </c>
      <c r="H480">
        <f>VLOOKUP(B480,raw!A:K,6,0)</f>
        <v>0</v>
      </c>
      <c r="I480">
        <f>VLOOKUP(B480,raw!A:K,9,0)</f>
        <v>105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109</v>
      </c>
      <c r="D481">
        <f>VLOOKUP(B481,raw!A:K,3,0)+VLOOKUP(B481,raw!A:K,7,0)</f>
        <v>1</v>
      </c>
      <c r="E481">
        <f>VLOOKUP(B481,raw!A:K,4,0)</f>
        <v>13</v>
      </c>
      <c r="F481">
        <f>VLOOKUP(B481,raw!A:K,5,0)</f>
        <v>1</v>
      </c>
      <c r="G481">
        <f>VLOOKUP(B481,raw!A:K,2,0)+VLOOKUP(B481,raw!A:K,10,0)</f>
        <v>21</v>
      </c>
      <c r="H481">
        <f>VLOOKUP(B481,raw!A:K,6,0)</f>
        <v>0</v>
      </c>
      <c r="I481">
        <f>VLOOKUP(B481,raw!A:K,9,0)</f>
        <v>73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2</v>
      </c>
      <c r="F482">
        <f>VLOOKUP(B482,raw!A:K,5,0)</f>
        <v>0</v>
      </c>
      <c r="G482">
        <f>VLOOKUP(B482,raw!A:K,2,0)+VLOOKUP(B482,raw!A:K,10,0)</f>
        <v>6</v>
      </c>
      <c r="H482">
        <f>VLOOKUP(B482,raw!A:K,6,0)</f>
        <v>0</v>
      </c>
      <c r="I482">
        <f>VLOOKUP(B482,raw!A:K,9,0)</f>
        <v>90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61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113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45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119</v>
      </c>
      <c r="D488">
        <f>VLOOKUP(B488,raw!A:K,3,0)+VLOOKUP(B488,raw!A:K,7,0)</f>
        <v>79</v>
      </c>
      <c r="E488">
        <f>VLOOKUP(B488,raw!A:K,4,0)</f>
        <v>1</v>
      </c>
      <c r="F488">
        <f>VLOOKUP(B488,raw!A:K,5,0)</f>
        <v>0</v>
      </c>
      <c r="G488">
        <f>VLOOKUP(B488,raw!A:K,2,0)+VLOOKUP(B488,raw!A:K,10,0)</f>
        <v>2</v>
      </c>
      <c r="H488">
        <f>VLOOKUP(B488,raw!A:K,6,0)</f>
        <v>0</v>
      </c>
      <c r="I488">
        <f>VLOOKUP(B488,raw!A:K,9,0)</f>
        <v>37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184</v>
      </c>
      <c r="D489">
        <f>VLOOKUP(B489,raw!A:K,3,0)+VLOOKUP(B489,raw!A:K,7,0)</f>
        <v>21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2</v>
      </c>
      <c r="H489">
        <f>VLOOKUP(B489,raw!A:K,6,0)</f>
        <v>0</v>
      </c>
      <c r="I489">
        <f>VLOOKUP(B489,raw!A:K,9,0)</f>
        <v>161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4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177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11</v>
      </c>
      <c r="H491">
        <f>VLOOKUP(B491,raw!A:K,6,0)</f>
        <v>0</v>
      </c>
      <c r="I491">
        <f>VLOOKUP(B491,raw!A:K,9,0)</f>
        <v>126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158</v>
      </c>
      <c r="D492">
        <f>VLOOKUP(B492,raw!A:K,3,0)+VLOOKUP(B492,raw!A:K,7,0)</f>
        <v>134</v>
      </c>
      <c r="E492">
        <f>VLOOKUP(B492,raw!A:K,4,0)</f>
        <v>5</v>
      </c>
      <c r="F492">
        <f>VLOOKUP(B492,raw!A:K,5,0)</f>
        <v>0</v>
      </c>
      <c r="G492">
        <f>VLOOKUP(B492,raw!A:K,2,0)+VLOOKUP(B492,raw!A:K,10,0)</f>
        <v>12</v>
      </c>
      <c r="H492">
        <f>VLOOKUP(B492,raw!A:K,6,0)</f>
        <v>0</v>
      </c>
      <c r="I492">
        <f>VLOOKUP(B492,raw!A:K,9,0)</f>
        <v>7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148</v>
      </c>
      <c r="D494">
        <f>VLOOKUP(B494,raw!A:K,3,0)+VLOOKUP(B494,raw!A:K,7,0)</f>
        <v>139</v>
      </c>
      <c r="E494">
        <f>VLOOKUP(B494,raw!A:K,4,0)</f>
        <v>9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2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3</v>
      </c>
      <c r="H496">
        <f>VLOOKUP(B496,raw!A:K,6,0)</f>
        <v>1</v>
      </c>
      <c r="I496">
        <f>VLOOKUP(B496,raw!A:K,9,0)</f>
        <v>2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287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6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224</v>
      </c>
      <c r="D498">
        <f>VLOOKUP(B498,raw!A:K,3,0)+VLOOKUP(B498,raw!A:K,7,0)</f>
        <v>214</v>
      </c>
      <c r="E498">
        <f>VLOOKUP(B498,raw!A:K,4,0)</f>
        <v>1</v>
      </c>
      <c r="F498">
        <f>VLOOKUP(B498,raw!A:K,5,0)</f>
        <v>0</v>
      </c>
      <c r="G498">
        <f>VLOOKUP(B498,raw!A:K,2,0)+VLOOKUP(B498,raw!A:K,10,0)</f>
        <v>2</v>
      </c>
      <c r="H498">
        <f>VLOOKUP(B498,raw!A:K,6,0)</f>
        <v>0</v>
      </c>
      <c r="I498">
        <f>VLOOKUP(B498,raw!A:K,9,0)</f>
        <v>7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3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86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92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199</v>
      </c>
      <c r="D502">
        <f>VLOOKUP(B502,raw!A:K,3,0)+VLOOKUP(B502,raw!A:K,7,0)</f>
        <v>100</v>
      </c>
      <c r="E502">
        <f>VLOOKUP(B502,raw!A:K,4,0)</f>
        <v>1</v>
      </c>
      <c r="F502">
        <f>VLOOKUP(B502,raw!A:K,5,0)</f>
        <v>3</v>
      </c>
      <c r="G502">
        <f>VLOOKUP(B502,raw!A:K,2,0)+VLOOKUP(B502,raw!A:K,10,0)</f>
        <v>73</v>
      </c>
      <c r="H502">
        <f>VLOOKUP(B502,raw!A:K,6,0)</f>
        <v>0</v>
      </c>
      <c r="I502">
        <f>VLOOKUP(B502,raw!A:K,9,0)</f>
        <v>22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114</v>
      </c>
      <c r="D503">
        <f>VLOOKUP(B503,raw!A:K,3,0)+VLOOKUP(B503,raw!A:K,7,0)</f>
        <v>40</v>
      </c>
      <c r="E503">
        <f>VLOOKUP(B503,raw!A:K,4,0)</f>
        <v>4</v>
      </c>
      <c r="F503">
        <f>VLOOKUP(B503,raw!A:K,5,0)</f>
        <v>0</v>
      </c>
      <c r="G503">
        <f>VLOOKUP(B503,raw!A:K,2,0)+VLOOKUP(B503,raw!A:K,10,0)</f>
        <v>20</v>
      </c>
      <c r="H503">
        <f>VLOOKUP(B503,raw!A:K,6,0)</f>
        <v>0</v>
      </c>
      <c r="I503">
        <f>VLOOKUP(B503,raw!A:K,9,0)</f>
        <v>50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184</v>
      </c>
      <c r="D504">
        <f>VLOOKUP(B504,raw!A:K,3,0)+VLOOKUP(B504,raw!A:K,7,0)</f>
        <v>95</v>
      </c>
      <c r="E504">
        <f>VLOOKUP(B504,raw!A:K,4,0)</f>
        <v>14</v>
      </c>
      <c r="F504">
        <f>VLOOKUP(B504,raw!A:K,5,0)</f>
        <v>0</v>
      </c>
      <c r="G504">
        <f>VLOOKUP(B504,raw!A:K,2,0)+VLOOKUP(B504,raw!A:K,10,0)</f>
        <v>22</v>
      </c>
      <c r="H504">
        <f>VLOOKUP(B504,raw!A:K,6,0)</f>
        <v>10</v>
      </c>
      <c r="I504">
        <f>VLOOKUP(B504,raw!A:K,9,0)</f>
        <v>43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42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15</v>
      </c>
      <c r="H506">
        <f>VLOOKUP(B506,raw!A:K,6,0)</f>
        <v>13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69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37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145</v>
      </c>
      <c r="D508">
        <f>VLOOKUP(B508,raw!A:K,3,0)+VLOOKUP(B508,raw!A:K,7,0)</f>
        <v>106</v>
      </c>
      <c r="E508">
        <f>VLOOKUP(B508,raw!A:K,4,0)</f>
        <v>3</v>
      </c>
      <c r="F508">
        <f>VLOOKUP(B508,raw!A:K,5,0)</f>
        <v>0</v>
      </c>
      <c r="G508">
        <f>VLOOKUP(B508,raw!A:K,2,0)+VLOOKUP(B508,raw!A:K,10,0)</f>
        <v>2</v>
      </c>
      <c r="H508">
        <f>VLOOKUP(B508,raw!A:K,6,0)</f>
        <v>0</v>
      </c>
      <c r="I508">
        <f>VLOOKUP(B508,raw!A:K,9,0)</f>
        <v>34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19</v>
      </c>
      <c r="H509">
        <f>VLOOKUP(B509,raw!A:K,6,0)</f>
        <v>1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29</v>
      </c>
      <c r="E510">
        <f>VLOOKUP(B510,raw!A:K,4,0)</f>
        <v>10</v>
      </c>
      <c r="F510">
        <f>VLOOKUP(B510,raw!A:K,5,0)</f>
        <v>0</v>
      </c>
      <c r="G510">
        <f>VLOOKUP(B510,raw!A:K,2,0)+VLOOKUP(B510,raw!A:K,10,0)</f>
        <v>43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112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10</v>
      </c>
      <c r="H511">
        <f>VLOOKUP(B511,raw!A:K,6,0)</f>
        <v>0</v>
      </c>
      <c r="I511">
        <f>VLOOKUP(B511,raw!A:K,9,0)</f>
        <v>9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109</v>
      </c>
      <c r="D512">
        <f>VLOOKUP(B512,raw!A:K,3,0)+VLOOKUP(B512,raw!A:K,7,0)</f>
        <v>99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2</v>
      </c>
      <c r="H512">
        <f>VLOOKUP(B512,raw!A:K,6,0)</f>
        <v>1</v>
      </c>
      <c r="I512">
        <f>VLOOKUP(B512,raw!A:K,9,0)</f>
        <v>7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61</v>
      </c>
      <c r="D517">
        <f>VLOOKUP(B517,raw!A:K,3,0)+VLOOKUP(B517,raw!A:K,7,0)</f>
        <v>24</v>
      </c>
      <c r="E517">
        <f>VLOOKUP(B517,raw!A:K,4,0)</f>
        <v>0</v>
      </c>
      <c r="F517">
        <f>VLOOKUP(B517,raw!A:K,5,0)</f>
        <v>3</v>
      </c>
      <c r="G517">
        <f>VLOOKUP(B517,raw!A:K,2,0)+VLOOKUP(B517,raw!A:K,10,0)</f>
        <v>34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88</v>
      </c>
      <c r="D518">
        <f>VLOOKUP(B518,raw!A:K,3,0)+VLOOKUP(B518,raw!A:K,7,0)</f>
        <v>77</v>
      </c>
      <c r="E518">
        <f>VLOOKUP(B518,raw!A:K,4,0)</f>
        <v>0</v>
      </c>
      <c r="F518">
        <f>VLOOKUP(B518,raw!A:K,5,0)</f>
        <v>8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82</v>
      </c>
      <c r="D519">
        <f>VLOOKUP(B519,raw!A:K,3,0)+VLOOKUP(B519,raw!A:K,7,0)</f>
        <v>60</v>
      </c>
      <c r="E519">
        <f>VLOOKUP(B519,raw!A:K,4,0)</f>
        <v>0</v>
      </c>
      <c r="F519">
        <f>VLOOKUP(B519,raw!A:K,5,0)</f>
        <v>19</v>
      </c>
      <c r="G519">
        <f>VLOOKUP(B519,raw!A:K,2,0)+VLOOKUP(B519,raw!A:K,10,0)</f>
        <v>3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93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9</v>
      </c>
      <c r="H521">
        <f>VLOOKUP(B521,raw!A:K,6,0)</f>
        <v>2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62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1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118</v>
      </c>
      <c r="D523">
        <f>VLOOKUP(B523,raw!A:K,3,0)+VLOOKUP(B523,raw!A:K,7,0)</f>
        <v>55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60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113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1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120</v>
      </c>
      <c r="D526">
        <f>VLOOKUP(B526,raw!A:K,3,0)+VLOOKUP(B526,raw!A:K,7,0)</f>
        <v>115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2</v>
      </c>
      <c r="H526">
        <f>VLOOKUP(B526,raw!A:K,6,0)</f>
        <v>1</v>
      </c>
      <c r="I526">
        <f>VLOOKUP(B526,raw!A:K,9,0)</f>
        <v>2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103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2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75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89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5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63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1</v>
      </c>
      <c r="G529">
        <f>VLOOKUP(B529,raw!A:K,2,0)+VLOOKUP(B529,raw!A:K,10,0)</f>
        <v>1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19</v>
      </c>
      <c r="E531">
        <f>VLOOKUP(B531,raw!A:K,4,0)</f>
        <v>1</v>
      </c>
      <c r="F531">
        <f>VLOOKUP(B531,raw!A:K,5,0)</f>
        <v>2</v>
      </c>
      <c r="G531">
        <f>VLOOKUP(B531,raw!A:K,2,0)+VLOOKUP(B531,raw!A:K,10,0)</f>
        <v>26</v>
      </c>
      <c r="H531">
        <f>VLOOKUP(B531,raw!A:K,6,0)</f>
        <v>0</v>
      </c>
      <c r="I531">
        <f>VLOOKUP(B531,raw!A:K,9,0)</f>
        <v>30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111</v>
      </c>
      <c r="D533">
        <f>VLOOKUP(B533,raw!A:K,3,0)+VLOOKUP(B533,raw!A:K,7,0)</f>
        <v>24</v>
      </c>
      <c r="E533">
        <f>VLOOKUP(B533,raw!A:K,4,0)</f>
        <v>1</v>
      </c>
      <c r="F533">
        <f>VLOOKUP(B533,raw!A:K,5,0)</f>
        <v>12</v>
      </c>
      <c r="G533">
        <f>VLOOKUP(B533,raw!A:K,2,0)+VLOOKUP(B533,raw!A:K,10,0)</f>
        <v>4</v>
      </c>
      <c r="H533">
        <f>VLOOKUP(B533,raw!A:K,6,0)</f>
        <v>0</v>
      </c>
      <c r="I533">
        <f>VLOOKUP(B533,raw!A:K,9,0)</f>
        <v>70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74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3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59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80</v>
      </c>
      <c r="D538">
        <f>VLOOKUP(B538,raw!A:K,3,0)+VLOOKUP(B538,raw!A:K,7,0)</f>
        <v>14</v>
      </c>
      <c r="E538">
        <f>VLOOKUP(B538,raw!A:K,4,0)</f>
        <v>0</v>
      </c>
      <c r="F538">
        <f>VLOOKUP(B538,raw!A:K,5,0)</f>
        <v>6</v>
      </c>
      <c r="G538">
        <f>VLOOKUP(B538,raw!A:K,2,0)+VLOOKUP(B538,raw!A:K,10,0)</f>
        <v>2</v>
      </c>
      <c r="H538">
        <f>VLOOKUP(B538,raw!A:K,6,0)</f>
        <v>0</v>
      </c>
      <c r="I538">
        <f>VLOOKUP(B538,raw!A:K,9,0)</f>
        <v>58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110</v>
      </c>
      <c r="D539">
        <f>VLOOKUP(B539,raw!A:K,3,0)+VLOOKUP(B539,raw!A:K,7,0)</f>
        <v>28</v>
      </c>
      <c r="E539">
        <f>VLOOKUP(B539,raw!A:K,4,0)</f>
        <v>0</v>
      </c>
      <c r="F539">
        <f>VLOOKUP(B539,raw!A:K,5,0)</f>
        <v>6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76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86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22</v>
      </c>
      <c r="G540">
        <f>VLOOKUP(B540,raw!A:K,2,0)+VLOOKUP(B540,raw!A:K,10,0)</f>
        <v>4</v>
      </c>
      <c r="H540">
        <f>VLOOKUP(B540,raw!A:K,6,0)</f>
        <v>0</v>
      </c>
      <c r="I540">
        <f>VLOOKUP(B540,raw!A:K,9,0)</f>
        <v>40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95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3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84</v>
      </c>
      <c r="D542">
        <f>VLOOKUP(B542,raw!A:K,3,0)+VLOOKUP(B542,raw!A:K,7,0)</f>
        <v>33</v>
      </c>
      <c r="E542">
        <f>VLOOKUP(B542,raw!A:K,4,0)</f>
        <v>0</v>
      </c>
      <c r="F542">
        <f>VLOOKUP(B542,raw!A:K,5,0)</f>
        <v>7</v>
      </c>
      <c r="G542">
        <f>VLOOKUP(B542,raw!A:K,2,0)+VLOOKUP(B542,raw!A:K,10,0)</f>
        <v>13</v>
      </c>
      <c r="H542">
        <f>VLOOKUP(B542,raw!A:K,6,0)</f>
        <v>0</v>
      </c>
      <c r="I542">
        <f>VLOOKUP(B542,raw!A:K,9,0)</f>
        <v>31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3</v>
      </c>
      <c r="G543">
        <f>VLOOKUP(B543,raw!A:K,2,0)+VLOOKUP(B543,raw!A:K,10,0)</f>
        <v>5</v>
      </c>
      <c r="H543">
        <f>VLOOKUP(B543,raw!A:K,6,0)</f>
        <v>0</v>
      </c>
      <c r="I543">
        <f>VLOOKUP(B543,raw!A:K,9,0)</f>
        <v>48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114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22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70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61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5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42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65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1</v>
      </c>
      <c r="H551">
        <f>VLOOKUP(B551,raw!A:K,6,0)</f>
        <v>0</v>
      </c>
      <c r="I551">
        <f>VLOOKUP(B551,raw!A:K,9,0)</f>
        <v>31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6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41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29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37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34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1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29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44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2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1</v>
      </c>
      <c r="F560">
        <f>VLOOKUP(B560,raw!A:K,5,0)</f>
        <v>1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16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61</v>
      </c>
      <c r="D562">
        <f>VLOOKUP(B562,raw!A:K,3,0)+VLOOKUP(B562,raw!A:K,7,0)</f>
        <v>13</v>
      </c>
      <c r="E562">
        <f>VLOOKUP(B562,raw!A:K,4,0)</f>
        <v>0</v>
      </c>
      <c r="F562">
        <f>VLOOKUP(B562,raw!A:K,5,0)</f>
        <v>3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44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39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2</v>
      </c>
      <c r="G566">
        <f>VLOOKUP(B566,raw!A:K,2,0)+VLOOKUP(B566,raw!A:K,10,0)</f>
        <v>12</v>
      </c>
      <c r="H566">
        <f>VLOOKUP(B566,raw!A:K,6,0)</f>
        <v>0</v>
      </c>
      <c r="I566">
        <f>VLOOKUP(B566,raw!A:K,9,0)</f>
        <v>23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1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29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68</v>
      </c>
      <c r="D570">
        <f>VLOOKUP(B570,raw!A:K,3,0)+VLOOKUP(B570,raw!A:K,7,0)</f>
        <v>16</v>
      </c>
      <c r="E570">
        <f>VLOOKUP(B570,raw!A:K,4,0)</f>
        <v>3</v>
      </c>
      <c r="F570">
        <f>VLOOKUP(B570,raw!A:K,5,0)</f>
        <v>2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46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49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2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37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23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1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109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1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108</v>
      </c>
      <c r="E576">
        <f>VLOOKUP(B576,raw!A:K,4,0)</f>
        <v>5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2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99</v>
      </c>
      <c r="E577">
        <f>VLOOKUP(B577,raw!A:K,4,0)</f>
        <v>1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45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15</v>
      </c>
      <c r="H578">
        <f>VLOOKUP(B578,raw!A:K,6,0)</f>
        <v>0</v>
      </c>
      <c r="I578">
        <f>VLOOKUP(B578,raw!A:K,9,0)</f>
        <v>1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31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8</v>
      </c>
      <c r="H579">
        <f>VLOOKUP(B579,raw!A:K,6,0)</f>
        <v>1</v>
      </c>
      <c r="I579">
        <f>VLOOKUP(B579,raw!A:K,9,0)</f>
        <v>29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58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18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66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1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52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5</v>
      </c>
      <c r="H588">
        <f>VLOOKUP(B588,raw!A:K,6,0)</f>
        <v>0</v>
      </c>
      <c r="I588">
        <f>VLOOKUP(B588,raw!A:K,9,0)</f>
        <v>6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52</v>
      </c>
      <c r="D589">
        <f>VLOOKUP(B589,raw!A:K,3,0)+VLOOKUP(B589,raw!A:K,7,0)</f>
        <v>39</v>
      </c>
      <c r="E589">
        <f>VLOOKUP(B589,raw!A:K,4,0)</f>
        <v>0</v>
      </c>
      <c r="F589">
        <f>VLOOKUP(B589,raw!A:K,5,0)</f>
        <v>1</v>
      </c>
      <c r="G589">
        <f>VLOOKUP(B589,raw!A:K,2,0)+VLOOKUP(B589,raw!A:K,10,0)</f>
        <v>12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0</v>
      </c>
      <c r="F590">
        <f>VLOOKUP(B590,raw!A:K,5,0)</f>
        <v>1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20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54</v>
      </c>
      <c r="D591">
        <f>VLOOKUP(B591,raw!A:K,3,0)+VLOOKUP(B591,raw!A:K,7,0)</f>
        <v>32</v>
      </c>
      <c r="E591">
        <f>VLOOKUP(B591,raw!A:K,4,0)</f>
        <v>1</v>
      </c>
      <c r="F591">
        <f>VLOOKUP(B591,raw!A:K,5,0)</f>
        <v>3</v>
      </c>
      <c r="G591">
        <f>VLOOKUP(B591,raw!A:K,2,0)+VLOOKUP(B591,raw!A:K,10,0)</f>
        <v>9</v>
      </c>
      <c r="H591">
        <f>VLOOKUP(B591,raw!A:K,6,0)</f>
        <v>2</v>
      </c>
      <c r="I591">
        <f>VLOOKUP(B591,raw!A:K,9,0)</f>
        <v>7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44</v>
      </c>
      <c r="D592">
        <f>VLOOKUP(B592,raw!A:K,3,0)+VLOOKUP(B592,raw!A:K,7,0)</f>
        <v>26</v>
      </c>
      <c r="E592">
        <f>VLOOKUP(B592,raw!A:K,4,0)</f>
        <v>5</v>
      </c>
      <c r="F592">
        <f>VLOOKUP(B592,raw!A:K,5,0)</f>
        <v>0</v>
      </c>
      <c r="G592">
        <f>VLOOKUP(B592,raw!A:K,2,0)+VLOOKUP(B592,raw!A:K,10,0)</f>
        <v>1</v>
      </c>
      <c r="H592">
        <f>VLOOKUP(B592,raw!A:K,6,0)</f>
        <v>0</v>
      </c>
      <c r="I592">
        <f>VLOOKUP(B592,raw!A:K,9,0)</f>
        <v>12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3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1</v>
      </c>
      <c r="F594">
        <f>VLOOKUP(B594,raw!A:K,5,0)</f>
        <v>3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1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45</v>
      </c>
      <c r="E596">
        <f>VLOOKUP(B596,raw!A:K,4,0)</f>
        <v>2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27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1</v>
      </c>
      <c r="F601">
        <f>VLOOKUP(B601,raw!A:K,5,0)</f>
        <v>0</v>
      </c>
      <c r="G601">
        <f>VLOOKUP(B601,raw!A:K,2,0)+VLOOKUP(B601,raw!A:K,10,0)</f>
        <v>1</v>
      </c>
      <c r="H601">
        <f>VLOOKUP(B601,raw!A:K,6,0)</f>
        <v>0</v>
      </c>
      <c r="I601">
        <f>VLOOKUP(B601,raw!A:K,9,0)</f>
        <v>2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24</v>
      </c>
      <c r="E602">
        <f>VLOOKUP(B602,raw!A:K,4,0)</f>
        <v>2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6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39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2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53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4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69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2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36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2</v>
      </c>
      <c r="H609">
        <f>VLOOKUP(B609,raw!A:K,6,0)</f>
        <v>0</v>
      </c>
      <c r="I609">
        <f>VLOOKUP(B609,raw!A:K,9,0)</f>
        <v>2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64</v>
      </c>
      <c r="D610">
        <f>VLOOKUP(B610,raw!A:K,3,0)+VLOOKUP(B610,raw!A:K,7,0)</f>
        <v>61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46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1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55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68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4</v>
      </c>
      <c r="H613">
        <f>VLOOKUP(B613,raw!A:K,6,0)</f>
        <v>0</v>
      </c>
      <c r="I613">
        <f>VLOOKUP(B613,raw!A:K,9,0)</f>
        <v>3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66</v>
      </c>
      <c r="D614">
        <f>VLOOKUP(B614,raw!A:K,3,0)+VLOOKUP(B614,raw!A:K,7,0)</f>
        <v>54</v>
      </c>
      <c r="E614">
        <f>VLOOKUP(B614,raw!A:K,4,0)</f>
        <v>0</v>
      </c>
      <c r="F614">
        <f>VLOOKUP(B614,raw!A:K,5,0)</f>
        <v>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6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62</v>
      </c>
      <c r="E615">
        <f>VLOOKUP(B615,raw!A:K,4,0)</f>
        <v>1</v>
      </c>
      <c r="F615">
        <f>VLOOKUP(B615,raw!A:K,5,0)</f>
        <v>1</v>
      </c>
      <c r="G615">
        <f>VLOOKUP(B615,raw!A:K,2,0)+VLOOKUP(B615,raw!A:K,10,0)</f>
        <v>2</v>
      </c>
      <c r="H615">
        <f>VLOOKUP(B615,raw!A:K,6,0)</f>
        <v>1</v>
      </c>
      <c r="I615">
        <f>VLOOKUP(B615,raw!A:K,9,0)</f>
        <v>11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78</v>
      </c>
      <c r="D616">
        <f>VLOOKUP(B616,raw!A:K,3,0)+VLOOKUP(B616,raw!A:K,7,0)</f>
        <v>46</v>
      </c>
      <c r="E616">
        <f>VLOOKUP(B616,raw!A:K,4,0)</f>
        <v>10</v>
      </c>
      <c r="F616">
        <f>VLOOKUP(B616,raw!A:K,5,0)</f>
        <v>5</v>
      </c>
      <c r="G616">
        <f>VLOOKUP(B616,raw!A:K,2,0)+VLOOKUP(B616,raw!A:K,10,0)</f>
        <v>1</v>
      </c>
      <c r="H616">
        <f>VLOOKUP(B616,raw!A:K,6,0)</f>
        <v>0</v>
      </c>
      <c r="I616">
        <f>VLOOKUP(B616,raw!A:K,9,0)</f>
        <v>16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73</v>
      </c>
      <c r="D617">
        <f>VLOOKUP(B617,raw!A:K,3,0)+VLOOKUP(B617,raw!A:K,7,0)</f>
        <v>47</v>
      </c>
      <c r="E617">
        <f>VLOOKUP(B617,raw!A:K,4,0)</f>
        <v>4</v>
      </c>
      <c r="F617">
        <f>VLOOKUP(B617,raw!A:K,5,0)</f>
        <v>1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21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45</v>
      </c>
      <c r="E618">
        <f>VLOOKUP(B618,raw!A:K,4,0)</f>
        <v>4</v>
      </c>
      <c r="F618">
        <f>VLOOKUP(B618,raw!A:K,5,0)</f>
        <v>1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2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62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1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47</v>
      </c>
      <c r="D621">
        <f>VLOOKUP(B621,raw!A:K,3,0)+VLOOKUP(B621,raw!A:K,7,0)</f>
        <v>15</v>
      </c>
      <c r="E621">
        <f>VLOOKUP(B621,raw!A:K,4,0)</f>
        <v>1</v>
      </c>
      <c r="F621">
        <f>VLOOKUP(B621,raw!A:K,5,0)</f>
        <v>14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17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125</v>
      </c>
      <c r="D622">
        <f>VLOOKUP(B622,raw!A:K,3,0)+VLOOKUP(B622,raw!A:K,7,0)</f>
        <v>109</v>
      </c>
      <c r="E622">
        <f>VLOOKUP(B622,raw!A:K,4,0)</f>
        <v>0</v>
      </c>
      <c r="F622">
        <f>VLOOKUP(B622,raw!A:K,5,0)</f>
        <v>2</v>
      </c>
      <c r="G622">
        <f>VLOOKUP(B622,raw!A:K,2,0)+VLOOKUP(B622,raw!A:K,10,0)</f>
        <v>12</v>
      </c>
      <c r="H622">
        <f>VLOOKUP(B622,raw!A:K,6,0)</f>
        <v>0</v>
      </c>
      <c r="I622">
        <f>VLOOKUP(B622,raw!A:K,9,0)</f>
        <v>2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81</v>
      </c>
      <c r="D623">
        <f>VLOOKUP(B623,raw!A:K,3,0)+VLOOKUP(B623,raw!A:K,7,0)</f>
        <v>35</v>
      </c>
      <c r="E623">
        <f>VLOOKUP(B623,raw!A:K,4,0)</f>
        <v>2</v>
      </c>
      <c r="F623">
        <f>VLOOKUP(B623,raw!A:K,5,0)</f>
        <v>19</v>
      </c>
      <c r="G623">
        <f>VLOOKUP(B623,raw!A:K,2,0)+VLOOKUP(B623,raw!A:K,10,0)</f>
        <v>4</v>
      </c>
      <c r="H623">
        <f>VLOOKUP(B623,raw!A:K,6,0)</f>
        <v>0</v>
      </c>
      <c r="I623">
        <f>VLOOKUP(B623,raw!A:K,9,0)</f>
        <v>21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44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4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53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6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64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7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0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3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1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5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34</v>
      </c>
      <c r="E629">
        <f>VLOOKUP(B629,raw!A:K,4,0)</f>
        <v>1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11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31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8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35</v>
      </c>
      <c r="E631">
        <f>VLOOKUP(B631,raw!A:K,4,0)</f>
        <v>1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25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16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18</v>
      </c>
      <c r="E633">
        <f>VLOOKUP(B633,raw!A:K,4,0)</f>
        <v>3</v>
      </c>
      <c r="F633">
        <f>VLOOKUP(B633,raw!A:K,5,0)</f>
        <v>24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15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145</v>
      </c>
      <c r="D634">
        <f>VLOOKUP(B634,raw!A:K,3,0)+VLOOKUP(B634,raw!A:K,7,0)</f>
        <v>93</v>
      </c>
      <c r="E634">
        <f>VLOOKUP(B634,raw!A:K,4,0)</f>
        <v>0</v>
      </c>
      <c r="F634">
        <f>VLOOKUP(B634,raw!A:K,5,0)</f>
        <v>38</v>
      </c>
      <c r="G634">
        <f>VLOOKUP(B634,raw!A:K,2,0)+VLOOKUP(B634,raw!A:K,10,0)</f>
        <v>7</v>
      </c>
      <c r="H634">
        <f>VLOOKUP(B634,raw!A:K,6,0)</f>
        <v>0</v>
      </c>
      <c r="I634">
        <f>VLOOKUP(B634,raw!A:K,9,0)</f>
        <v>7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83</v>
      </c>
      <c r="D635">
        <f>VLOOKUP(B635,raw!A:K,3,0)+VLOOKUP(B635,raw!A:K,7,0)</f>
        <v>57</v>
      </c>
      <c r="E635">
        <f>VLOOKUP(B635,raw!A:K,4,0)</f>
        <v>1</v>
      </c>
      <c r="F635">
        <f>VLOOKUP(B635,raw!A:K,5,0)</f>
        <v>10</v>
      </c>
      <c r="G635">
        <f>VLOOKUP(B635,raw!A:K,2,0)+VLOOKUP(B635,raw!A:K,10,0)</f>
        <v>5</v>
      </c>
      <c r="H635">
        <f>VLOOKUP(B635,raw!A:K,6,0)</f>
        <v>0</v>
      </c>
      <c r="I635">
        <f>VLOOKUP(B635,raw!A:K,9,0)</f>
        <v>10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64</v>
      </c>
      <c r="E636">
        <f>VLOOKUP(B636,raw!A:K,4,0)</f>
        <v>0</v>
      </c>
      <c r="F636">
        <f>VLOOKUP(B636,raw!A:K,5,0)</f>
        <v>3</v>
      </c>
      <c r="G636">
        <f>VLOOKUP(B636,raw!A:K,2,0)+VLOOKUP(B636,raw!A:K,10,0)</f>
        <v>0</v>
      </c>
      <c r="H636">
        <f>VLOOKUP(B636,raw!A:K,6,0)</f>
        <v>2</v>
      </c>
      <c r="I636">
        <f>VLOOKUP(B636,raw!A:K,9,0)</f>
        <v>1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1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44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3</v>
      </c>
      <c r="H638">
        <f>VLOOKUP(B638,raw!A:K,6,0)</f>
        <v>0</v>
      </c>
      <c r="I638">
        <f>VLOOKUP(B638,raw!A:K,9,0)</f>
        <v>1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80</v>
      </c>
      <c r="E639">
        <f>VLOOKUP(B639,raw!A:K,4,0)</f>
        <v>0</v>
      </c>
      <c r="F639">
        <f>VLOOKUP(B639,raw!A:K,5,0)</f>
        <v>20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9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51</v>
      </c>
      <c r="E640">
        <f>VLOOKUP(B640,raw!A:K,4,0)</f>
        <v>0</v>
      </c>
      <c r="F640">
        <f>VLOOKUP(B640,raw!A:K,5,0)</f>
        <v>20</v>
      </c>
      <c r="G640">
        <f>VLOOKUP(B640,raw!A:K,2,0)+VLOOKUP(B640,raw!A:K,10,0)</f>
        <v>5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83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3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84</v>
      </c>
      <c r="E642">
        <f>VLOOKUP(B642,raw!A:K,4,0)</f>
        <v>0</v>
      </c>
      <c r="F642">
        <f>VLOOKUP(B642,raw!A:K,5,0)</f>
        <v>2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7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97</v>
      </c>
      <c r="D643">
        <f>VLOOKUP(B643,raw!A:K,3,0)+VLOOKUP(B643,raw!A:K,7,0)</f>
        <v>70</v>
      </c>
      <c r="E643">
        <f>VLOOKUP(B643,raw!A:K,4,0)</f>
        <v>3</v>
      </c>
      <c r="F643">
        <f>VLOOKUP(B643,raw!A:K,5,0)</f>
        <v>0</v>
      </c>
      <c r="G643">
        <f>VLOOKUP(B643,raw!A:K,2,0)+VLOOKUP(B643,raw!A:K,10,0)</f>
        <v>5</v>
      </c>
      <c r="H643">
        <f>VLOOKUP(B643,raw!A:K,6,0)</f>
        <v>0</v>
      </c>
      <c r="I643">
        <f>VLOOKUP(B643,raw!A:K,9,0)</f>
        <v>19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112</v>
      </c>
      <c r="D644">
        <f>VLOOKUP(B644,raw!A:K,3,0)+VLOOKUP(B644,raw!A:K,7,0)</f>
        <v>55</v>
      </c>
      <c r="E644">
        <f>VLOOKUP(B644,raw!A:K,4,0)</f>
        <v>2</v>
      </c>
      <c r="F644">
        <f>VLOOKUP(B644,raw!A:K,5,0)</f>
        <v>1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44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126</v>
      </c>
      <c r="D645">
        <f>VLOOKUP(B645,raw!A:K,3,0)+VLOOKUP(B645,raw!A:K,7,0)</f>
        <v>47</v>
      </c>
      <c r="E645">
        <f>VLOOKUP(B645,raw!A:K,4,0)</f>
        <v>1</v>
      </c>
      <c r="F645">
        <f>VLOOKUP(B645,raw!A:K,5,0)</f>
        <v>6</v>
      </c>
      <c r="G645">
        <f>VLOOKUP(B645,raw!A:K,2,0)+VLOOKUP(B645,raw!A:K,10,0)</f>
        <v>8</v>
      </c>
      <c r="H645">
        <f>VLOOKUP(B645,raw!A:K,6,0)</f>
        <v>0</v>
      </c>
      <c r="I645">
        <f>VLOOKUP(B645,raw!A:K,9,0)</f>
        <v>64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3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9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50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1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6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6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4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3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149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7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50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188</v>
      </c>
      <c r="D656">
        <f>VLOOKUP(B656,raw!A:K,3,0)+VLOOKUP(B656,raw!A:K,7,0)</f>
        <v>118</v>
      </c>
      <c r="E656">
        <f>VLOOKUP(B656,raw!A:K,4,0)</f>
        <v>3</v>
      </c>
      <c r="F656">
        <f>VLOOKUP(B656,raw!A:K,5,0)</f>
        <v>48</v>
      </c>
      <c r="G656">
        <f>VLOOKUP(B656,raw!A:K,2,0)+VLOOKUP(B656,raw!A:K,10,0)</f>
        <v>0</v>
      </c>
      <c r="H656">
        <f>VLOOKUP(B656,raw!A:K,6,0)</f>
        <v>2</v>
      </c>
      <c r="I656">
        <f>VLOOKUP(B656,raw!A:K,9,0)</f>
        <v>17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48</v>
      </c>
      <c r="E657">
        <f>VLOOKUP(B657,raw!A:K,4,0)</f>
        <v>4</v>
      </c>
      <c r="F657">
        <f>VLOOKUP(B657,raw!A:K,5,0)</f>
        <v>10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28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39</v>
      </c>
      <c r="D658">
        <f>VLOOKUP(B658,raw!A:K,3,0)+VLOOKUP(B658,raw!A:K,7,0)</f>
        <v>17</v>
      </c>
      <c r="E658">
        <f>VLOOKUP(B658,raw!A:K,4,0)</f>
        <v>0</v>
      </c>
      <c r="F658">
        <f>VLOOKUP(B658,raw!A:K,5,0)</f>
        <v>1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21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72</v>
      </c>
      <c r="D659">
        <f>VLOOKUP(B659,raw!A:K,3,0)+VLOOKUP(B659,raw!A:K,7,0)</f>
        <v>38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29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63</v>
      </c>
      <c r="E660">
        <f>VLOOKUP(B660,raw!A:K,4,0)</f>
        <v>4</v>
      </c>
      <c r="F660">
        <f>VLOOKUP(B660,raw!A:K,5,0)</f>
        <v>5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21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84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6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154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2</v>
      </c>
      <c r="F666">
        <f>VLOOKUP(B666,raw!A:K,5,0)</f>
        <v>5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91</v>
      </c>
      <c r="D667">
        <f>VLOOKUP(B667,raw!A:K,3,0)+VLOOKUP(B667,raw!A:K,7,0)</f>
        <v>25</v>
      </c>
      <c r="E667">
        <f>VLOOKUP(B667,raw!A:K,4,0)</f>
        <v>12</v>
      </c>
      <c r="F667">
        <f>VLOOKUP(B667,raw!A:K,5,0)</f>
        <v>15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39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5</v>
      </c>
      <c r="F668">
        <f>VLOOKUP(B668,raw!A:K,5,0)</f>
        <v>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43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31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54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92</v>
      </c>
      <c r="D670">
        <f>VLOOKUP(B670,raw!A:K,3,0)+VLOOKUP(B670,raw!A:K,7,0)</f>
        <v>20</v>
      </c>
      <c r="E670">
        <f>VLOOKUP(B670,raw!A:K,4,0)</f>
        <v>31</v>
      </c>
      <c r="F670">
        <f>VLOOKUP(B670,raw!A:K,5,0)</f>
        <v>25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16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102</v>
      </c>
      <c r="D671">
        <f>VLOOKUP(B671,raw!A:K,3,0)+VLOOKUP(B671,raw!A:K,7,0)</f>
        <v>16</v>
      </c>
      <c r="E671">
        <f>VLOOKUP(B671,raw!A:K,4,0)</f>
        <v>7</v>
      </c>
      <c r="F671">
        <f>VLOOKUP(B671,raw!A:K,5,0)</f>
        <v>17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61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72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1</v>
      </c>
      <c r="I672">
        <f>VLOOKUP(B672,raw!A:K,9,0)</f>
        <v>10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34</v>
      </c>
      <c r="E673">
        <f>VLOOKUP(B673,raw!A:K,4,0)</f>
        <v>0</v>
      </c>
      <c r="F673">
        <f>VLOOKUP(B673,raw!A:K,5,0)</f>
        <v>2</v>
      </c>
      <c r="G673">
        <f>VLOOKUP(B673,raw!A:K,2,0)+VLOOKUP(B673,raw!A:K,10,0)</f>
        <v>6</v>
      </c>
      <c r="H673">
        <f>VLOOKUP(B673,raw!A:K,6,0)</f>
        <v>0</v>
      </c>
      <c r="I673">
        <f>VLOOKUP(B673,raw!A:K,9,0)</f>
        <v>25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25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15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69</v>
      </c>
      <c r="D675">
        <f>VLOOKUP(B675,raw!A:K,3,0)+VLOOKUP(B675,raw!A:K,7,0)</f>
        <v>51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17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61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15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56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1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1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31</v>
      </c>
      <c r="E679">
        <f>VLOOKUP(B679,raw!A:K,4,0)</f>
        <v>0</v>
      </c>
      <c r="F679">
        <f>VLOOKUP(B679,raw!A:K,5,0)</f>
        <v>1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12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51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1</v>
      </c>
      <c r="H680">
        <f>VLOOKUP(B680,raw!A:K,6,0)</f>
        <v>0</v>
      </c>
      <c r="I680">
        <f>VLOOKUP(B680,raw!A:K,9,0)</f>
        <v>2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149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1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1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1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141</v>
      </c>
      <c r="D683">
        <f>VLOOKUP(B683,raw!A:K,3,0)+VLOOKUP(B683,raw!A:K,7,0)</f>
        <v>0</v>
      </c>
      <c r="E683">
        <f>VLOOKUP(B683,raw!A:K,4,0)</f>
        <v>4</v>
      </c>
      <c r="F683">
        <f>VLOOKUP(B683,raw!A:K,5,0)</f>
        <v>25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100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15</v>
      </c>
      <c r="F684">
        <f>VLOOKUP(B684,raw!A:K,5,0)</f>
        <v>36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2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68</v>
      </c>
      <c r="D687">
        <f>VLOOKUP(B687,raw!A:K,3,0)+VLOOKUP(B687,raw!A:K,7,0)</f>
        <v>6</v>
      </c>
      <c r="E687">
        <f>VLOOKUP(B687,raw!A:K,4,0)</f>
        <v>17</v>
      </c>
      <c r="F687">
        <f>VLOOKUP(B687,raw!A:K,5,0)</f>
        <v>12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27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12</v>
      </c>
      <c r="F688">
        <f>VLOOKUP(B688,raw!A:K,5,0)</f>
        <v>17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0</v>
      </c>
      <c r="F689">
        <f>VLOOKUP(B689,raw!A:K,5,0)</f>
        <v>0</v>
      </c>
      <c r="G689">
        <f>VLOOKUP(B689,raw!A:K,2,0)+VLOOKUP(B689,raw!A:K,10,0)</f>
        <v>21</v>
      </c>
      <c r="H689">
        <f>VLOOKUP(B689,raw!A:K,6,0)</f>
        <v>0</v>
      </c>
      <c r="I689">
        <f>VLOOKUP(B689,raw!A:K,9,0)</f>
        <v>1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13</v>
      </c>
      <c r="H690">
        <f>VLOOKUP(B690,raw!A:K,6,0)</f>
        <v>0</v>
      </c>
      <c r="I690">
        <f>VLOOKUP(B690,raw!A:K,9,0)</f>
        <v>33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17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2</v>
      </c>
      <c r="F693">
        <f>VLOOKUP(B693,raw!A:K,5,0)</f>
        <v>10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130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29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7</v>
      </c>
      <c r="F697">
        <f>VLOOKUP(B697,raw!A:K,5,0)</f>
        <v>9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28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4</v>
      </c>
      <c r="F699">
        <f>VLOOKUP(B699,raw!A:K,5,0)</f>
        <v>15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49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10</v>
      </c>
      <c r="F700">
        <f>VLOOKUP(B700,raw!A:K,5,0)</f>
        <v>1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27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2</v>
      </c>
      <c r="F702">
        <f>VLOOKUP(B702,raw!A:K,5,0)</f>
        <v>5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27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68</v>
      </c>
      <c r="D703">
        <f>VLOOKUP(B703,raw!A:K,3,0)+VLOOKUP(B703,raw!A:K,7,0)</f>
        <v>21</v>
      </c>
      <c r="E703">
        <f>VLOOKUP(B703,raw!A:K,4,0)</f>
        <v>2</v>
      </c>
      <c r="F703">
        <f>VLOOKUP(B703,raw!A:K,5,0)</f>
        <v>18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25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121</v>
      </c>
      <c r="D704">
        <f>VLOOKUP(B704,raw!A:K,3,0)+VLOOKUP(B704,raw!A:K,7,0)</f>
        <v>38</v>
      </c>
      <c r="E704">
        <f>VLOOKUP(B704,raw!A:K,4,0)</f>
        <v>5</v>
      </c>
      <c r="F704">
        <f>VLOOKUP(B704,raw!A:K,5,0)</f>
        <v>14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58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52</v>
      </c>
      <c r="D705">
        <f>VLOOKUP(B705,raw!A:K,3,0)+VLOOKUP(B705,raw!A:K,7,0)</f>
        <v>41</v>
      </c>
      <c r="E705">
        <f>VLOOKUP(B705,raw!A:K,4,0)</f>
        <v>2</v>
      </c>
      <c r="F705">
        <f>VLOOKUP(B705,raw!A:K,5,0)</f>
        <v>6</v>
      </c>
      <c r="G705">
        <f>VLOOKUP(B705,raw!A:K,2,0)+VLOOKUP(B705,raw!A:K,10,0)</f>
        <v>1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3</v>
      </c>
      <c r="F706">
        <f>VLOOKUP(B706,raw!A:K,5,0)</f>
        <v>8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13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1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14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8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26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7</v>
      </c>
      <c r="F709">
        <f>VLOOKUP(B709,raw!A:K,5,0)</f>
        <v>9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31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3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184</v>
      </c>
      <c r="D711">
        <f>VLOOKUP(B711,raw!A:K,3,0)+VLOOKUP(B711,raw!A:K,7,0)</f>
        <v>27</v>
      </c>
      <c r="E711">
        <f>VLOOKUP(B711,raw!A:K,4,0)</f>
        <v>9</v>
      </c>
      <c r="F711">
        <f>VLOOKUP(B711,raw!A:K,5,0)</f>
        <v>49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98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1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28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36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7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81</v>
      </c>
      <c r="D715">
        <f>VLOOKUP(B715,raw!A:K,3,0)+VLOOKUP(B715,raw!A:K,7,0)</f>
        <v>2</v>
      </c>
      <c r="E715">
        <f>VLOOKUP(B715,raw!A:K,4,0)</f>
        <v>47</v>
      </c>
      <c r="F715">
        <f>VLOOKUP(B715,raw!A:K,5,0)</f>
        <v>10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4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1</v>
      </c>
      <c r="E716">
        <f>VLOOKUP(B716,raw!A:K,4,0)</f>
        <v>0</v>
      </c>
      <c r="F716">
        <f>VLOOKUP(B716,raw!A:K,5,0)</f>
        <v>5</v>
      </c>
      <c r="G716">
        <f>VLOOKUP(B716,raw!A:K,2,0)+VLOOKUP(B716,raw!A:K,10,0)</f>
        <v>12</v>
      </c>
      <c r="H716">
        <f>VLOOKUP(B716,raw!A:K,6,0)</f>
        <v>1</v>
      </c>
      <c r="I716">
        <f>VLOOKUP(B716,raw!A:K,9,0)</f>
        <v>96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0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14</v>
      </c>
      <c r="H717">
        <f>VLOOKUP(B717,raw!A:K,6,0)</f>
        <v>0</v>
      </c>
      <c r="I717">
        <f>VLOOKUP(B717,raw!A:K,9,0)</f>
        <v>0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50</v>
      </c>
      <c r="D718">
        <f>VLOOKUP(B718,raw!A:K,3,0)+VLOOKUP(B718,raw!A:K,7,0)</f>
        <v>0</v>
      </c>
      <c r="E718">
        <f>VLOOKUP(B718,raw!A:K,4,0)</f>
        <v>13</v>
      </c>
      <c r="F718">
        <f>VLOOKUP(B718,raw!A:K,5,0)</f>
        <v>20</v>
      </c>
      <c r="G718">
        <f>VLOOKUP(B718,raw!A:K,2,0)+VLOOKUP(B718,raw!A:K,10,0)</f>
        <v>10</v>
      </c>
      <c r="H718">
        <f>VLOOKUP(B718,raw!A:K,6,0)</f>
        <v>0</v>
      </c>
      <c r="I718">
        <f>VLOOKUP(B718,raw!A:K,9,0)</f>
        <v>7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37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120</v>
      </c>
      <c r="D720">
        <f>VLOOKUP(B720,raw!A:K,3,0)+VLOOKUP(B720,raw!A:K,7,0)</f>
        <v>29</v>
      </c>
      <c r="E720">
        <f>VLOOKUP(B720,raw!A:K,4,0)</f>
        <v>36</v>
      </c>
      <c r="F720">
        <f>VLOOKUP(B720,raw!A:K,5,0)</f>
        <v>23</v>
      </c>
      <c r="G720">
        <f>VLOOKUP(B720,raw!A:K,2,0)+VLOOKUP(B720,raw!A:K,10,0)</f>
        <v>12</v>
      </c>
      <c r="H720">
        <f>VLOOKUP(B720,raw!A:K,6,0)</f>
        <v>0</v>
      </c>
      <c r="I720">
        <f>VLOOKUP(B720,raw!A:K,9,0)</f>
        <v>20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62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27</v>
      </c>
      <c r="G721">
        <f>VLOOKUP(B721,raw!A:K,2,0)+VLOOKUP(B721,raw!A:K,10,0)</f>
        <v>2</v>
      </c>
      <c r="H721">
        <f>VLOOKUP(B721,raw!A:K,6,0)</f>
        <v>0</v>
      </c>
      <c r="I721">
        <f>VLOOKUP(B721,raw!A:K,9,0)</f>
        <v>28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10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137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10</v>
      </c>
      <c r="G723">
        <f>VLOOKUP(B723,raw!A:K,2,0)+VLOOKUP(B723,raw!A:K,10,0)</f>
        <v>5</v>
      </c>
      <c r="H723">
        <f>VLOOKUP(B723,raw!A:K,6,0)</f>
        <v>0</v>
      </c>
      <c r="I723">
        <f>VLOOKUP(B723,raw!A:K,9,0)</f>
        <v>8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4</v>
      </c>
      <c r="G724">
        <f>VLOOKUP(B724,raw!A:K,2,0)+VLOOKUP(B724,raw!A:K,10,0)</f>
        <v>1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5</v>
      </c>
      <c r="G725">
        <f>VLOOKUP(B725,raw!A:K,2,0)+VLOOKUP(B725,raw!A:K,10,0)</f>
        <v>2</v>
      </c>
      <c r="H725">
        <f>VLOOKUP(B725,raw!A:K,6,0)</f>
        <v>1</v>
      </c>
      <c r="I725">
        <f>VLOOKUP(B725,raw!A:K,9,0)</f>
        <v>92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110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14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85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86</v>
      </c>
      <c r="D727">
        <f>VLOOKUP(B727,raw!A:K,3,0)+VLOOKUP(B727,raw!A:K,7,0)</f>
        <v>20</v>
      </c>
      <c r="E727">
        <f>VLOOKUP(B727,raw!A:K,4,0)</f>
        <v>0</v>
      </c>
      <c r="F727">
        <f>VLOOKUP(B727,raw!A:K,5,0)</f>
        <v>11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53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3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92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6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145</v>
      </c>
      <c r="D731">
        <f>VLOOKUP(B731,raw!A:K,3,0)+VLOOKUP(B731,raw!A:K,7,0)</f>
        <v>62</v>
      </c>
      <c r="E731">
        <f>VLOOKUP(B731,raw!A:K,4,0)</f>
        <v>10</v>
      </c>
      <c r="F731">
        <f>VLOOKUP(B731,raw!A:K,5,0)</f>
        <v>8</v>
      </c>
      <c r="G731">
        <f>VLOOKUP(B731,raw!A:K,2,0)+VLOOKUP(B731,raw!A:K,10,0)</f>
        <v>1</v>
      </c>
      <c r="H731">
        <f>VLOOKUP(B731,raw!A:K,6,0)</f>
        <v>0</v>
      </c>
      <c r="I731">
        <f>VLOOKUP(B731,raw!A:K,9,0)</f>
        <v>64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111</v>
      </c>
      <c r="D732">
        <f>VLOOKUP(B732,raw!A:K,3,0)+VLOOKUP(B732,raw!A:K,7,0)</f>
        <v>13</v>
      </c>
      <c r="E732">
        <f>VLOOKUP(B732,raw!A:K,4,0)</f>
        <v>0</v>
      </c>
      <c r="F732">
        <f>VLOOKUP(B732,raw!A:K,5,0)</f>
        <v>8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90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108</v>
      </c>
      <c r="D733">
        <f>VLOOKUP(B733,raw!A:K,3,0)+VLOOKUP(B733,raw!A:K,7,0)</f>
        <v>20</v>
      </c>
      <c r="E733">
        <f>VLOOKUP(B733,raw!A:K,4,0)</f>
        <v>2</v>
      </c>
      <c r="F733">
        <f>VLOOKUP(B733,raw!A:K,5,0)</f>
        <v>2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84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79</v>
      </c>
      <c r="D734">
        <f>VLOOKUP(B734,raw!A:K,3,0)+VLOOKUP(B734,raw!A:K,7,0)</f>
        <v>36</v>
      </c>
      <c r="E734">
        <f>VLOOKUP(B734,raw!A:K,4,0)</f>
        <v>2</v>
      </c>
      <c r="F734">
        <f>VLOOKUP(B734,raw!A:K,5,0)</f>
        <v>1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47</v>
      </c>
      <c r="E735">
        <f>VLOOKUP(B735,raw!A:K,4,0)</f>
        <v>2</v>
      </c>
      <c r="F735">
        <f>VLOOKUP(B735,raw!A:K,5,0)</f>
        <v>1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89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255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246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2</v>
      </c>
      <c r="H738">
        <f>VLOOKUP(B738,raw!A:K,6,0)</f>
        <v>1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84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3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83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122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1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88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4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63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9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45</v>
      </c>
      <c r="E744">
        <f>VLOOKUP(B744,raw!A:K,4,0)</f>
        <v>1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6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57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0</v>
      </c>
      <c r="I745">
        <f>VLOOKUP(B745,raw!A:K,9,0)</f>
        <v>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246</v>
      </c>
      <c r="D746">
        <f>VLOOKUP(B746,raw!A:K,3,0)+VLOOKUP(B746,raw!A:K,7,0)</f>
        <v>100</v>
      </c>
      <c r="E746">
        <f>VLOOKUP(B746,raw!A:K,4,0)</f>
        <v>1</v>
      </c>
      <c r="F746">
        <f>VLOOKUP(B746,raw!A:K,5,0)</f>
        <v>33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110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29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2</v>
      </c>
      <c r="H747">
        <f>VLOOKUP(B747,raw!A:K,6,0)</f>
        <v>0</v>
      </c>
      <c r="I747">
        <f>VLOOKUP(B747,raw!A:K,9,0)</f>
        <v>4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82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1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54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5</v>
      </c>
      <c r="I749">
        <f>VLOOKUP(B749,raw!A:K,9,0)</f>
        <v>3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2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1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21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64</v>
      </c>
      <c r="E755">
        <f>VLOOKUP(B755,raw!A:K,4,0)</f>
        <v>4</v>
      </c>
      <c r="F755">
        <f>VLOOKUP(B755,raw!A:K,5,0)</f>
        <v>2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71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287</v>
      </c>
      <c r="D756">
        <f>VLOOKUP(B756,raw!A:K,3,0)+VLOOKUP(B756,raw!A:K,7,0)</f>
        <v>8</v>
      </c>
      <c r="E756">
        <f>VLOOKUP(B756,raw!A:K,4,0)</f>
        <v>54</v>
      </c>
      <c r="F756">
        <f>VLOOKUP(B756,raw!A:K,5,0)</f>
        <v>101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124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100</v>
      </c>
      <c r="D757">
        <f>VLOOKUP(B757,raw!A:K,3,0)+VLOOKUP(B757,raw!A:K,7,0)</f>
        <v>33</v>
      </c>
      <c r="E757">
        <f>VLOOKUP(B757,raw!A:K,4,0)</f>
        <v>2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65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0</v>
      </c>
      <c r="E758">
        <f>VLOOKUP(B758,raw!A:K,4,0)</f>
        <v>7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164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60</v>
      </c>
      <c r="D759">
        <f>VLOOKUP(B759,raw!A:K,3,0)+VLOOKUP(B759,raw!A:K,7,0)</f>
        <v>3</v>
      </c>
      <c r="E759">
        <f>VLOOKUP(B759,raw!A:K,4,0)</f>
        <v>16</v>
      </c>
      <c r="F759">
        <f>VLOOKUP(B759,raw!A:K,5,0)</f>
        <v>9</v>
      </c>
      <c r="G759">
        <f>VLOOKUP(B759,raw!A:K,2,0)+VLOOKUP(B759,raw!A:K,10,0)</f>
        <v>1</v>
      </c>
      <c r="H759">
        <f>VLOOKUP(B759,raw!A:K,6,0)</f>
        <v>0</v>
      </c>
      <c r="I759">
        <f>VLOOKUP(B759,raw!A:K,9,0)</f>
        <v>31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27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63</v>
      </c>
      <c r="D761">
        <f>VLOOKUP(B761,raw!A:K,3,0)+VLOOKUP(B761,raw!A:K,7,0)</f>
        <v>36</v>
      </c>
      <c r="E761">
        <f>VLOOKUP(B761,raw!A:K,4,0)</f>
        <v>0</v>
      </c>
      <c r="F761">
        <f>VLOOKUP(B761,raw!A:K,5,0)</f>
        <v>11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16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22</v>
      </c>
      <c r="G762">
        <f>VLOOKUP(B762,raw!A:K,2,0)+VLOOKUP(B762,raw!A:K,10,0)</f>
        <v>1</v>
      </c>
      <c r="H762">
        <f>VLOOKUP(B762,raw!A:K,6,0)</f>
        <v>0</v>
      </c>
      <c r="I762">
        <f>VLOOKUP(B762,raw!A:K,9,0)</f>
        <v>30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42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37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67</v>
      </c>
      <c r="D764">
        <f>VLOOKUP(B764,raw!A:K,3,0)+VLOOKUP(B764,raw!A:K,7,0)</f>
        <v>5</v>
      </c>
      <c r="E764">
        <f>VLOOKUP(B764,raw!A:K,4,0)</f>
        <v>0</v>
      </c>
      <c r="F764">
        <f>VLOOKUP(B764,raw!A:K,5,0)</f>
        <v>40</v>
      </c>
      <c r="G764">
        <f>VLOOKUP(B764,raw!A:K,2,0)+VLOOKUP(B764,raw!A:K,10,0)</f>
        <v>1</v>
      </c>
      <c r="H764">
        <f>VLOOKUP(B764,raw!A:K,6,0)</f>
        <v>0</v>
      </c>
      <c r="I764">
        <f>VLOOKUP(B764,raw!A:K,9,0)</f>
        <v>21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2</v>
      </c>
      <c r="E765">
        <f>VLOOKUP(B765,raw!A:K,4,0)</f>
        <v>5</v>
      </c>
      <c r="F765">
        <f>VLOOKUP(B765,raw!A:K,5,0)</f>
        <v>14</v>
      </c>
      <c r="G765">
        <f>VLOOKUP(B765,raw!A:K,2,0)+VLOOKUP(B765,raw!A:K,10,0)</f>
        <v>7</v>
      </c>
      <c r="H765">
        <f>VLOOKUP(B765,raw!A:K,6,0)</f>
        <v>0</v>
      </c>
      <c r="I765">
        <f>VLOOKUP(B765,raw!A:K,9,0)</f>
        <v>31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50</v>
      </c>
      <c r="D766">
        <f>VLOOKUP(B766,raw!A:K,3,0)+VLOOKUP(B766,raw!A:K,7,0)</f>
        <v>7</v>
      </c>
      <c r="E766">
        <f>VLOOKUP(B766,raw!A:K,4,0)</f>
        <v>20</v>
      </c>
      <c r="F766">
        <f>VLOOKUP(B766,raw!A:K,5,0)</f>
        <v>23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2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0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4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4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130</v>
      </c>
      <c r="D771">
        <f>VLOOKUP(B771,raw!A:K,3,0)+VLOOKUP(B771,raw!A:K,7,0)</f>
        <v>68</v>
      </c>
      <c r="E771">
        <f>VLOOKUP(B771,raw!A:K,4,0)</f>
        <v>3</v>
      </c>
      <c r="F771">
        <f>VLOOKUP(B771,raw!A:K,5,0)</f>
        <v>43</v>
      </c>
      <c r="G771">
        <f>VLOOKUP(B771,raw!A:K,2,0)+VLOOKUP(B771,raw!A:K,10,0)</f>
        <v>4</v>
      </c>
      <c r="H771">
        <f>VLOOKUP(B771,raw!A:K,6,0)</f>
        <v>0</v>
      </c>
      <c r="I771">
        <f>VLOOKUP(B771,raw!A:K,9,0)</f>
        <v>12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103</v>
      </c>
      <c r="D773">
        <f>VLOOKUP(B773,raw!A:K,3,0)+VLOOKUP(B773,raw!A:K,7,0)</f>
        <v>45</v>
      </c>
      <c r="E773">
        <f>VLOOKUP(B773,raw!A:K,4,0)</f>
        <v>7</v>
      </c>
      <c r="F773">
        <f>VLOOKUP(B773,raw!A:K,5,0)</f>
        <v>25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25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118</v>
      </c>
      <c r="D774">
        <f>VLOOKUP(B774,raw!A:K,3,0)+VLOOKUP(B774,raw!A:K,7,0)</f>
        <v>87</v>
      </c>
      <c r="E774">
        <f>VLOOKUP(B774,raw!A:K,4,0)</f>
        <v>6</v>
      </c>
      <c r="F774">
        <f>VLOOKUP(B774,raw!A:K,5,0)</f>
        <v>12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5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35</v>
      </c>
      <c r="E775">
        <f>VLOOKUP(B775,raw!A:K,4,0)</f>
        <v>6</v>
      </c>
      <c r="F775">
        <f>VLOOKUP(B775,raw!A:K,5,0)</f>
        <v>4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7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54</v>
      </c>
      <c r="D776">
        <f>VLOOKUP(B776,raw!A:K,3,0)+VLOOKUP(B776,raw!A:K,7,0)</f>
        <v>17</v>
      </c>
      <c r="E776">
        <f>VLOOKUP(B776,raw!A:K,4,0)</f>
        <v>3</v>
      </c>
      <c r="F776">
        <f>VLOOKUP(B776,raw!A:K,5,0)</f>
        <v>14</v>
      </c>
      <c r="G776">
        <f>VLOOKUP(B776,raw!A:K,2,0)+VLOOKUP(B776,raw!A:K,10,0)</f>
        <v>1</v>
      </c>
      <c r="H776">
        <f>VLOOKUP(B776,raw!A:K,6,0)</f>
        <v>0</v>
      </c>
      <c r="I776">
        <f>VLOOKUP(B776,raw!A:K,9,0)</f>
        <v>19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15</v>
      </c>
      <c r="E777">
        <f>VLOOKUP(B777,raw!A:K,4,0)</f>
        <v>1</v>
      </c>
      <c r="F777">
        <f>VLOOKUP(B777,raw!A:K,5,0)</f>
        <v>31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8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13</v>
      </c>
      <c r="E778">
        <f>VLOOKUP(B778,raw!A:K,4,0)</f>
        <v>3</v>
      </c>
      <c r="F778">
        <f>VLOOKUP(B778,raw!A:K,5,0)</f>
        <v>18</v>
      </c>
      <c r="G778">
        <f>VLOOKUP(B778,raw!A:K,2,0)+VLOOKUP(B778,raw!A:K,10,0)</f>
        <v>2</v>
      </c>
      <c r="H778">
        <f>VLOOKUP(B778,raw!A:K,6,0)</f>
        <v>0</v>
      </c>
      <c r="I778">
        <f>VLOOKUP(B778,raw!A:K,9,0)</f>
        <v>12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29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10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2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29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17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6</v>
      </c>
      <c r="F783">
        <f>VLOOKUP(B783,raw!A:K,5,0)</f>
        <v>3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32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143</v>
      </c>
      <c r="D784">
        <f>VLOOKUP(B784,raw!A:K,3,0)+VLOOKUP(B784,raw!A:K,7,0)</f>
        <v>18</v>
      </c>
      <c r="E784">
        <f>VLOOKUP(B784,raw!A:K,4,0)</f>
        <v>11</v>
      </c>
      <c r="F784">
        <f>VLOOKUP(B784,raw!A:K,5,0)</f>
        <v>12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25</v>
      </c>
      <c r="F785">
        <f>VLOOKUP(B785,raw!A:K,5,0)</f>
        <v>14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31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6</v>
      </c>
      <c r="F786">
        <f>VLOOKUP(B786,raw!A:K,5,0)</f>
        <v>47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1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57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136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3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2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40</v>
      </c>
      <c r="E792">
        <f>VLOOKUP(B792,raw!A:K,4,0)</f>
        <v>7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50</v>
      </c>
      <c r="D793">
        <f>VLOOKUP(B793,raw!A:K,3,0)+VLOOKUP(B793,raw!A:K,7,0)</f>
        <v>37</v>
      </c>
      <c r="E793">
        <f>VLOOKUP(B793,raw!A:K,4,0)</f>
        <v>6</v>
      </c>
      <c r="F793">
        <f>VLOOKUP(B793,raw!A:K,5,0)</f>
        <v>0</v>
      </c>
      <c r="G793">
        <f>VLOOKUP(B793,raw!A:K,2,0)+VLOOKUP(B793,raw!A:K,10,0)</f>
        <v>4</v>
      </c>
      <c r="H793">
        <f>VLOOKUP(B793,raw!A:K,6,0)</f>
        <v>1</v>
      </c>
      <c r="I793">
        <f>VLOOKUP(B793,raw!A:K,9,0)</f>
        <v>2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50</v>
      </c>
      <c r="D794">
        <f>VLOOKUP(B794,raw!A:K,3,0)+VLOOKUP(B794,raw!A:K,7,0)</f>
        <v>35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5</v>
      </c>
      <c r="H794">
        <f>VLOOKUP(B794,raw!A:K,6,0)</f>
        <v>0</v>
      </c>
      <c r="I794">
        <f>VLOOKUP(B794,raw!A:K,9,0)</f>
        <v>9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107</v>
      </c>
      <c r="D795">
        <f>VLOOKUP(B795,raw!A:K,3,0)+VLOOKUP(B795,raw!A:K,7,0)</f>
        <v>77</v>
      </c>
      <c r="E795">
        <f>VLOOKUP(B795,raw!A:K,4,0)</f>
        <v>13</v>
      </c>
      <c r="F795">
        <f>VLOOKUP(B795,raw!A:K,5,0)</f>
        <v>1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15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53</v>
      </c>
      <c r="E796">
        <f>VLOOKUP(B796,raw!A:K,4,0)</f>
        <v>3</v>
      </c>
      <c r="F796">
        <f>VLOOKUP(B796,raw!A:K,5,0)</f>
        <v>0</v>
      </c>
      <c r="G796">
        <f>VLOOKUP(B796,raw!A:K,2,0)+VLOOKUP(B796,raw!A:K,10,0)</f>
        <v>2</v>
      </c>
      <c r="H796">
        <f>VLOOKUP(B796,raw!A:K,6,0)</f>
        <v>0</v>
      </c>
      <c r="I796">
        <f>VLOOKUP(B796,raw!A:K,9,0)</f>
        <v>4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30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5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68</v>
      </c>
      <c r="D799">
        <f>VLOOKUP(B799,raw!A:K,3,0)+VLOOKUP(B799,raw!A:K,7,0)</f>
        <v>49</v>
      </c>
      <c r="E799">
        <f>VLOOKUP(B799,raw!A:K,4,0)</f>
        <v>10</v>
      </c>
      <c r="F799">
        <f>VLOOKUP(B799,raw!A:K,5,0)</f>
        <v>2</v>
      </c>
      <c r="G799">
        <f>VLOOKUP(B799,raw!A:K,2,0)+VLOOKUP(B799,raw!A:K,10,0)</f>
        <v>1</v>
      </c>
      <c r="H799">
        <f>VLOOKUP(B799,raw!A:K,6,0)</f>
        <v>0</v>
      </c>
      <c r="I799">
        <f>VLOOKUP(B799,raw!A:K,9,0)</f>
        <v>6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73</v>
      </c>
      <c r="D800">
        <f>VLOOKUP(B800,raw!A:K,3,0)+VLOOKUP(B800,raw!A:K,7,0)</f>
        <v>52</v>
      </c>
      <c r="E800">
        <f>VLOOKUP(B800,raw!A:K,4,0)</f>
        <v>8</v>
      </c>
      <c r="F800">
        <f>VLOOKUP(B800,raw!A:K,5,0)</f>
        <v>0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11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5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2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5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216</v>
      </c>
      <c r="E804">
        <f>VLOOKUP(B804,raw!A:K,4,0)</f>
        <v>8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15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190</v>
      </c>
      <c r="E805">
        <f>VLOOKUP(B805,raw!A:K,4,0)</f>
        <v>4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3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154</v>
      </c>
      <c r="D806">
        <f>VLOOKUP(B806,raw!A:K,3,0)+VLOOKUP(B806,raw!A:K,7,0)</f>
        <v>136</v>
      </c>
      <c r="E806">
        <f>VLOOKUP(B806,raw!A:K,4,0)</f>
        <v>5</v>
      </c>
      <c r="F806">
        <f>VLOOKUP(B806,raw!A:K,5,0)</f>
        <v>1</v>
      </c>
      <c r="G806">
        <f>VLOOKUP(B806,raw!A:K,2,0)+VLOOKUP(B806,raw!A:K,10,0)</f>
        <v>1</v>
      </c>
      <c r="H806">
        <f>VLOOKUP(B806,raw!A:K,6,0)</f>
        <v>0</v>
      </c>
      <c r="I806">
        <f>VLOOKUP(B806,raw!A:K,9,0)</f>
        <v>11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156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1</v>
      </c>
      <c r="H808">
        <f>VLOOKUP(B808,raw!A:K,6,0)</f>
        <v>0</v>
      </c>
      <c r="I808">
        <f>VLOOKUP(B808,raw!A:K,9,0)</f>
        <v>13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79</v>
      </c>
      <c r="E809">
        <f>VLOOKUP(B809,raw!A:K,4,0)</f>
        <v>11</v>
      </c>
      <c r="F809">
        <f>VLOOKUP(B809,raw!A:K,5,0)</f>
        <v>0</v>
      </c>
      <c r="G809">
        <f>VLOOKUP(B809,raw!A:K,2,0)+VLOOKUP(B809,raw!A:K,10,0)</f>
        <v>1</v>
      </c>
      <c r="H809">
        <f>VLOOKUP(B809,raw!A:K,6,0)</f>
        <v>0</v>
      </c>
      <c r="I809">
        <f>VLOOKUP(B809,raw!A:K,9,0)</f>
        <v>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115</v>
      </c>
      <c r="D810">
        <f>VLOOKUP(B810,raw!A:K,3,0)+VLOOKUP(B810,raw!A:K,7,0)</f>
        <v>97</v>
      </c>
      <c r="E810">
        <f>VLOOKUP(B810,raw!A:K,4,0)</f>
        <v>16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101</v>
      </c>
      <c r="E811">
        <f>VLOOKUP(B811,raw!A:K,4,0)</f>
        <v>4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1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16</v>
      </c>
      <c r="F814">
        <f>VLOOKUP(B814,raw!A:K,5,0)</f>
        <v>0</v>
      </c>
      <c r="G814">
        <f>VLOOKUP(B814,raw!A:K,2,0)+VLOOKUP(B814,raw!A:K,10,0)</f>
        <v>15</v>
      </c>
      <c r="H814">
        <f>VLOOKUP(B814,raw!A:K,6,0)</f>
        <v>0</v>
      </c>
      <c r="I814">
        <f>VLOOKUP(B814,raw!A:K,9,0)</f>
        <v>5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170</v>
      </c>
      <c r="E815">
        <f>VLOOKUP(B815,raw!A:K,4,0)</f>
        <v>5</v>
      </c>
      <c r="F815">
        <f>VLOOKUP(B815,raw!A:K,5,0)</f>
        <v>1</v>
      </c>
      <c r="G815">
        <f>VLOOKUP(B815,raw!A:K,2,0)+VLOOKUP(B815,raw!A:K,10,0)</f>
        <v>4</v>
      </c>
      <c r="H815">
        <f>VLOOKUP(B815,raw!A:K,6,0)</f>
        <v>1</v>
      </c>
      <c r="I815">
        <f>VLOOKUP(B815,raw!A:K,9,0)</f>
        <v>2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116</v>
      </c>
      <c r="D816">
        <f>VLOOKUP(B816,raw!A:K,3,0)+VLOOKUP(B816,raw!A:K,7,0)</f>
        <v>29</v>
      </c>
      <c r="E816">
        <f>VLOOKUP(B816,raw!A:K,4,0)</f>
        <v>20</v>
      </c>
      <c r="F816">
        <f>VLOOKUP(B816,raw!A:K,5,0)</f>
        <v>42</v>
      </c>
      <c r="G816">
        <f>VLOOKUP(B816,raw!A:K,2,0)+VLOOKUP(B816,raw!A:K,10,0)</f>
        <v>2</v>
      </c>
      <c r="H816">
        <f>VLOOKUP(B816,raw!A:K,6,0)</f>
        <v>0</v>
      </c>
      <c r="I816">
        <f>VLOOKUP(B816,raw!A:K,9,0)</f>
        <v>23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2</v>
      </c>
      <c r="E818">
        <f>VLOOKUP(B818,raw!A:K,4,0)</f>
        <v>42</v>
      </c>
      <c r="F818">
        <f>VLOOKUP(B818,raw!A:K,5,0)</f>
        <v>26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25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1</v>
      </c>
      <c r="H820">
        <f>VLOOKUP(B820,raw!A:K,6,0)</f>
        <v>0</v>
      </c>
      <c r="I820">
        <f>VLOOKUP(B820,raw!A:K,9,0)</f>
        <v>3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41</v>
      </c>
      <c r="E821">
        <f>VLOOKUP(B821,raw!A:K,4,0)</f>
        <v>21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55</v>
      </c>
      <c r="D822">
        <f>VLOOKUP(B822,raw!A:K,3,0)+VLOOKUP(B822,raw!A:K,7,0)</f>
        <v>50</v>
      </c>
      <c r="E822">
        <f>VLOOKUP(B822,raw!A:K,4,0)</f>
        <v>5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39</v>
      </c>
      <c r="D823">
        <f>VLOOKUP(B823,raw!A:K,3,0)+VLOOKUP(B823,raw!A:K,7,0)</f>
        <v>22</v>
      </c>
      <c r="E823">
        <f>VLOOKUP(B823,raw!A:K,4,0)</f>
        <v>5</v>
      </c>
      <c r="F823">
        <f>VLOOKUP(B823,raw!A:K,5,0)</f>
        <v>12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77</v>
      </c>
      <c r="D824">
        <f>VLOOKUP(B824,raw!A:K,3,0)+VLOOKUP(B824,raw!A:K,7,0)</f>
        <v>72</v>
      </c>
      <c r="E824">
        <f>VLOOKUP(B824,raw!A:K,4,0)</f>
        <v>5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2</v>
      </c>
      <c r="F826">
        <f>VLOOKUP(B826,raw!A:K,5,0)</f>
        <v>7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63</v>
      </c>
      <c r="D827">
        <f>VLOOKUP(B827,raw!A:K,3,0)+VLOOKUP(B827,raw!A:K,7,0)</f>
        <v>29</v>
      </c>
      <c r="E827">
        <f>VLOOKUP(B827,raw!A:K,4,0)</f>
        <v>6</v>
      </c>
      <c r="F827">
        <f>VLOOKUP(B827,raw!A:K,5,0)</f>
        <v>21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7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2</v>
      </c>
      <c r="F829">
        <f>VLOOKUP(B829,raw!A:K,5,0)</f>
        <v>1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52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1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48</v>
      </c>
      <c r="E834">
        <f>VLOOKUP(B834,raw!A:K,4,0)</f>
        <v>0</v>
      </c>
      <c r="F834">
        <f>VLOOKUP(B834,raw!A:K,5,0)</f>
        <v>1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66</v>
      </c>
      <c r="E835">
        <f>VLOOKUP(B835,raw!A:K,4,0)</f>
        <v>9</v>
      </c>
      <c r="F835">
        <f>VLOOKUP(B835,raw!A:K,5,0)</f>
        <v>2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141</v>
      </c>
      <c r="D836">
        <f>VLOOKUP(B836,raw!A:K,3,0)+VLOOKUP(B836,raw!A:K,7,0)</f>
        <v>84</v>
      </c>
      <c r="E836">
        <f>VLOOKUP(B836,raw!A:K,4,0)</f>
        <v>10</v>
      </c>
      <c r="F836">
        <f>VLOOKUP(B836,raw!A:K,5,0)</f>
        <v>28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16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161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69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2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184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5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149</v>
      </c>
      <c r="D840">
        <f>VLOOKUP(B840,raw!A:K,3,0)+VLOOKUP(B840,raw!A:K,7,0)</f>
        <v>99</v>
      </c>
      <c r="E840">
        <f>VLOOKUP(B840,raw!A:K,4,0)</f>
        <v>8</v>
      </c>
      <c r="F840">
        <f>VLOOKUP(B840,raw!A:K,5,0)</f>
        <v>37</v>
      </c>
      <c r="G840">
        <f>VLOOKUP(B840,raw!A:K,2,0)+VLOOKUP(B840,raw!A:K,10,0)</f>
        <v>2</v>
      </c>
      <c r="H840">
        <f>VLOOKUP(B840,raw!A:K,6,0)</f>
        <v>0</v>
      </c>
      <c r="I840">
        <f>VLOOKUP(B840,raw!A:K,9,0)</f>
        <v>3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75</v>
      </c>
      <c r="D841">
        <f>VLOOKUP(B841,raw!A:K,3,0)+VLOOKUP(B841,raw!A:K,7,0)</f>
        <v>70</v>
      </c>
      <c r="E841">
        <f>VLOOKUP(B841,raw!A:K,4,0)</f>
        <v>4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99</v>
      </c>
      <c r="E842">
        <f>VLOOKUP(B842,raw!A:K,4,0)</f>
        <v>1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124</v>
      </c>
      <c r="E844">
        <f>VLOOKUP(B844,raw!A:K,4,0)</f>
        <v>1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82</v>
      </c>
      <c r="D845">
        <f>VLOOKUP(B845,raw!A:K,3,0)+VLOOKUP(B845,raw!A:K,7,0)</f>
        <v>81</v>
      </c>
      <c r="E845">
        <f>VLOOKUP(B845,raw!A:K,4,0)</f>
        <v>1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151</v>
      </c>
      <c r="D846">
        <f>VLOOKUP(B846,raw!A:K,3,0)+VLOOKUP(B846,raw!A:K,7,0)</f>
        <v>143</v>
      </c>
      <c r="E846">
        <f>VLOOKUP(B846,raw!A:K,4,0)</f>
        <v>8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58</v>
      </c>
      <c r="D847">
        <f>VLOOKUP(B847,raw!A:K,3,0)+VLOOKUP(B847,raw!A:K,7,0)</f>
        <v>42</v>
      </c>
      <c r="E847">
        <f>VLOOKUP(B847,raw!A:K,4,0)</f>
        <v>3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13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62</v>
      </c>
      <c r="D848">
        <f>VLOOKUP(B848,raw!A:K,3,0)+VLOOKUP(B848,raw!A:K,7,0)</f>
        <v>53</v>
      </c>
      <c r="E848">
        <f>VLOOKUP(B848,raw!A:K,4,0)</f>
        <v>1</v>
      </c>
      <c r="F848">
        <f>VLOOKUP(B848,raw!A:K,5,0)</f>
        <v>2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6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48</v>
      </c>
      <c r="E849">
        <f>VLOOKUP(B849,raw!A:K,4,0)</f>
        <v>14</v>
      </c>
      <c r="F849">
        <f>VLOOKUP(B849,raw!A:K,5,0)</f>
        <v>4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2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33</v>
      </c>
      <c r="D850">
        <f>VLOOKUP(B850,raw!A:K,3,0)+VLOOKUP(B850,raw!A:K,7,0)</f>
        <v>12</v>
      </c>
      <c r="E850">
        <f>VLOOKUP(B850,raw!A:K,4,0)</f>
        <v>12</v>
      </c>
      <c r="F850">
        <f>VLOOKUP(B850,raw!A:K,5,0)</f>
        <v>1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8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45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54</v>
      </c>
      <c r="D853">
        <f>VLOOKUP(B853,raw!A:K,3,0)+VLOOKUP(B853,raw!A:K,7,0)</f>
        <v>21</v>
      </c>
      <c r="E853">
        <f>VLOOKUP(B853,raw!A:K,4,0)</f>
        <v>25</v>
      </c>
      <c r="F853">
        <f>VLOOKUP(B853,raw!A:K,5,0)</f>
        <v>7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1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90</v>
      </c>
      <c r="E854">
        <f>VLOOKUP(B854,raw!A:K,4,0)</f>
        <v>48</v>
      </c>
      <c r="F854">
        <f>VLOOKUP(B854,raw!A:K,5,0)</f>
        <v>11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54</v>
      </c>
      <c r="D856">
        <f>VLOOKUP(B856,raw!A:K,3,0)+VLOOKUP(B856,raw!A:K,7,0)</f>
        <v>53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30</v>
      </c>
      <c r="E857">
        <f>VLOOKUP(B857,raw!A:K,4,0)</f>
        <v>25</v>
      </c>
      <c r="F857">
        <f>VLOOKUP(B857,raw!A:K,5,0)</f>
        <v>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2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1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137</v>
      </c>
      <c r="D860">
        <f>VLOOKUP(B860,raw!A:K,3,0)+VLOOKUP(B860,raw!A:K,7,0)</f>
        <v>73</v>
      </c>
      <c r="E860">
        <f>VLOOKUP(B860,raw!A:K,4,0)</f>
        <v>24</v>
      </c>
      <c r="F860">
        <f>VLOOKUP(B860,raw!A:K,5,0)</f>
        <v>40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182</v>
      </c>
      <c r="D863">
        <f>VLOOKUP(B863,raw!A:K,3,0)+VLOOKUP(B863,raw!A:K,7,0)</f>
        <v>155</v>
      </c>
      <c r="E863">
        <f>VLOOKUP(B863,raw!A:K,4,0)</f>
        <v>7</v>
      </c>
      <c r="F863">
        <f>VLOOKUP(B863,raw!A:K,5,0)</f>
        <v>19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83</v>
      </c>
      <c r="E869">
        <f>VLOOKUP(B869,raw!A:K,4,0)</f>
        <v>2</v>
      </c>
      <c r="F869">
        <f>VLOOKUP(B869,raw!A:K,5,0)</f>
        <v>0</v>
      </c>
      <c r="G869">
        <f>VLOOKUP(B869,raw!A:K,2,0)+VLOOKUP(B869,raw!A:K,10,0)</f>
        <v>1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13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90</v>
      </c>
      <c r="E873">
        <f>VLOOKUP(B873,raw!A:K,4,0)</f>
        <v>9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2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21</v>
      </c>
      <c r="E875">
        <f>VLOOKUP(B875,raw!A:K,4,0)</f>
        <v>9</v>
      </c>
      <c r="F875">
        <f>VLOOKUP(B875,raw!A:K,5,0)</f>
        <v>13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7</v>
      </c>
      <c r="F876">
        <f>VLOOKUP(B876,raw!A:K,5,0)</f>
        <v>10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29</v>
      </c>
      <c r="F877">
        <f>VLOOKUP(B877,raw!A:K,5,0)</f>
        <v>21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4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106</v>
      </c>
      <c r="D878">
        <f>VLOOKUP(B878,raw!A:K,3,0)+VLOOKUP(B878,raw!A:K,7,0)</f>
        <v>60</v>
      </c>
      <c r="E878">
        <f>VLOOKUP(B878,raw!A:K,4,0)</f>
        <v>39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6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152</v>
      </c>
      <c r="E883">
        <f>VLOOKUP(B883,raw!A:K,4,0)</f>
        <v>11</v>
      </c>
      <c r="F883">
        <f>VLOOKUP(B883,raw!A:K,5,0)</f>
        <v>1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225</v>
      </c>
      <c r="E884">
        <f>VLOOKUP(B884,raw!A:K,4,0)</f>
        <v>2</v>
      </c>
      <c r="F884">
        <f>VLOOKUP(B884,raw!A:K,5,0)</f>
        <v>1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142</v>
      </c>
      <c r="D886">
        <f>VLOOKUP(B886,raw!A:K,3,0)+VLOOKUP(B886,raw!A:K,7,0)</f>
        <v>93</v>
      </c>
      <c r="E886">
        <f>VLOOKUP(B886,raw!A:K,4,0)</f>
        <v>9</v>
      </c>
      <c r="F886">
        <f>VLOOKUP(B886,raw!A:K,5,0)</f>
        <v>2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38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92</v>
      </c>
      <c r="E887">
        <f>VLOOKUP(B887,raw!A:K,4,0)</f>
        <v>55</v>
      </c>
      <c r="F887">
        <f>VLOOKUP(B887,raw!A:K,5,0)</f>
        <v>1</v>
      </c>
      <c r="G887">
        <f>VLOOKUP(B887,raw!A:K,2,0)+VLOOKUP(B887,raw!A:K,10,0)</f>
        <v>2</v>
      </c>
      <c r="H887">
        <f>VLOOKUP(B887,raw!A:K,6,0)</f>
        <v>0</v>
      </c>
      <c r="I887">
        <f>VLOOKUP(B887,raw!A:K,9,0)</f>
        <v>28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164</v>
      </c>
      <c r="D888">
        <f>VLOOKUP(B888,raw!A:K,3,0)+VLOOKUP(B888,raw!A:K,7,0)</f>
        <v>122</v>
      </c>
      <c r="E888">
        <f>VLOOKUP(B888,raw!A:K,4,0)</f>
        <v>8</v>
      </c>
      <c r="F888">
        <f>VLOOKUP(B888,raw!A:K,5,0)</f>
        <v>9</v>
      </c>
      <c r="G888">
        <f>VLOOKUP(B888,raw!A:K,2,0)+VLOOKUP(B888,raw!A:K,10,0)</f>
        <v>4</v>
      </c>
      <c r="H888">
        <f>VLOOKUP(B888,raw!A:K,6,0)</f>
        <v>0</v>
      </c>
      <c r="I888">
        <f>VLOOKUP(B888,raw!A:K,9,0)</f>
        <v>21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244</v>
      </c>
      <c r="D889">
        <f>VLOOKUP(B889,raw!A:K,3,0)+VLOOKUP(B889,raw!A:K,7,0)</f>
        <v>161</v>
      </c>
      <c r="E889">
        <f>VLOOKUP(B889,raw!A:K,4,0)</f>
        <v>6</v>
      </c>
      <c r="F889">
        <f>VLOOKUP(B889,raw!A:K,5,0)</f>
        <v>2</v>
      </c>
      <c r="G889">
        <f>VLOOKUP(B889,raw!A:K,2,0)+VLOOKUP(B889,raw!A:K,10,0)</f>
        <v>4</v>
      </c>
      <c r="H889">
        <f>VLOOKUP(B889,raw!A:K,6,0)</f>
        <v>0</v>
      </c>
      <c r="I889">
        <f>VLOOKUP(B889,raw!A:K,9,0)</f>
        <v>71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131</v>
      </c>
      <c r="D890">
        <f>VLOOKUP(B890,raw!A:K,3,0)+VLOOKUP(B890,raw!A:K,7,0)</f>
        <v>113</v>
      </c>
      <c r="E890">
        <f>VLOOKUP(B890,raw!A:K,4,0)</f>
        <v>3</v>
      </c>
      <c r="F890">
        <f>VLOOKUP(B890,raw!A:K,5,0)</f>
        <v>0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13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102</v>
      </c>
      <c r="D891">
        <f>VLOOKUP(B891,raw!A:K,3,0)+VLOOKUP(B891,raw!A:K,7,0)</f>
        <v>12</v>
      </c>
      <c r="E891">
        <f>VLOOKUP(B891,raw!A:K,4,0)</f>
        <v>38</v>
      </c>
      <c r="F891">
        <f>VLOOKUP(B891,raw!A:K,5,0)</f>
        <v>12</v>
      </c>
      <c r="G891">
        <f>VLOOKUP(B891,raw!A:K,2,0)+VLOOKUP(B891,raw!A:K,10,0)</f>
        <v>2</v>
      </c>
      <c r="H891">
        <f>VLOOKUP(B891,raw!A:K,6,0)</f>
        <v>0</v>
      </c>
      <c r="I891">
        <f>VLOOKUP(B891,raw!A:K,9,0)</f>
        <v>38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217</v>
      </c>
      <c r="D892">
        <f>VLOOKUP(B892,raw!A:K,3,0)+VLOOKUP(B892,raw!A:K,7,0)</f>
        <v>191</v>
      </c>
      <c r="E892">
        <f>VLOOKUP(B892,raw!A:K,4,0)</f>
        <v>13</v>
      </c>
      <c r="F892">
        <f>VLOOKUP(B892,raw!A:K,5,0)</f>
        <v>6</v>
      </c>
      <c r="G892">
        <f>VLOOKUP(B892,raw!A:K,2,0)+VLOOKUP(B892,raw!A:K,10,0)</f>
        <v>3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20</v>
      </c>
      <c r="F893">
        <f>VLOOKUP(B893,raw!A:K,5,0)</f>
        <v>14</v>
      </c>
      <c r="G893">
        <f>VLOOKUP(B893,raw!A:K,2,0)+VLOOKUP(B893,raw!A:K,10,0)</f>
        <v>6</v>
      </c>
      <c r="H893">
        <f>VLOOKUP(B893,raw!A:K,6,0)</f>
        <v>0</v>
      </c>
      <c r="I893">
        <f>VLOOKUP(B893,raw!A:K,9,0)</f>
        <v>12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125</v>
      </c>
      <c r="D894">
        <f>VLOOKUP(B894,raw!A:K,3,0)+VLOOKUP(B894,raw!A:K,7,0)</f>
        <v>65</v>
      </c>
      <c r="E894">
        <f>VLOOKUP(B894,raw!A:K,4,0)</f>
        <v>21</v>
      </c>
      <c r="F894">
        <f>VLOOKUP(B894,raw!A:K,5,0)</f>
        <v>19</v>
      </c>
      <c r="G894">
        <f>VLOOKUP(B894,raw!A:K,2,0)+VLOOKUP(B894,raw!A:K,10,0)</f>
        <v>2</v>
      </c>
      <c r="H894">
        <f>VLOOKUP(B894,raw!A:K,6,0)</f>
        <v>0</v>
      </c>
      <c r="I894">
        <f>VLOOKUP(B894,raw!A:K,9,0)</f>
        <v>18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28</v>
      </c>
      <c r="F896">
        <f>VLOOKUP(B896,raw!A:K,5,0)</f>
        <v>12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44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162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209</v>
      </c>
      <c r="D899">
        <f>VLOOKUP(B899,raw!A:K,3,0)+VLOOKUP(B899,raw!A:K,7,0)</f>
        <v>192</v>
      </c>
      <c r="E899">
        <f>VLOOKUP(B899,raw!A:K,4,0)</f>
        <v>8</v>
      </c>
      <c r="F899">
        <f>VLOOKUP(B899,raw!A:K,5,0)</f>
        <v>7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98</v>
      </c>
      <c r="E900">
        <f>VLOOKUP(B900,raw!A:K,4,0)</f>
        <v>3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141</v>
      </c>
      <c r="D901">
        <f>VLOOKUP(B901,raw!A:K,3,0)+VLOOKUP(B901,raw!A:K,7,0)</f>
        <v>138</v>
      </c>
      <c r="E901">
        <f>VLOOKUP(B901,raw!A:K,4,0)</f>
        <v>2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124</v>
      </c>
      <c r="D902">
        <f>VLOOKUP(B902,raw!A:K,3,0)+VLOOKUP(B902,raw!A:K,7,0)</f>
        <v>104</v>
      </c>
      <c r="E902">
        <f>VLOOKUP(B902,raw!A:K,4,0)</f>
        <v>6</v>
      </c>
      <c r="F902">
        <f>VLOOKUP(B902,raw!A:K,5,0)</f>
        <v>7</v>
      </c>
      <c r="G902">
        <f>VLOOKUP(B902,raw!A:K,2,0)+VLOOKUP(B902,raw!A:K,10,0)</f>
        <v>2</v>
      </c>
      <c r="H902">
        <f>VLOOKUP(B902,raw!A:K,6,0)</f>
        <v>1</v>
      </c>
      <c r="I902">
        <f>VLOOKUP(B902,raw!A:K,9,0)</f>
        <v>4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244</v>
      </c>
      <c r="D903">
        <f>VLOOKUP(B903,raw!A:K,3,0)+VLOOKUP(B903,raw!A:K,7,0)</f>
        <v>202</v>
      </c>
      <c r="E903">
        <f>VLOOKUP(B903,raw!A:K,4,0)</f>
        <v>25</v>
      </c>
      <c r="F903">
        <f>VLOOKUP(B903,raw!A:K,5,0)</f>
        <v>12</v>
      </c>
      <c r="G903">
        <f>VLOOKUP(B903,raw!A:K,2,0)+VLOOKUP(B903,raw!A:K,10,0)</f>
        <v>3</v>
      </c>
      <c r="H903">
        <f>VLOOKUP(B903,raw!A:K,6,0)</f>
        <v>2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127</v>
      </c>
      <c r="D905">
        <f>VLOOKUP(B905,raw!A:K,3,0)+VLOOKUP(B905,raw!A:K,7,0)</f>
        <v>94</v>
      </c>
      <c r="E905">
        <f>VLOOKUP(B905,raw!A:K,4,0)</f>
        <v>1</v>
      </c>
      <c r="F905">
        <f>VLOOKUP(B905,raw!A:K,5,0)</f>
        <v>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30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117</v>
      </c>
      <c r="E906">
        <f>VLOOKUP(B906,raw!A:K,4,0)</f>
        <v>5</v>
      </c>
      <c r="F906">
        <f>VLOOKUP(B906,raw!A:K,5,0)</f>
        <v>1</v>
      </c>
      <c r="G906">
        <f>VLOOKUP(B906,raw!A:K,2,0)+VLOOKUP(B906,raw!A:K,10,0)</f>
        <v>1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138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2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114</v>
      </c>
      <c r="E911">
        <f>VLOOKUP(B911,raw!A:K,4,0)</f>
        <v>3</v>
      </c>
      <c r="F911">
        <f>VLOOKUP(B911,raw!A:K,5,0)</f>
        <v>11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1</v>
      </c>
      <c r="F915">
        <f>VLOOKUP(B915,raw!A:K,5,0)</f>
        <v>91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125</v>
      </c>
      <c r="D916">
        <f>VLOOKUP(B916,raw!A:K,3,0)+VLOOKUP(B916,raw!A:K,7,0)</f>
        <v>79</v>
      </c>
      <c r="E916">
        <f>VLOOKUP(B916,raw!A:K,4,0)</f>
        <v>16</v>
      </c>
      <c r="F916">
        <f>VLOOKUP(B916,raw!A:K,5,0)</f>
        <v>29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46</v>
      </c>
      <c r="G918">
        <f>VLOOKUP(B918,raw!A:K,2,0)+VLOOKUP(B918,raw!A:K,10,0)</f>
        <v>3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93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7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1</v>
      </c>
      <c r="F922">
        <f>VLOOKUP(B922,raw!A:K,5,0)</f>
        <v>0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97</v>
      </c>
      <c r="E923">
        <f>VLOOKUP(B923,raw!A:K,4,0)</f>
        <v>9</v>
      </c>
      <c r="F923">
        <f>VLOOKUP(B923,raw!A:K,5,0)</f>
        <v>14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4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43</v>
      </c>
      <c r="E924">
        <f>VLOOKUP(B924,raw!A:K,4,0)</f>
        <v>60</v>
      </c>
      <c r="F924">
        <f>VLOOKUP(B924,raw!A:K,5,0)</f>
        <v>6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38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48</v>
      </c>
      <c r="E925">
        <f>VLOOKUP(B925,raw!A:K,4,0)</f>
        <v>3</v>
      </c>
      <c r="F925">
        <f>VLOOKUP(B925,raw!A:K,5,0)</f>
        <v>10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110</v>
      </c>
      <c r="D926">
        <f>VLOOKUP(B926,raw!A:K,3,0)+VLOOKUP(B926,raw!A:K,7,0)</f>
        <v>69</v>
      </c>
      <c r="E926">
        <f>VLOOKUP(B926,raw!A:K,4,0)</f>
        <v>2</v>
      </c>
      <c r="F926">
        <f>VLOOKUP(B926,raw!A:K,5,0)</f>
        <v>20</v>
      </c>
      <c r="G926">
        <f>VLOOKUP(B926,raw!A:K,2,0)+VLOOKUP(B926,raw!A:K,10,0)</f>
        <v>2</v>
      </c>
      <c r="H926">
        <f>VLOOKUP(B926,raw!A:K,6,0)</f>
        <v>0</v>
      </c>
      <c r="I926">
        <f>VLOOKUP(B926,raw!A:K,9,0)</f>
        <v>17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1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184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2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90</v>
      </c>
      <c r="D930">
        <f>VLOOKUP(B930,raw!A:K,3,0)+VLOOKUP(B930,raw!A:K,7,0)</f>
        <v>81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1</v>
      </c>
      <c r="H930">
        <f>VLOOKUP(B930,raw!A:K,6,0)</f>
        <v>0</v>
      </c>
      <c r="I930">
        <f>VLOOKUP(B930,raw!A:K,9,0)</f>
        <v>1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77</v>
      </c>
      <c r="D931">
        <f>VLOOKUP(B931,raw!A:K,3,0)+VLOOKUP(B931,raw!A:K,7,0)</f>
        <v>66</v>
      </c>
      <c r="E931">
        <f>VLOOKUP(B931,raw!A:K,4,0)</f>
        <v>1</v>
      </c>
      <c r="F931">
        <f>VLOOKUP(B931,raw!A:K,5,0)</f>
        <v>0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9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99</v>
      </c>
      <c r="D932">
        <f>VLOOKUP(B932,raw!A:K,3,0)+VLOOKUP(B932,raw!A:K,7,0)</f>
        <v>94</v>
      </c>
      <c r="E932">
        <f>VLOOKUP(B932,raw!A:K,4,0)</f>
        <v>1</v>
      </c>
      <c r="F932">
        <f>VLOOKUP(B932,raw!A:K,5,0)</f>
        <v>0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3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108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6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94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2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1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43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87</v>
      </c>
      <c r="E940">
        <f>VLOOKUP(B940,raw!A:K,4,0)</f>
        <v>4</v>
      </c>
      <c r="F940">
        <f>VLOOKUP(B940,raw!A:K,5,0)</f>
        <v>2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103</v>
      </c>
      <c r="D941">
        <f>VLOOKUP(B941,raw!A:K,3,0)+VLOOKUP(B941,raw!A:K,7,0)</f>
        <v>24</v>
      </c>
      <c r="E941">
        <f>VLOOKUP(B941,raw!A:K,4,0)</f>
        <v>24</v>
      </c>
      <c r="F941">
        <f>VLOOKUP(B941,raw!A:K,5,0)</f>
        <v>31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24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75</v>
      </c>
      <c r="D942">
        <f>VLOOKUP(B942,raw!A:K,3,0)+VLOOKUP(B942,raw!A:K,7,0)</f>
        <v>11</v>
      </c>
      <c r="E942">
        <f>VLOOKUP(B942,raw!A:K,4,0)</f>
        <v>16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38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106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1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84</v>
      </c>
      <c r="D944">
        <f>VLOOKUP(B944,raw!A:K,3,0)+VLOOKUP(B944,raw!A:K,7,0)</f>
        <v>46</v>
      </c>
      <c r="E944">
        <f>VLOOKUP(B944,raw!A:K,4,0)</f>
        <v>26</v>
      </c>
      <c r="F944">
        <f>VLOOKUP(B944,raw!A:K,5,0)</f>
        <v>12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88</v>
      </c>
      <c r="E945">
        <f>VLOOKUP(B945,raw!A:K,4,0)</f>
        <v>2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2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67</v>
      </c>
      <c r="D948">
        <f>VLOOKUP(B948,raw!A:K,3,0)+VLOOKUP(B948,raw!A:K,7,0)</f>
        <v>14</v>
      </c>
      <c r="E948">
        <f>VLOOKUP(B948,raw!A:K,4,0)</f>
        <v>44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82</v>
      </c>
      <c r="D949">
        <f>VLOOKUP(B949,raw!A:K,3,0)+VLOOKUP(B949,raw!A:K,7,0)</f>
        <v>51</v>
      </c>
      <c r="E949">
        <f>VLOOKUP(B949,raw!A:K,4,0)</f>
        <v>12</v>
      </c>
      <c r="F949">
        <f>VLOOKUP(B949,raw!A:K,5,0)</f>
        <v>6</v>
      </c>
      <c r="G949">
        <f>VLOOKUP(B949,raw!A:K,2,0)+VLOOKUP(B949,raw!A:K,10,0)</f>
        <v>13</v>
      </c>
      <c r="H949">
        <f>VLOOKUP(B949,raw!A:K,6,0)</f>
        <v>0</v>
      </c>
      <c r="I949">
        <f>VLOOKUP(B949,raw!A:K,9,0)</f>
        <v>0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44</v>
      </c>
      <c r="D950">
        <f>VLOOKUP(B950,raw!A:K,3,0)+VLOOKUP(B950,raw!A:K,7,0)</f>
        <v>25</v>
      </c>
      <c r="E950">
        <f>VLOOKUP(B950,raw!A:K,4,0)</f>
        <v>9</v>
      </c>
      <c r="F950">
        <f>VLOOKUP(B950,raw!A:K,5,0)</f>
        <v>5</v>
      </c>
      <c r="G950">
        <f>VLOOKUP(B950,raw!A:K,2,0)+VLOOKUP(B950,raw!A:K,10,0)</f>
        <v>5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61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1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51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1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77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148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1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80</v>
      </c>
      <c r="E959">
        <f>VLOOKUP(B959,raw!A:K,4,0)</f>
        <v>1</v>
      </c>
      <c r="F959">
        <f>VLOOKUP(B959,raw!A:K,5,0)</f>
        <v>27</v>
      </c>
      <c r="G959">
        <f>VLOOKUP(B959,raw!A:K,2,0)+VLOOKUP(B959,raw!A:K,10,0)</f>
        <v>2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172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60</v>
      </c>
      <c r="E961">
        <f>VLOOKUP(B961,raw!A:K,4,0)</f>
        <v>0</v>
      </c>
      <c r="F961">
        <f>VLOOKUP(B961,raw!A:K,5,0)</f>
        <v>14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2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158</v>
      </c>
      <c r="E962">
        <f>VLOOKUP(B962,raw!A:K,4,0)</f>
        <v>8</v>
      </c>
      <c r="F962">
        <f>VLOOKUP(B962,raw!A:K,5,0)</f>
        <v>17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97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1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91</v>
      </c>
      <c r="D966">
        <f>VLOOKUP(B966,raw!A:K,3,0)+VLOOKUP(B966,raw!A:K,7,0)</f>
        <v>85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5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51</v>
      </c>
      <c r="E967">
        <f>VLOOKUP(B967,raw!A:K,4,0)</f>
        <v>0</v>
      </c>
      <c r="F967">
        <f>VLOOKUP(B967,raw!A:K,5,0)</f>
        <v>29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58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155</v>
      </c>
      <c r="D971">
        <f>VLOOKUP(B971,raw!A:K,3,0)+VLOOKUP(B971,raw!A:K,7,0)</f>
        <v>29</v>
      </c>
      <c r="E971">
        <f>VLOOKUP(B971,raw!A:K,4,0)</f>
        <v>18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49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74</v>
      </c>
      <c r="D972">
        <f>VLOOKUP(B972,raw!A:K,3,0)+VLOOKUP(B972,raw!A:K,7,0)</f>
        <v>52</v>
      </c>
      <c r="E972">
        <f>VLOOKUP(B972,raw!A:K,4,0)</f>
        <v>0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18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267</v>
      </c>
      <c r="D974">
        <f>VLOOKUP(B974,raw!A:K,3,0)+VLOOKUP(B974,raw!A:K,7,0)</f>
        <v>56</v>
      </c>
      <c r="E974">
        <f>VLOOKUP(B974,raw!A:K,4,0)</f>
        <v>114</v>
      </c>
      <c r="F974">
        <f>VLOOKUP(B974,raw!A:K,5,0)</f>
        <v>40</v>
      </c>
      <c r="G974">
        <f>VLOOKUP(B974,raw!A:K,2,0)+VLOOKUP(B974,raw!A:K,10,0)</f>
        <v>1</v>
      </c>
      <c r="H974">
        <f>VLOOKUP(B974,raw!A:K,6,0)</f>
        <v>0</v>
      </c>
      <c r="I974">
        <f>VLOOKUP(B974,raw!A:K,9,0)</f>
        <v>56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265</v>
      </c>
      <c r="D975">
        <f>VLOOKUP(B975,raw!A:K,3,0)+VLOOKUP(B975,raw!A:K,7,0)</f>
        <v>262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2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39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6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85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12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122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15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55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163</v>
      </c>
      <c r="D983">
        <f>VLOOKUP(B983,raw!A:K,3,0)+VLOOKUP(B983,raw!A:K,7,0)</f>
        <v>153</v>
      </c>
      <c r="E983">
        <f>VLOOKUP(B983,raw!A:K,4,0)</f>
        <v>5</v>
      </c>
      <c r="F983">
        <f>VLOOKUP(B983,raw!A:K,5,0)</f>
        <v>2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71</v>
      </c>
      <c r="E985">
        <f>VLOOKUP(B985,raw!A:K,4,0)</f>
        <v>1</v>
      </c>
      <c r="F985">
        <f>VLOOKUP(B985,raw!A:K,5,0)</f>
        <v>2</v>
      </c>
      <c r="G985">
        <f>VLOOKUP(B985,raw!A:K,2,0)+VLOOKUP(B985,raw!A:K,10,0)</f>
        <v>2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1</v>
      </c>
      <c r="F986">
        <f>VLOOKUP(B986,raw!A:K,5,0)</f>
        <v>3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34</v>
      </c>
      <c r="E987">
        <f>VLOOKUP(B987,raw!A:K,4,0)</f>
        <v>0</v>
      </c>
      <c r="F987">
        <f>VLOOKUP(B987,raw!A:K,5,0)</f>
        <v>10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4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54</v>
      </c>
      <c r="E990">
        <f>VLOOKUP(B990,raw!A:K,4,0)</f>
        <v>1</v>
      </c>
      <c r="F990">
        <f>VLOOKUP(B990,raw!A:K,5,0)</f>
        <v>4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1</v>
      </c>
      <c r="F991">
        <f>VLOOKUP(B991,raw!A:K,5,0)</f>
        <v>1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56</v>
      </c>
      <c r="D992">
        <f>VLOOKUP(B992,raw!A:K,3,0)+VLOOKUP(B992,raw!A:K,7,0)</f>
        <v>48</v>
      </c>
      <c r="E992">
        <f>VLOOKUP(B992,raw!A:K,4,0)</f>
        <v>1</v>
      </c>
      <c r="F992">
        <f>VLOOKUP(B992,raw!A:K,5,0)</f>
        <v>5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1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96</v>
      </c>
      <c r="D993">
        <f>VLOOKUP(B993,raw!A:K,3,0)+VLOOKUP(B993,raw!A:K,7,0)</f>
        <v>29</v>
      </c>
      <c r="E993">
        <f>VLOOKUP(B993,raw!A:K,4,0)</f>
        <v>52</v>
      </c>
      <c r="F993">
        <f>VLOOKUP(B993,raw!A:K,5,0)</f>
        <v>9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5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18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165</v>
      </c>
      <c r="D999">
        <f>VLOOKUP(B999,raw!A:K,3,0)+VLOOKUP(B999,raw!A:K,7,0)</f>
        <v>144</v>
      </c>
      <c r="E999">
        <f>VLOOKUP(B999,raw!A:K,4,0)</f>
        <v>3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16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109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1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132</v>
      </c>
      <c r="E1002">
        <f>VLOOKUP(B1002,raw!A:K,4,0)</f>
        <v>0</v>
      </c>
      <c r="F1002">
        <f>VLOOKUP(B1002,raw!A:K,5,0)</f>
        <v>23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71</v>
      </c>
      <c r="E1003">
        <f>VLOOKUP(B1003,raw!A:K,4,0)</f>
        <v>3</v>
      </c>
      <c r="F1003">
        <f>VLOOKUP(B1003,raw!A:K,5,0)</f>
        <v>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89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0</v>
      </c>
      <c r="I1004">
        <f>VLOOKUP(B1004,raw!A:K,9,0)</f>
        <v>1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70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2</v>
      </c>
      <c r="G1006">
        <f>VLOOKUP(B1006,raw!A:K,2,0)+VLOOKUP(B1006,raw!A:K,10,0)</f>
        <v>2</v>
      </c>
      <c r="H1006">
        <f>VLOOKUP(B1006,raw!A:K,6,0)</f>
        <v>0</v>
      </c>
      <c r="I1006">
        <f>VLOOKUP(B1006,raw!A:K,9,0)</f>
        <v>1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5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85</v>
      </c>
      <c r="D1008">
        <f>VLOOKUP(B1008,raw!A:K,3,0)+VLOOKUP(B1008,raw!A:K,7,0)</f>
        <v>53</v>
      </c>
      <c r="E1008">
        <f>VLOOKUP(B1008,raw!A:K,4,0)</f>
        <v>9</v>
      </c>
      <c r="F1008">
        <f>VLOOKUP(B1008,raw!A:K,5,0)</f>
        <v>19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4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84</v>
      </c>
      <c r="E1009">
        <f>VLOOKUP(B1009,raw!A:K,4,0)</f>
        <v>2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58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1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26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94</v>
      </c>
      <c r="D1019">
        <f>VLOOKUP(B1019,raw!A:K,3,0)+VLOOKUP(B1019,raw!A:K,7,0)</f>
        <v>44</v>
      </c>
      <c r="E1019">
        <f>VLOOKUP(B1019,raw!A:K,4,0)</f>
        <v>45</v>
      </c>
      <c r="F1019">
        <f>VLOOKUP(B1019,raw!A:K,5,0)</f>
        <v>2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10</v>
      </c>
      <c r="F1020">
        <f>VLOOKUP(B1020,raw!A:K,5,0)</f>
        <v>2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1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54</v>
      </c>
      <c r="E1021">
        <f>VLOOKUP(B1021,raw!A:K,4,0)</f>
        <v>5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3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84</v>
      </c>
      <c r="E1022">
        <f>VLOOKUP(B1022,raw!A:K,4,0)</f>
        <v>6</v>
      </c>
      <c r="F1022">
        <f>VLOOKUP(B1022,raw!A:K,5,0)</f>
        <v>1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9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7</v>
      </c>
      <c r="F1023">
        <f>VLOOKUP(B1023,raw!A:K,5,0)</f>
        <v>3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1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33</v>
      </c>
      <c r="E1024">
        <f>VLOOKUP(B1024,raw!A:K,4,0)</f>
        <v>0</v>
      </c>
      <c r="F1024">
        <f>VLOOKUP(B1024,raw!A:K,5,0)</f>
        <v>4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11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35</v>
      </c>
      <c r="E1025">
        <f>VLOOKUP(B1025,raw!A:K,4,0)</f>
        <v>5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8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5</v>
      </c>
      <c r="F1027">
        <f>VLOOKUP(B1027,raw!A:K,5,0)</f>
        <v>2</v>
      </c>
      <c r="G1027">
        <f>VLOOKUP(B1027,raw!A:K,2,0)+VLOOKUP(B1027,raw!A:K,10,0)</f>
        <v>1</v>
      </c>
      <c r="H1027">
        <f>VLOOKUP(B1027,raw!A:K,6,0)</f>
        <v>0</v>
      </c>
      <c r="I1027">
        <f>VLOOKUP(B1027,raw!A:K,9,0)</f>
        <v>6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102</v>
      </c>
      <c r="D1028">
        <f>VLOOKUP(B1028,raw!A:K,3,0)+VLOOKUP(B1028,raw!A:K,7,0)</f>
        <v>69</v>
      </c>
      <c r="E1028">
        <f>VLOOKUP(B1028,raw!A:K,4,0)</f>
        <v>5</v>
      </c>
      <c r="F1028">
        <f>VLOOKUP(B1028,raw!A:K,5,0)</f>
        <v>2</v>
      </c>
      <c r="G1028">
        <f>VLOOKUP(B1028,raw!A:K,2,0)+VLOOKUP(B1028,raw!A:K,10,0)</f>
        <v>0</v>
      </c>
      <c r="H1028">
        <f>VLOOKUP(B1028,raw!A:K,6,0)</f>
        <v>1</v>
      </c>
      <c r="I1028">
        <f>VLOOKUP(B1028,raw!A:K,9,0)</f>
        <v>25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105</v>
      </c>
      <c r="D1029">
        <f>VLOOKUP(B1029,raw!A:K,3,0)+VLOOKUP(B1029,raw!A:K,7,0)</f>
        <v>48</v>
      </c>
      <c r="E1029">
        <f>VLOOKUP(B1029,raw!A:K,4,0)</f>
        <v>7</v>
      </c>
      <c r="F1029">
        <f>VLOOKUP(B1029,raw!A:K,5,0)</f>
        <v>3</v>
      </c>
      <c r="G1029">
        <f>VLOOKUP(B1029,raw!A:K,2,0)+VLOOKUP(B1029,raw!A:K,10,0)</f>
        <v>1</v>
      </c>
      <c r="H1029">
        <f>VLOOKUP(B1029,raw!A:K,6,0)</f>
        <v>0</v>
      </c>
      <c r="I1029">
        <f>VLOOKUP(B1029,raw!A:K,9,0)</f>
        <v>46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50</v>
      </c>
      <c r="D1030">
        <f>VLOOKUP(B1030,raw!A:K,3,0)+VLOOKUP(B1030,raw!A:K,7,0)</f>
        <v>18</v>
      </c>
      <c r="E1030">
        <f>VLOOKUP(B1030,raw!A:K,4,0)</f>
        <v>1</v>
      </c>
      <c r="F1030">
        <f>VLOOKUP(B1030,raw!A:K,5,0)</f>
        <v>3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28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2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26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86</v>
      </c>
      <c r="D1032">
        <f>VLOOKUP(B1032,raw!A:K,3,0)+VLOOKUP(B1032,raw!A:K,7,0)</f>
        <v>76</v>
      </c>
      <c r="E1032">
        <f>VLOOKUP(B1032,raw!A:K,4,0)</f>
        <v>2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2</v>
      </c>
      <c r="F1037">
        <f>VLOOKUP(B1037,raw!A:K,5,0)</f>
        <v>4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14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57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46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88</v>
      </c>
      <c r="D1043">
        <f>VLOOKUP(B1043,raw!A:K,3,0)+VLOOKUP(B1043,raw!A:K,7,0)</f>
        <v>56</v>
      </c>
      <c r="E1043">
        <f>VLOOKUP(B1043,raw!A:K,4,0)</f>
        <v>1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31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56</v>
      </c>
      <c r="D1044">
        <f>VLOOKUP(B1044,raw!A:K,3,0)+VLOOKUP(B1044,raw!A:K,7,0)</f>
        <v>17</v>
      </c>
      <c r="E1044">
        <f>VLOOKUP(B1044,raw!A:K,4,0)</f>
        <v>6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33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2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139</v>
      </c>
      <c r="D1047">
        <f>VLOOKUP(B1047,raw!A:K,3,0)+VLOOKUP(B1047,raw!A:K,7,0)</f>
        <v>100</v>
      </c>
      <c r="E1047">
        <f>VLOOKUP(B1047,raw!A:K,4,0)</f>
        <v>2</v>
      </c>
      <c r="F1047">
        <f>VLOOKUP(B1047,raw!A:K,5,0)</f>
        <v>0</v>
      </c>
      <c r="G1047">
        <f>VLOOKUP(B1047,raw!A:K,2,0)+VLOOKUP(B1047,raw!A:K,10,0)</f>
        <v>14</v>
      </c>
      <c r="H1047">
        <f>VLOOKUP(B1047,raw!A:K,6,0)</f>
        <v>4</v>
      </c>
      <c r="I1047">
        <f>VLOOKUP(B1047,raw!A:K,9,0)</f>
        <v>19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101</v>
      </c>
      <c r="D1048">
        <f>VLOOKUP(B1048,raw!A:K,3,0)+VLOOKUP(B1048,raw!A:K,7,0)</f>
        <v>80</v>
      </c>
      <c r="E1048">
        <f>VLOOKUP(B1048,raw!A:K,4,0)</f>
        <v>8</v>
      </c>
      <c r="F1048">
        <f>VLOOKUP(B1048,raw!A:K,5,0)</f>
        <v>0</v>
      </c>
      <c r="G1048">
        <f>VLOOKUP(B1048,raw!A:K,2,0)+VLOOKUP(B1048,raw!A:K,10,0)</f>
        <v>6</v>
      </c>
      <c r="H1048">
        <f>VLOOKUP(B1048,raw!A:K,6,0)</f>
        <v>0</v>
      </c>
      <c r="I1048">
        <f>VLOOKUP(B1048,raw!A:K,9,0)</f>
        <v>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74</v>
      </c>
      <c r="D1049">
        <f>VLOOKUP(B1049,raw!A:K,3,0)+VLOOKUP(B1049,raw!A:K,7,0)</f>
        <v>51</v>
      </c>
      <c r="E1049">
        <f>VLOOKUP(B1049,raw!A:K,4,0)</f>
        <v>2</v>
      </c>
      <c r="F1049">
        <f>VLOOKUP(B1049,raw!A:K,5,0)</f>
        <v>9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12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46</v>
      </c>
      <c r="E1050">
        <f>VLOOKUP(B1050,raw!A:K,4,0)</f>
        <v>3</v>
      </c>
      <c r="F1050">
        <f>VLOOKUP(B1050,raw!A:K,5,0)</f>
        <v>6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20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14</v>
      </c>
      <c r="E1051">
        <f>VLOOKUP(B1051,raw!A:K,4,0)</f>
        <v>0</v>
      </c>
      <c r="F1051">
        <f>VLOOKUP(B1051,raw!A:K,5,0)</f>
        <v>3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37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2</v>
      </c>
      <c r="F1052">
        <f>VLOOKUP(B1052,raw!A:K,5,0)</f>
        <v>3</v>
      </c>
      <c r="G1052">
        <f>VLOOKUP(B1052,raw!A:K,2,0)+VLOOKUP(B1052,raw!A:K,10,0)</f>
        <v>1</v>
      </c>
      <c r="H1052">
        <f>VLOOKUP(B1052,raw!A:K,6,0)</f>
        <v>0</v>
      </c>
      <c r="I1052">
        <f>VLOOKUP(B1052,raw!A:K,9,0)</f>
        <v>1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60</v>
      </c>
      <c r="D1053">
        <f>VLOOKUP(B1053,raw!A:K,3,0)+VLOOKUP(B1053,raw!A:K,7,0)</f>
        <v>23</v>
      </c>
      <c r="E1053">
        <f>VLOOKUP(B1053,raw!A:K,4,0)</f>
        <v>11</v>
      </c>
      <c r="F1053">
        <f>VLOOKUP(B1053,raw!A:K,5,0)</f>
        <v>19</v>
      </c>
      <c r="G1053">
        <f>VLOOKUP(B1053,raw!A:K,2,0)+VLOOKUP(B1053,raw!A:K,10,0)</f>
        <v>5</v>
      </c>
      <c r="H1053">
        <f>VLOOKUP(B1053,raw!A:K,6,0)</f>
        <v>0</v>
      </c>
      <c r="I1053">
        <f>VLOOKUP(B1053,raw!A:K,9,0)</f>
        <v>2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65</v>
      </c>
      <c r="D1055">
        <f>VLOOKUP(B1055,raw!A:K,3,0)+VLOOKUP(B1055,raw!A:K,7,0)</f>
        <v>58</v>
      </c>
      <c r="E1055">
        <f>VLOOKUP(B1055,raw!A:K,4,0)</f>
        <v>3</v>
      </c>
      <c r="F1055">
        <f>VLOOKUP(B1055,raw!A:K,5,0)</f>
        <v>4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0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26</v>
      </c>
      <c r="E1056">
        <f>VLOOKUP(B1056,raw!A:K,4,0)</f>
        <v>15</v>
      </c>
      <c r="F1056">
        <f>VLOOKUP(B1056,raw!A:K,5,0)</f>
        <v>5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2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44</v>
      </c>
      <c r="E1057">
        <f>VLOOKUP(B1057,raw!A:K,4,0)</f>
        <v>1</v>
      </c>
      <c r="F1057">
        <f>VLOOKUP(B1057,raw!A:K,5,0)</f>
        <v>2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8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38</v>
      </c>
      <c r="E1058">
        <f>VLOOKUP(B1058,raw!A:K,4,0)</f>
        <v>2</v>
      </c>
      <c r="F1058">
        <f>VLOOKUP(B1058,raw!A:K,5,0)</f>
        <v>3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9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1"/>
  <sheetViews>
    <sheetView workbookViewId="0">
      <selection activeCell="B10" sqref="B10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1</v>
      </c>
      <c r="F3" s="7">
        <v>0</v>
      </c>
      <c r="G3" s="7">
        <v>0</v>
      </c>
      <c r="H3" s="7">
        <v>0</v>
      </c>
      <c r="I3" s="7">
        <v>0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69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1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41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2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84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2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141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3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134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35</v>
      </c>
      <c r="J9" s="7">
        <v>3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12</v>
      </c>
      <c r="J11" s="7">
        <v>0</v>
      </c>
      <c r="K11" s="7">
        <v>90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4</v>
      </c>
      <c r="J12" s="7">
        <v>0</v>
      </c>
      <c r="K12" s="7">
        <v>202</v>
      </c>
    </row>
    <row r="13" spans="1:11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</v>
      </c>
      <c r="E14" s="7">
        <v>15</v>
      </c>
      <c r="F14" s="7">
        <v>0</v>
      </c>
      <c r="G14" s="7">
        <v>14</v>
      </c>
      <c r="H14" s="7">
        <v>0</v>
      </c>
      <c r="I14" s="7">
        <v>6</v>
      </c>
      <c r="J14" s="7">
        <v>1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5</v>
      </c>
      <c r="E15" s="7">
        <v>1</v>
      </c>
      <c r="F15" s="7">
        <v>0</v>
      </c>
      <c r="G15" s="7">
        <v>0</v>
      </c>
      <c r="H15" s="7">
        <v>0</v>
      </c>
      <c r="I15" s="7">
        <v>12</v>
      </c>
      <c r="J15" s="7">
        <v>2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15</v>
      </c>
      <c r="E16" s="7">
        <v>11</v>
      </c>
      <c r="F16" s="7">
        <v>0</v>
      </c>
      <c r="G16" s="7">
        <v>5</v>
      </c>
      <c r="H16" s="7">
        <v>0</v>
      </c>
      <c r="I16" s="7">
        <v>17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1</v>
      </c>
      <c r="E18" s="7">
        <v>11</v>
      </c>
      <c r="F18" s="7">
        <v>0</v>
      </c>
      <c r="G18" s="7">
        <v>1</v>
      </c>
      <c r="H18" s="7">
        <v>0</v>
      </c>
      <c r="I18" s="7">
        <v>13</v>
      </c>
      <c r="J18" s="7">
        <v>3</v>
      </c>
      <c r="K18" s="7">
        <v>106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4</v>
      </c>
      <c r="E19" s="7">
        <v>1</v>
      </c>
      <c r="F19" s="7">
        <v>0</v>
      </c>
      <c r="G19" s="7">
        <v>0</v>
      </c>
      <c r="H19" s="7">
        <v>0</v>
      </c>
      <c r="I19" s="7">
        <v>13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3</v>
      </c>
      <c r="E22" s="7">
        <v>1</v>
      </c>
      <c r="F22" s="7">
        <v>0</v>
      </c>
      <c r="G22" s="7">
        <v>0</v>
      </c>
      <c r="H22" s="7">
        <v>0</v>
      </c>
      <c r="I22" s="7">
        <v>11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7</v>
      </c>
      <c r="E23" s="7">
        <v>4</v>
      </c>
      <c r="F23" s="7">
        <v>0</v>
      </c>
      <c r="G23" s="7">
        <v>0</v>
      </c>
      <c r="H23" s="7">
        <v>0</v>
      </c>
      <c r="I23" s="7">
        <v>5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10</v>
      </c>
      <c r="F24" s="7">
        <v>0</v>
      </c>
      <c r="G24" s="7">
        <v>0</v>
      </c>
      <c r="H24" s="7">
        <v>0</v>
      </c>
      <c r="I24" s="7">
        <v>11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1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1</v>
      </c>
      <c r="F29" s="7">
        <v>0</v>
      </c>
      <c r="G29" s="7">
        <v>1</v>
      </c>
      <c r="H29" s="7">
        <v>0</v>
      </c>
      <c r="I29" s="7">
        <v>1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0</v>
      </c>
      <c r="F33" s="7">
        <v>0</v>
      </c>
      <c r="G33" s="7">
        <v>2</v>
      </c>
      <c r="H33" s="7">
        <v>0</v>
      </c>
      <c r="I33" s="7">
        <v>3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24</v>
      </c>
      <c r="J37" s="7">
        <v>0</v>
      </c>
      <c r="K37" s="7">
        <v>67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1</v>
      </c>
      <c r="F38" s="7">
        <v>0</v>
      </c>
      <c r="G38" s="7">
        <v>0</v>
      </c>
      <c r="H38" s="7">
        <v>0</v>
      </c>
      <c r="I38" s="7">
        <v>52</v>
      </c>
      <c r="J38" s="7">
        <v>0</v>
      </c>
      <c r="K38" s="7">
        <v>64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1</v>
      </c>
      <c r="E39" s="7">
        <v>3</v>
      </c>
      <c r="F39" s="7">
        <v>0</v>
      </c>
      <c r="G39" s="7">
        <v>0</v>
      </c>
      <c r="H39" s="7">
        <v>0</v>
      </c>
      <c r="I39" s="7">
        <v>28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4</v>
      </c>
      <c r="E40" s="7">
        <v>2</v>
      </c>
      <c r="F40" s="7">
        <v>0</v>
      </c>
      <c r="G40" s="7">
        <v>0</v>
      </c>
      <c r="H40" s="7">
        <v>0</v>
      </c>
      <c r="I40" s="7">
        <v>39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17</v>
      </c>
      <c r="F41" s="7">
        <v>0</v>
      </c>
      <c r="G41" s="7">
        <v>0</v>
      </c>
      <c r="H41" s="7">
        <v>0</v>
      </c>
      <c r="I41" s="7">
        <v>52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9</v>
      </c>
      <c r="E42" s="7">
        <v>4</v>
      </c>
      <c r="F42" s="7">
        <v>0</v>
      </c>
      <c r="G42" s="7">
        <v>0</v>
      </c>
      <c r="H42" s="7">
        <v>0</v>
      </c>
      <c r="I42" s="7">
        <v>12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</v>
      </c>
      <c r="E43" s="7">
        <v>12</v>
      </c>
      <c r="F43" s="7">
        <v>0</v>
      </c>
      <c r="G43" s="7">
        <v>0</v>
      </c>
      <c r="H43" s="7">
        <v>0</v>
      </c>
      <c r="I43" s="7">
        <v>48</v>
      </c>
      <c r="J43" s="7">
        <v>0</v>
      </c>
      <c r="K43" s="7">
        <v>61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3</v>
      </c>
      <c r="E44" s="7">
        <v>14</v>
      </c>
      <c r="F44" s="7">
        <v>0</v>
      </c>
      <c r="G44" s="7">
        <v>0</v>
      </c>
      <c r="H44" s="7">
        <v>0</v>
      </c>
      <c r="I44" s="7">
        <v>29</v>
      </c>
      <c r="J44" s="7">
        <v>0</v>
      </c>
      <c r="K44" s="7">
        <v>46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9</v>
      </c>
      <c r="E45" s="7">
        <v>3</v>
      </c>
      <c r="F45" s="7">
        <v>0</v>
      </c>
      <c r="G45" s="7">
        <v>0</v>
      </c>
      <c r="H45" s="7">
        <v>0</v>
      </c>
      <c r="I45" s="7">
        <v>73</v>
      </c>
      <c r="J45" s="7">
        <v>1</v>
      </c>
      <c r="K45" s="7">
        <v>86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4</v>
      </c>
      <c r="E46" s="7">
        <v>5</v>
      </c>
      <c r="F46" s="7">
        <v>0</v>
      </c>
      <c r="G46" s="7">
        <v>0</v>
      </c>
      <c r="H46" s="7">
        <v>0</v>
      </c>
      <c r="I46" s="7">
        <v>52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2</v>
      </c>
      <c r="E47" s="7">
        <v>0</v>
      </c>
      <c r="F47" s="7">
        <v>0</v>
      </c>
      <c r="G47" s="7">
        <v>0</v>
      </c>
      <c r="H47" s="7">
        <v>0</v>
      </c>
      <c r="I47" s="7">
        <v>57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1</v>
      </c>
      <c r="E48" s="7">
        <v>2</v>
      </c>
      <c r="F48" s="7">
        <v>0</v>
      </c>
      <c r="G48" s="7">
        <v>0</v>
      </c>
      <c r="H48" s="7">
        <v>0</v>
      </c>
      <c r="I48" s="7">
        <v>51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3</v>
      </c>
      <c r="E49" s="7">
        <v>0</v>
      </c>
      <c r="F49" s="7">
        <v>0</v>
      </c>
      <c r="G49" s="7">
        <v>0</v>
      </c>
      <c r="H49" s="7">
        <v>0</v>
      </c>
      <c r="I49" s="7">
        <v>89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2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106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0</v>
      </c>
      <c r="J53" s="7">
        <v>1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1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130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1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72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73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75</v>
      </c>
      <c r="D60" s="7">
        <v>1</v>
      </c>
      <c r="E60" s="7">
        <v>1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77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9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89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1</v>
      </c>
      <c r="E62" s="7">
        <v>12</v>
      </c>
      <c r="F62" s="7">
        <v>0</v>
      </c>
      <c r="G62" s="7">
        <v>2</v>
      </c>
      <c r="H62" s="7">
        <v>0</v>
      </c>
      <c r="I62" s="7">
        <v>0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30</v>
      </c>
      <c r="D63" s="7">
        <v>0</v>
      </c>
      <c r="E63" s="7">
        <v>9</v>
      </c>
      <c r="F63" s="7">
        <v>0</v>
      </c>
      <c r="G63" s="7">
        <v>0</v>
      </c>
      <c r="H63" s="7">
        <v>0</v>
      </c>
      <c r="I63" s="7">
        <v>32</v>
      </c>
      <c r="J63" s="7">
        <v>1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8</v>
      </c>
      <c r="F64" s="7">
        <v>0</v>
      </c>
      <c r="G64" s="7">
        <v>0</v>
      </c>
      <c r="H64" s="7">
        <v>0</v>
      </c>
      <c r="I64" s="7">
        <v>20</v>
      </c>
      <c r="J64" s="7">
        <v>0</v>
      </c>
      <c r="K64" s="7">
        <v>31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</v>
      </c>
      <c r="E65" s="7">
        <v>18</v>
      </c>
      <c r="F65" s="7">
        <v>0</v>
      </c>
      <c r="G65" s="7">
        <v>0</v>
      </c>
      <c r="H65" s="7">
        <v>0</v>
      </c>
      <c r="I65" s="7">
        <v>16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2</v>
      </c>
      <c r="F66" s="7">
        <v>0</v>
      </c>
      <c r="G66" s="7">
        <v>1</v>
      </c>
      <c r="H66" s="7">
        <v>0</v>
      </c>
      <c r="I66" s="7">
        <v>4</v>
      </c>
      <c r="J66" s="7">
        <v>1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1</v>
      </c>
      <c r="E67" s="7">
        <v>50</v>
      </c>
      <c r="F67" s="7">
        <v>0</v>
      </c>
      <c r="G67" s="7">
        <v>0</v>
      </c>
      <c r="H67" s="7">
        <v>0</v>
      </c>
      <c r="I67" s="7">
        <v>30</v>
      </c>
      <c r="J67" s="7">
        <v>1</v>
      </c>
      <c r="K67" s="7">
        <v>82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5</v>
      </c>
      <c r="F68" s="7">
        <v>0</v>
      </c>
      <c r="G68" s="7">
        <v>0</v>
      </c>
      <c r="H68" s="7">
        <v>0</v>
      </c>
      <c r="I68" s="7">
        <v>7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1</v>
      </c>
      <c r="E69" s="7">
        <v>1</v>
      </c>
      <c r="F69" s="7">
        <v>1</v>
      </c>
      <c r="G69" s="7">
        <v>2</v>
      </c>
      <c r="H69" s="7">
        <v>0</v>
      </c>
      <c r="I69" s="7">
        <v>4</v>
      </c>
      <c r="J69" s="7">
        <v>4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0</v>
      </c>
      <c r="J70" s="7">
        <v>6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3</v>
      </c>
      <c r="J72" s="7">
        <v>0</v>
      </c>
      <c r="K72" s="7">
        <v>47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20</v>
      </c>
      <c r="J74" s="7">
        <v>0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3</v>
      </c>
      <c r="F75" s="7">
        <v>0</v>
      </c>
      <c r="G75" s="7">
        <v>0</v>
      </c>
      <c r="H75" s="7">
        <v>0</v>
      </c>
      <c r="I75" s="7">
        <v>45</v>
      </c>
      <c r="J75" s="7">
        <v>0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46</v>
      </c>
      <c r="J78" s="7">
        <v>0</v>
      </c>
      <c r="K78" s="7">
        <v>49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1</v>
      </c>
      <c r="F79" s="7">
        <v>0</v>
      </c>
      <c r="G79" s="7">
        <v>0</v>
      </c>
      <c r="H79" s="7">
        <v>0</v>
      </c>
      <c r="I79" s="7">
        <v>34</v>
      </c>
      <c r="J79" s="7">
        <v>0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3</v>
      </c>
      <c r="F80" s="7">
        <v>0</v>
      </c>
      <c r="G80" s="7">
        <v>0</v>
      </c>
      <c r="H80" s="7">
        <v>0</v>
      </c>
      <c r="I80" s="7">
        <v>43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15</v>
      </c>
      <c r="J81" s="7">
        <v>0</v>
      </c>
      <c r="K81" s="7">
        <v>19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1</v>
      </c>
      <c r="F82" s="7">
        <v>0</v>
      </c>
      <c r="G82" s="7">
        <v>0</v>
      </c>
      <c r="H82" s="7">
        <v>0</v>
      </c>
      <c r="I82" s="7">
        <v>33</v>
      </c>
      <c r="J82" s="7">
        <v>0</v>
      </c>
      <c r="K82" s="7">
        <v>34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11</v>
      </c>
      <c r="F83" s="7">
        <v>0</v>
      </c>
      <c r="G83" s="7">
        <v>0</v>
      </c>
      <c r="H83" s="7">
        <v>0</v>
      </c>
      <c r="I83" s="7">
        <v>20</v>
      </c>
      <c r="J83" s="7">
        <v>0</v>
      </c>
      <c r="K83" s="7">
        <v>49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8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13</v>
      </c>
      <c r="D87" s="7">
        <v>0</v>
      </c>
      <c r="E87" s="7">
        <v>7</v>
      </c>
      <c r="F87" s="7">
        <v>0</v>
      </c>
      <c r="G87" s="7">
        <v>0</v>
      </c>
      <c r="H87" s="7">
        <v>0</v>
      </c>
      <c r="I87" s="7">
        <v>20</v>
      </c>
      <c r="J87" s="7">
        <v>0</v>
      </c>
      <c r="K87" s="7">
        <v>40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2</v>
      </c>
      <c r="E88" s="7">
        <v>9</v>
      </c>
      <c r="F88" s="7">
        <v>0</v>
      </c>
      <c r="G88" s="7">
        <v>0</v>
      </c>
      <c r="H88" s="7">
        <v>0</v>
      </c>
      <c r="I88" s="7">
        <v>18</v>
      </c>
      <c r="J88" s="7">
        <v>0</v>
      </c>
      <c r="K88" s="7">
        <v>40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2</v>
      </c>
      <c r="F92" s="7">
        <v>0</v>
      </c>
      <c r="G92" s="7">
        <v>0</v>
      </c>
      <c r="H92" s="7">
        <v>0</v>
      </c>
      <c r="I92" s="7">
        <v>28</v>
      </c>
      <c r="J92" s="7">
        <v>0</v>
      </c>
      <c r="K92" s="7">
        <v>45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2</v>
      </c>
      <c r="J95" s="7">
        <v>0</v>
      </c>
      <c r="K95" s="7">
        <v>65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38</v>
      </c>
      <c r="J96" s="7">
        <v>0</v>
      </c>
      <c r="K96" s="7">
        <v>69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1</v>
      </c>
      <c r="E97" s="7">
        <v>1</v>
      </c>
      <c r="F97" s="7">
        <v>0</v>
      </c>
      <c r="G97" s="7">
        <v>0</v>
      </c>
      <c r="H97" s="7">
        <v>0</v>
      </c>
      <c r="I97" s="7">
        <v>58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3</v>
      </c>
      <c r="F98" s="7">
        <v>0</v>
      </c>
      <c r="G98" s="7">
        <v>0</v>
      </c>
      <c r="H98" s="7">
        <v>0</v>
      </c>
      <c r="I98" s="7">
        <v>33</v>
      </c>
      <c r="J98" s="7">
        <v>0</v>
      </c>
      <c r="K98" s="7">
        <v>52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1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1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1</v>
      </c>
      <c r="F105" s="7">
        <v>0</v>
      </c>
      <c r="G105" s="7">
        <v>0</v>
      </c>
      <c r="H105" s="7">
        <v>0</v>
      </c>
      <c r="I105" s="7">
        <v>1</v>
      </c>
      <c r="J105" s="7">
        <v>2</v>
      </c>
      <c r="K105" s="7">
        <v>48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1</v>
      </c>
      <c r="F107" s="7">
        <v>0</v>
      </c>
      <c r="G107" s="7">
        <v>0</v>
      </c>
      <c r="H107" s="7">
        <v>0</v>
      </c>
      <c r="I107" s="7">
        <v>0</v>
      </c>
      <c r="J107" s="7">
        <v>1</v>
      </c>
      <c r="K107" s="7">
        <v>39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21</v>
      </c>
      <c r="J108" s="7">
        <v>1</v>
      </c>
      <c r="K108" s="7">
        <v>45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27</v>
      </c>
      <c r="J111" s="7">
        <v>8</v>
      </c>
      <c r="K111" s="7">
        <v>51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1</v>
      </c>
      <c r="J113" s="7">
        <v>1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1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12</v>
      </c>
      <c r="F117" s="7">
        <v>0</v>
      </c>
      <c r="G117" s="7">
        <v>0</v>
      </c>
      <c r="H117" s="7">
        <v>0</v>
      </c>
      <c r="I117" s="7">
        <v>57</v>
      </c>
      <c r="J117" s="7">
        <v>0</v>
      </c>
      <c r="K117" s="7">
        <v>69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26</v>
      </c>
      <c r="F118" s="7">
        <v>0</v>
      </c>
      <c r="G118" s="7">
        <v>0</v>
      </c>
      <c r="H118" s="7">
        <v>0</v>
      </c>
      <c r="I118" s="7">
        <v>0</v>
      </c>
      <c r="J118" s="7">
        <v>2</v>
      </c>
      <c r="K118" s="7">
        <v>28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76</v>
      </c>
      <c r="J121" s="7">
        <v>1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110</v>
      </c>
      <c r="J122" s="7">
        <v>1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0</v>
      </c>
      <c r="E123" s="7">
        <v>2</v>
      </c>
      <c r="F123" s="7">
        <v>0</v>
      </c>
      <c r="G123" s="7">
        <v>0</v>
      </c>
      <c r="H123" s="7">
        <v>0</v>
      </c>
      <c r="I123" s="7">
        <v>56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57</v>
      </c>
      <c r="D124" s="7">
        <v>5</v>
      </c>
      <c r="E124" s="7">
        <v>0</v>
      </c>
      <c r="F124" s="7">
        <v>0</v>
      </c>
      <c r="G124" s="7">
        <v>0</v>
      </c>
      <c r="H124" s="7">
        <v>0</v>
      </c>
      <c r="I124" s="7">
        <v>8</v>
      </c>
      <c r="J124" s="7">
        <v>1</v>
      </c>
      <c r="K124" s="7">
        <v>71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7</v>
      </c>
      <c r="J125" s="7">
        <v>0</v>
      </c>
      <c r="K125" s="7">
        <v>80</v>
      </c>
    </row>
    <row r="126" spans="1:11" x14ac:dyDescent="0.25">
      <c r="A126" s="7" t="s">
        <v>1122</v>
      </c>
      <c r="B126" s="7">
        <v>0</v>
      </c>
      <c r="C126" s="7">
        <v>61</v>
      </c>
      <c r="D126" s="7">
        <v>1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63</v>
      </c>
    </row>
    <row r="127" spans="1:11" x14ac:dyDescent="0.25">
      <c r="A127" s="7" t="s">
        <v>1123</v>
      </c>
      <c r="B127" s="7">
        <v>0</v>
      </c>
      <c r="C127" s="7">
        <v>73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1</v>
      </c>
      <c r="J127" s="7">
        <v>6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43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1</v>
      </c>
      <c r="K128" s="7">
        <v>44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4</v>
      </c>
      <c r="E131" s="7">
        <v>37</v>
      </c>
      <c r="F131" s="7">
        <v>0</v>
      </c>
      <c r="G131" s="7">
        <v>0</v>
      </c>
      <c r="H131" s="7">
        <v>0</v>
      </c>
      <c r="I131" s="7">
        <v>39</v>
      </c>
      <c r="J131" s="7">
        <v>2</v>
      </c>
      <c r="K131" s="7">
        <v>82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33</v>
      </c>
      <c r="E132" s="7">
        <v>12</v>
      </c>
      <c r="F132" s="7">
        <v>0</v>
      </c>
      <c r="G132" s="7">
        <v>0</v>
      </c>
      <c r="H132" s="7">
        <v>0</v>
      </c>
      <c r="I132" s="7">
        <v>15</v>
      </c>
      <c r="J132" s="7">
        <v>0</v>
      </c>
      <c r="K132" s="7">
        <v>60</v>
      </c>
    </row>
    <row r="133" spans="1:11" x14ac:dyDescent="0.25">
      <c r="A133" s="7" t="s">
        <v>1129</v>
      </c>
      <c r="B133" s="7">
        <v>0</v>
      </c>
      <c r="C133" s="7">
        <v>45</v>
      </c>
      <c r="D133" s="7">
        <v>0</v>
      </c>
      <c r="E133" s="7">
        <v>2</v>
      </c>
      <c r="F133" s="7">
        <v>0</v>
      </c>
      <c r="G133" s="7">
        <v>0</v>
      </c>
      <c r="H133" s="7">
        <v>0</v>
      </c>
      <c r="I133" s="7">
        <v>42</v>
      </c>
      <c r="J133" s="7">
        <v>0</v>
      </c>
      <c r="K133" s="7">
        <v>89</v>
      </c>
    </row>
    <row r="134" spans="1:11" x14ac:dyDescent="0.25">
      <c r="A134" s="7" t="s">
        <v>1130</v>
      </c>
      <c r="B134" s="7">
        <v>0</v>
      </c>
      <c r="C134" s="7">
        <v>42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13</v>
      </c>
      <c r="J134" s="7">
        <v>1</v>
      </c>
      <c r="K134" s="7">
        <v>56</v>
      </c>
    </row>
    <row r="135" spans="1:11" x14ac:dyDescent="0.25">
      <c r="A135" s="7" t="s">
        <v>1131</v>
      </c>
      <c r="B135" s="7">
        <v>0</v>
      </c>
      <c r="C135" s="7">
        <v>40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1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2</v>
      </c>
      <c r="E136" s="7">
        <v>0</v>
      </c>
      <c r="F136" s="7">
        <v>0</v>
      </c>
      <c r="G136" s="7">
        <v>0</v>
      </c>
      <c r="H136" s="7">
        <v>0</v>
      </c>
      <c r="I136" s="7">
        <v>50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111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3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128</v>
      </c>
      <c r="D138" s="7">
        <v>0</v>
      </c>
      <c r="E138" s="7">
        <v>2</v>
      </c>
      <c r="F138" s="7">
        <v>0</v>
      </c>
      <c r="G138" s="7">
        <v>7</v>
      </c>
      <c r="H138" s="7">
        <v>0</v>
      </c>
      <c r="I138" s="7">
        <v>6</v>
      </c>
      <c r="J138" s="7">
        <v>0</v>
      </c>
      <c r="K138" s="7">
        <v>143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1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1</v>
      </c>
      <c r="F140" s="7">
        <v>0</v>
      </c>
      <c r="G140" s="7">
        <v>0</v>
      </c>
      <c r="H140" s="7">
        <v>0</v>
      </c>
      <c r="I140" s="7">
        <v>6</v>
      </c>
      <c r="J140" s="7">
        <v>0</v>
      </c>
      <c r="K140" s="7">
        <v>217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35</v>
      </c>
      <c r="D142" s="7">
        <v>0</v>
      </c>
      <c r="E142" s="7">
        <v>1</v>
      </c>
      <c r="F142" s="7">
        <v>0</v>
      </c>
      <c r="G142" s="7">
        <v>0</v>
      </c>
      <c r="H142" s="7">
        <v>0</v>
      </c>
      <c r="I142" s="7">
        <v>37</v>
      </c>
      <c r="J142" s="7">
        <v>1</v>
      </c>
      <c r="K142" s="7">
        <v>74</v>
      </c>
    </row>
    <row r="143" spans="1:11" x14ac:dyDescent="0.25">
      <c r="A143" s="7" t="s">
        <v>1139</v>
      </c>
      <c r="B143" s="7">
        <v>0</v>
      </c>
      <c r="C143" s="7">
        <v>110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23</v>
      </c>
      <c r="J143" s="7">
        <v>13</v>
      </c>
      <c r="K143" s="7">
        <v>152</v>
      </c>
    </row>
    <row r="144" spans="1:11" x14ac:dyDescent="0.25">
      <c r="A144" s="7" t="s">
        <v>1140</v>
      </c>
      <c r="B144" s="7">
        <v>0</v>
      </c>
      <c r="C144" s="7">
        <v>16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101</v>
      </c>
      <c r="J144" s="7">
        <v>3</v>
      </c>
      <c r="K144" s="7">
        <v>120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91</v>
      </c>
      <c r="J145" s="7">
        <v>2</v>
      </c>
      <c r="K145" s="7">
        <v>161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29</v>
      </c>
      <c r="J146" s="7">
        <v>1</v>
      </c>
      <c r="K146" s="7">
        <v>30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44</v>
      </c>
      <c r="J147" s="7">
        <v>4</v>
      </c>
      <c r="K147" s="7">
        <v>138</v>
      </c>
    </row>
    <row r="148" spans="1:11" x14ac:dyDescent="0.25">
      <c r="A148" s="7" t="s">
        <v>1144</v>
      </c>
      <c r="B148" s="7">
        <v>0</v>
      </c>
      <c r="C148" s="7">
        <v>85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26</v>
      </c>
      <c r="J148" s="7">
        <v>4</v>
      </c>
      <c r="K148" s="7">
        <v>121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90</v>
      </c>
      <c r="J149" s="7">
        <v>3</v>
      </c>
      <c r="K149" s="7">
        <v>158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5</v>
      </c>
      <c r="E150" s="7">
        <v>0</v>
      </c>
      <c r="F150" s="7">
        <v>0</v>
      </c>
      <c r="G150" s="7">
        <v>0</v>
      </c>
      <c r="H150" s="7">
        <v>0</v>
      </c>
      <c r="I150" s="7">
        <v>80</v>
      </c>
      <c r="J150" s="7">
        <v>8</v>
      </c>
      <c r="K150" s="7">
        <v>93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1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2</v>
      </c>
      <c r="K151" s="7">
        <v>103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23</v>
      </c>
      <c r="J152" s="7">
        <v>2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1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93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30</v>
      </c>
      <c r="J154" s="7">
        <v>1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3</v>
      </c>
      <c r="E155" s="7">
        <v>1</v>
      </c>
      <c r="F155" s="7">
        <v>0</v>
      </c>
      <c r="G155" s="7">
        <v>6</v>
      </c>
      <c r="H155" s="7">
        <v>0</v>
      </c>
      <c r="I155" s="7">
        <v>22</v>
      </c>
      <c r="J155" s="7">
        <v>2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210</v>
      </c>
      <c r="D156" s="7">
        <v>5</v>
      </c>
      <c r="E156" s="7">
        <v>0</v>
      </c>
      <c r="F156" s="7">
        <v>0</v>
      </c>
      <c r="G156" s="7">
        <v>0</v>
      </c>
      <c r="H156" s="7">
        <v>0</v>
      </c>
      <c r="I156" s="7">
        <v>5</v>
      </c>
      <c r="J156" s="7">
        <v>5</v>
      </c>
      <c r="K156" s="7">
        <v>225</v>
      </c>
    </row>
    <row r="157" spans="1:11" x14ac:dyDescent="0.25">
      <c r="A157" s="7" t="s">
        <v>1153</v>
      </c>
      <c r="B157" s="7">
        <v>1</v>
      </c>
      <c r="C157" s="7">
        <v>92</v>
      </c>
      <c r="D157" s="7">
        <v>2</v>
      </c>
      <c r="E157" s="7">
        <v>0</v>
      </c>
      <c r="F157" s="7">
        <v>0</v>
      </c>
      <c r="G157" s="7">
        <v>1</v>
      </c>
      <c r="H157" s="7">
        <v>0</v>
      </c>
      <c r="I157" s="7">
        <v>151</v>
      </c>
      <c r="J157" s="7">
        <v>2</v>
      </c>
      <c r="K157" s="7">
        <v>249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2</v>
      </c>
      <c r="J158" s="7">
        <v>0</v>
      </c>
      <c r="K158" s="7">
        <v>233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34</v>
      </c>
      <c r="J159" s="7">
        <v>0</v>
      </c>
      <c r="K159" s="7">
        <v>34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54</v>
      </c>
      <c r="J160" s="7">
        <v>0</v>
      </c>
      <c r="K160" s="7">
        <v>54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3</v>
      </c>
      <c r="F161" s="7">
        <v>0</v>
      </c>
      <c r="G161" s="7">
        <v>0</v>
      </c>
      <c r="H161" s="7">
        <v>0</v>
      </c>
      <c r="I161" s="7">
        <v>48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8</v>
      </c>
      <c r="F162" s="7">
        <v>0</v>
      </c>
      <c r="G162" s="7">
        <v>0</v>
      </c>
      <c r="H162" s="7">
        <v>0</v>
      </c>
      <c r="I162" s="7">
        <v>52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1</v>
      </c>
      <c r="E163" s="7">
        <v>5</v>
      </c>
      <c r="F163" s="7">
        <v>0</v>
      </c>
      <c r="G163" s="7">
        <v>0</v>
      </c>
      <c r="H163" s="7">
        <v>0</v>
      </c>
      <c r="I163" s="7">
        <v>83</v>
      </c>
      <c r="J163" s="7">
        <v>1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10</v>
      </c>
      <c r="E164" s="7">
        <v>13</v>
      </c>
      <c r="F164" s="7">
        <v>0</v>
      </c>
      <c r="G164" s="7">
        <v>0</v>
      </c>
      <c r="H164" s="7">
        <v>0</v>
      </c>
      <c r="I164" s="7">
        <v>59</v>
      </c>
      <c r="J164" s="7">
        <v>0</v>
      </c>
      <c r="K164" s="7">
        <v>82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3</v>
      </c>
      <c r="F165" s="7">
        <v>0</v>
      </c>
      <c r="G165" s="7">
        <v>0</v>
      </c>
      <c r="H165" s="7">
        <v>0</v>
      </c>
      <c r="I165" s="7">
        <v>3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2</v>
      </c>
      <c r="E167" s="7">
        <v>3</v>
      </c>
      <c r="F167" s="7">
        <v>0</v>
      </c>
      <c r="G167" s="7">
        <v>0</v>
      </c>
      <c r="H167" s="7">
        <v>0</v>
      </c>
      <c r="I167" s="7">
        <v>47</v>
      </c>
      <c r="J167" s="7">
        <v>2</v>
      </c>
      <c r="K167" s="7">
        <v>54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3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1</v>
      </c>
      <c r="E169" s="7">
        <v>4</v>
      </c>
      <c r="F169" s="7">
        <v>0</v>
      </c>
      <c r="G169" s="7">
        <v>0</v>
      </c>
      <c r="H169" s="7">
        <v>0</v>
      </c>
      <c r="I169" s="7">
        <v>24</v>
      </c>
      <c r="J169" s="7">
        <v>1</v>
      </c>
      <c r="K169" s="7">
        <v>38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8</v>
      </c>
      <c r="J170" s="7">
        <v>15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0</v>
      </c>
      <c r="J171" s="7">
        <v>3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5</v>
      </c>
      <c r="E172" s="7">
        <v>4</v>
      </c>
      <c r="F172" s="7">
        <v>0</v>
      </c>
      <c r="G172" s="7">
        <v>0</v>
      </c>
      <c r="H172" s="7">
        <v>0</v>
      </c>
      <c r="I172" s="7">
        <v>41</v>
      </c>
      <c r="J172" s="7">
        <v>0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0</v>
      </c>
      <c r="E173" s="7">
        <v>1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1</v>
      </c>
      <c r="E174" s="7">
        <v>11</v>
      </c>
      <c r="F174" s="7">
        <v>0</v>
      </c>
      <c r="G174" s="7">
        <v>0</v>
      </c>
      <c r="H174" s="7">
        <v>0</v>
      </c>
      <c r="I174" s="7">
        <v>36</v>
      </c>
      <c r="J174" s="7">
        <v>0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1</v>
      </c>
      <c r="E175" s="7">
        <v>1</v>
      </c>
      <c r="F175" s="7">
        <v>0</v>
      </c>
      <c r="G175" s="7">
        <v>5</v>
      </c>
      <c r="H175" s="7">
        <v>0</v>
      </c>
      <c r="I175" s="7">
        <v>7</v>
      </c>
      <c r="J175" s="7">
        <v>0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13</v>
      </c>
      <c r="E176" s="7">
        <v>21</v>
      </c>
      <c r="F176" s="7">
        <v>0</v>
      </c>
      <c r="G176" s="7">
        <v>0</v>
      </c>
      <c r="H176" s="7">
        <v>0</v>
      </c>
      <c r="I176" s="7">
        <v>90</v>
      </c>
      <c r="J176" s="7">
        <v>0</v>
      </c>
      <c r="K176" s="7">
        <v>124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1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1</v>
      </c>
      <c r="E179" s="7">
        <v>3</v>
      </c>
      <c r="F179" s="7">
        <v>0</v>
      </c>
      <c r="G179" s="7">
        <v>1</v>
      </c>
      <c r="H179" s="7">
        <v>0</v>
      </c>
      <c r="I179" s="7">
        <v>4</v>
      </c>
      <c r="J179" s="7">
        <v>0</v>
      </c>
      <c r="K179" s="7">
        <v>61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1</v>
      </c>
      <c r="E180" s="7">
        <v>2</v>
      </c>
      <c r="F180" s="7">
        <v>0</v>
      </c>
      <c r="G180" s="7">
        <v>4</v>
      </c>
      <c r="H180" s="7">
        <v>0</v>
      </c>
      <c r="I180" s="7">
        <v>3</v>
      </c>
      <c r="J180" s="7">
        <v>0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4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172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5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1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0</v>
      </c>
      <c r="E188" s="7">
        <v>0</v>
      </c>
      <c r="F188" s="7">
        <v>0</v>
      </c>
      <c r="G188" s="7">
        <v>1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2</v>
      </c>
      <c r="F189" s="7">
        <v>0</v>
      </c>
      <c r="G189" s="7">
        <v>0</v>
      </c>
      <c r="H189" s="7">
        <v>0</v>
      </c>
      <c r="I189" s="7">
        <v>5</v>
      </c>
      <c r="J189" s="7">
        <v>3</v>
      </c>
      <c r="K189" s="7">
        <v>52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1</v>
      </c>
      <c r="E190" s="7">
        <v>0</v>
      </c>
      <c r="F190" s="7">
        <v>0</v>
      </c>
      <c r="G190" s="7">
        <v>0</v>
      </c>
      <c r="H190" s="7">
        <v>0</v>
      </c>
      <c r="I190" s="7">
        <v>1</v>
      </c>
      <c r="J190" s="7">
        <v>8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23</v>
      </c>
      <c r="J191" s="7">
        <v>8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13</v>
      </c>
      <c r="J193" s="7">
        <v>8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67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7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</v>
      </c>
      <c r="J195" s="7">
        <v>1</v>
      </c>
      <c r="K195" s="7">
        <v>91</v>
      </c>
    </row>
    <row r="196" spans="1:11" x14ac:dyDescent="0.25">
      <c r="A196" s="7" t="s">
        <v>1192</v>
      </c>
      <c r="B196" s="7">
        <v>3</v>
      </c>
      <c r="C196" s="7">
        <v>160</v>
      </c>
      <c r="D196" s="7">
        <v>2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1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10</v>
      </c>
      <c r="F198" s="7">
        <v>0</v>
      </c>
      <c r="G198" s="7">
        <v>0</v>
      </c>
      <c r="H198" s="7">
        <v>0</v>
      </c>
      <c r="I198" s="7">
        <v>5</v>
      </c>
      <c r="J198" s="7">
        <v>13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4</v>
      </c>
      <c r="E199" s="7">
        <v>22</v>
      </c>
      <c r="F199" s="7">
        <v>0</v>
      </c>
      <c r="G199" s="7">
        <v>0</v>
      </c>
      <c r="H199" s="7">
        <v>0</v>
      </c>
      <c r="I199" s="7">
        <v>14</v>
      </c>
      <c r="J199" s="7">
        <v>0</v>
      </c>
      <c r="K199" s="7">
        <v>88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78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1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1202</v>
      </c>
      <c r="B206" s="7">
        <v>0</v>
      </c>
      <c r="C206" s="7">
        <v>122</v>
      </c>
      <c r="D206" s="7">
        <v>11</v>
      </c>
      <c r="E206" s="7">
        <v>8</v>
      </c>
      <c r="F206" s="7">
        <v>0</v>
      </c>
      <c r="G206" s="7">
        <v>6</v>
      </c>
      <c r="H206" s="7">
        <v>0</v>
      </c>
      <c r="I206" s="7">
        <v>3</v>
      </c>
      <c r="J206" s="7">
        <v>6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80</v>
      </c>
      <c r="D208" s="7">
        <v>31</v>
      </c>
      <c r="E208" s="7">
        <v>4</v>
      </c>
      <c r="F208" s="7">
        <v>0</v>
      </c>
      <c r="G208" s="7">
        <v>0</v>
      </c>
      <c r="H208" s="7">
        <v>0</v>
      </c>
      <c r="I208" s="7">
        <v>6</v>
      </c>
      <c r="J208" s="7">
        <v>1</v>
      </c>
      <c r="K208" s="7">
        <v>122</v>
      </c>
    </row>
    <row r="209" spans="1:11" x14ac:dyDescent="0.25">
      <c r="A209" s="7" t="s">
        <v>1205</v>
      </c>
      <c r="B209" s="7">
        <v>0</v>
      </c>
      <c r="C209" s="7">
        <v>55</v>
      </c>
      <c r="D209" s="7">
        <v>11</v>
      </c>
      <c r="E209" s="7">
        <v>11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77</v>
      </c>
    </row>
    <row r="210" spans="1:11" x14ac:dyDescent="0.25">
      <c r="A210" s="7" t="s">
        <v>1206</v>
      </c>
      <c r="B210" s="7">
        <v>0</v>
      </c>
      <c r="C210" s="7">
        <v>65</v>
      </c>
      <c r="D210" s="7">
        <v>6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12</v>
      </c>
      <c r="E211" s="7">
        <v>10</v>
      </c>
      <c r="F211" s="7">
        <v>0</v>
      </c>
      <c r="G211" s="7">
        <v>0</v>
      </c>
      <c r="H211" s="7">
        <v>0</v>
      </c>
      <c r="I211" s="7">
        <v>1</v>
      </c>
      <c r="J211" s="7">
        <v>1</v>
      </c>
      <c r="K211" s="7">
        <v>100</v>
      </c>
    </row>
    <row r="212" spans="1:11" x14ac:dyDescent="0.25">
      <c r="A212" s="7" t="s">
        <v>1208</v>
      </c>
      <c r="B212" s="7">
        <v>0</v>
      </c>
      <c r="C212" s="7">
        <v>173</v>
      </c>
      <c r="D212" s="7">
        <v>2</v>
      </c>
      <c r="E212" s="7">
        <v>2</v>
      </c>
      <c r="F212" s="7">
        <v>0</v>
      </c>
      <c r="G212" s="7">
        <v>6</v>
      </c>
      <c r="H212" s="7">
        <v>0</v>
      </c>
      <c r="I212" s="7">
        <v>10</v>
      </c>
      <c r="J212" s="7">
        <v>0</v>
      </c>
      <c r="K212" s="7">
        <v>193</v>
      </c>
    </row>
    <row r="213" spans="1:11" x14ac:dyDescent="0.25">
      <c r="A213" s="7" t="s">
        <v>1209</v>
      </c>
      <c r="B213" s="7">
        <v>0</v>
      </c>
      <c r="C213" s="7">
        <v>86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2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113</v>
      </c>
      <c r="D214" s="7">
        <v>0</v>
      </c>
      <c r="E214" s="7">
        <v>4</v>
      </c>
      <c r="F214" s="7">
        <v>0</v>
      </c>
      <c r="G214" s="7">
        <v>1</v>
      </c>
      <c r="H214" s="7">
        <v>0</v>
      </c>
      <c r="I214" s="7">
        <v>3</v>
      </c>
      <c r="J214" s="7">
        <v>0</v>
      </c>
      <c r="K214" s="7">
        <v>121</v>
      </c>
    </row>
    <row r="215" spans="1:11" x14ac:dyDescent="0.25">
      <c r="A215" s="7" t="s">
        <v>1211</v>
      </c>
      <c r="B215" s="7">
        <v>0</v>
      </c>
      <c r="C215" s="7">
        <v>0</v>
      </c>
      <c r="D215" s="7">
        <v>17</v>
      </c>
      <c r="E215" s="7">
        <v>43</v>
      </c>
      <c r="F215" s="7">
        <v>0</v>
      </c>
      <c r="G215" s="7">
        <v>0</v>
      </c>
      <c r="H215" s="7">
        <v>0</v>
      </c>
      <c r="I215" s="7">
        <v>140</v>
      </c>
      <c r="J215" s="7">
        <v>28</v>
      </c>
      <c r="K215" s="7">
        <v>228</v>
      </c>
    </row>
    <row r="216" spans="1:11" x14ac:dyDescent="0.25">
      <c r="A216" s="7" t="s">
        <v>1212</v>
      </c>
      <c r="B216" s="7">
        <v>0</v>
      </c>
      <c r="C216" s="7">
        <v>29</v>
      </c>
      <c r="D216" s="7">
        <v>12</v>
      </c>
      <c r="E216" s="7">
        <v>26</v>
      </c>
      <c r="F216" s="7">
        <v>0</v>
      </c>
      <c r="G216" s="7">
        <v>0</v>
      </c>
      <c r="H216" s="7">
        <v>0</v>
      </c>
      <c r="I216" s="7">
        <v>48</v>
      </c>
      <c r="J216" s="7">
        <v>1</v>
      </c>
      <c r="K216" s="7">
        <v>116</v>
      </c>
    </row>
    <row r="217" spans="1:11" x14ac:dyDescent="0.25">
      <c r="A217" s="7" t="s">
        <v>1213</v>
      </c>
      <c r="B217" s="7">
        <v>0</v>
      </c>
      <c r="C217" s="7">
        <v>47</v>
      </c>
      <c r="D217" s="7">
        <v>7</v>
      </c>
      <c r="E217" s="7">
        <v>8</v>
      </c>
      <c r="F217" s="7">
        <v>0</v>
      </c>
      <c r="G217" s="7">
        <v>0</v>
      </c>
      <c r="H217" s="7">
        <v>0</v>
      </c>
      <c r="I217" s="7">
        <v>36</v>
      </c>
      <c r="J217" s="7">
        <v>1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4</v>
      </c>
      <c r="E218" s="7">
        <v>31</v>
      </c>
      <c r="F218" s="7">
        <v>0</v>
      </c>
      <c r="G218" s="7">
        <v>0</v>
      </c>
      <c r="H218" s="7">
        <v>0</v>
      </c>
      <c r="I218" s="7">
        <v>45</v>
      </c>
      <c r="J218" s="7">
        <v>2</v>
      </c>
      <c r="K218" s="7">
        <v>104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1</v>
      </c>
      <c r="J219" s="7">
        <v>2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0</v>
      </c>
      <c r="E220" s="7">
        <v>1</v>
      </c>
      <c r="F220" s="7">
        <v>1</v>
      </c>
      <c r="G220" s="7">
        <v>9</v>
      </c>
      <c r="H220" s="7">
        <v>0</v>
      </c>
      <c r="I220" s="7">
        <v>4</v>
      </c>
      <c r="J220" s="7">
        <v>1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1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38</v>
      </c>
      <c r="D222" s="7">
        <v>2</v>
      </c>
      <c r="E222" s="7">
        <v>4</v>
      </c>
      <c r="F222" s="7">
        <v>0</v>
      </c>
      <c r="G222" s="7">
        <v>0</v>
      </c>
      <c r="H222" s="7">
        <v>0</v>
      </c>
      <c r="I222" s="7">
        <v>8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1</v>
      </c>
      <c r="E223" s="7">
        <v>3</v>
      </c>
      <c r="F223" s="7">
        <v>1</v>
      </c>
      <c r="G223" s="7">
        <v>5</v>
      </c>
      <c r="H223" s="7">
        <v>0</v>
      </c>
      <c r="I223" s="7">
        <v>9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6</v>
      </c>
      <c r="E226" s="7">
        <v>6</v>
      </c>
      <c r="F226" s="7">
        <v>0</v>
      </c>
      <c r="G226" s="7">
        <v>1</v>
      </c>
      <c r="H226" s="7">
        <v>0</v>
      </c>
      <c r="I226" s="7">
        <v>3</v>
      </c>
      <c r="J226" s="7">
        <v>1</v>
      </c>
      <c r="K226" s="7">
        <v>134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4</v>
      </c>
      <c r="E227" s="7">
        <v>3</v>
      </c>
      <c r="F227" s="7">
        <v>0</v>
      </c>
      <c r="G227" s="7">
        <v>1</v>
      </c>
      <c r="H227" s="7">
        <v>0</v>
      </c>
      <c r="I227" s="7">
        <v>22</v>
      </c>
      <c r="J227" s="7">
        <v>0</v>
      </c>
      <c r="K227" s="7">
        <v>86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1</v>
      </c>
      <c r="E228" s="7">
        <v>4</v>
      </c>
      <c r="F228" s="7">
        <v>0</v>
      </c>
      <c r="G228" s="7">
        <v>1</v>
      </c>
      <c r="H228" s="7">
        <v>0</v>
      </c>
      <c r="I228" s="7">
        <v>9</v>
      </c>
      <c r="J228" s="7">
        <v>2</v>
      </c>
      <c r="K228" s="7">
        <v>125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3</v>
      </c>
      <c r="E229" s="7">
        <v>0</v>
      </c>
      <c r="F229" s="7">
        <v>0</v>
      </c>
      <c r="G229" s="7">
        <v>0</v>
      </c>
      <c r="H229" s="7">
        <v>0</v>
      </c>
      <c r="I229" s="7">
        <v>29</v>
      </c>
      <c r="J229" s="7">
        <v>6</v>
      </c>
      <c r="K229" s="7">
        <v>115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13</v>
      </c>
      <c r="F230" s="7">
        <v>0</v>
      </c>
      <c r="G230" s="7">
        <v>3</v>
      </c>
      <c r="H230" s="7">
        <v>0</v>
      </c>
      <c r="I230" s="7">
        <v>10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36</v>
      </c>
      <c r="D231" s="7">
        <v>7</v>
      </c>
      <c r="E231" s="7">
        <v>8</v>
      </c>
      <c r="F231" s="7">
        <v>0</v>
      </c>
      <c r="G231" s="7">
        <v>0</v>
      </c>
      <c r="H231" s="7">
        <v>0</v>
      </c>
      <c r="I231" s="7">
        <v>117</v>
      </c>
      <c r="J231" s="7">
        <v>0</v>
      </c>
      <c r="K231" s="7">
        <v>168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47</v>
      </c>
      <c r="J232" s="7">
        <v>0</v>
      </c>
      <c r="K232" s="7">
        <v>128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8</v>
      </c>
      <c r="E233" s="7">
        <v>18</v>
      </c>
      <c r="F233" s="7">
        <v>0</v>
      </c>
      <c r="G233" s="7">
        <v>0</v>
      </c>
      <c r="H233" s="7">
        <v>0</v>
      </c>
      <c r="I233" s="7">
        <v>133</v>
      </c>
      <c r="J233" s="7">
        <v>4</v>
      </c>
      <c r="K233" s="7">
        <v>163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5</v>
      </c>
      <c r="E234" s="7">
        <v>1</v>
      </c>
      <c r="F234" s="7">
        <v>0</v>
      </c>
      <c r="G234" s="7">
        <v>0</v>
      </c>
      <c r="H234" s="7">
        <v>0</v>
      </c>
      <c r="I234" s="7">
        <v>29</v>
      </c>
      <c r="J234" s="7">
        <v>0</v>
      </c>
      <c r="K234" s="7">
        <v>210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26</v>
      </c>
      <c r="E236" s="7">
        <v>37</v>
      </c>
      <c r="F236" s="7">
        <v>0</v>
      </c>
      <c r="G236" s="7">
        <v>0</v>
      </c>
      <c r="H236" s="7">
        <v>0</v>
      </c>
      <c r="I236" s="7">
        <v>138</v>
      </c>
      <c r="J236" s="7">
        <v>3</v>
      </c>
      <c r="K236" s="7">
        <v>210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26</v>
      </c>
      <c r="E237" s="7">
        <v>1</v>
      </c>
      <c r="F237" s="7">
        <v>0</v>
      </c>
      <c r="G237" s="7">
        <v>0</v>
      </c>
      <c r="H237" s="7">
        <v>0</v>
      </c>
      <c r="I237" s="7">
        <v>106</v>
      </c>
      <c r="J237" s="7">
        <v>0</v>
      </c>
      <c r="K237" s="7">
        <v>248</v>
      </c>
    </row>
    <row r="238" spans="1:11" x14ac:dyDescent="0.25">
      <c r="A238" s="7" t="s">
        <v>1234</v>
      </c>
      <c r="B238" s="7">
        <v>0</v>
      </c>
      <c r="C238" s="7">
        <v>96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96</v>
      </c>
      <c r="J238" s="7">
        <v>3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134</v>
      </c>
      <c r="D239" s="7">
        <v>7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19</v>
      </c>
      <c r="E240" s="7">
        <v>0</v>
      </c>
      <c r="F240" s="7">
        <v>0</v>
      </c>
      <c r="G240" s="7">
        <v>0</v>
      </c>
      <c r="H240" s="7">
        <v>0</v>
      </c>
      <c r="I240" s="7">
        <v>99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32</v>
      </c>
      <c r="D241" s="7">
        <v>5</v>
      </c>
      <c r="E241" s="7">
        <v>10</v>
      </c>
      <c r="F241" s="7">
        <v>0</v>
      </c>
      <c r="G241" s="7">
        <v>0</v>
      </c>
      <c r="H241" s="7">
        <v>0</v>
      </c>
      <c r="I241" s="7">
        <v>85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14</v>
      </c>
      <c r="E242" s="7">
        <v>29</v>
      </c>
      <c r="F242" s="7">
        <v>0</v>
      </c>
      <c r="G242" s="7">
        <v>0</v>
      </c>
      <c r="H242" s="7">
        <v>0</v>
      </c>
      <c r="I242" s="7">
        <v>10</v>
      </c>
      <c r="J242" s="7">
        <v>6</v>
      </c>
      <c r="K242" s="7">
        <v>59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1</v>
      </c>
      <c r="E243" s="7">
        <v>1</v>
      </c>
      <c r="F243" s="7">
        <v>0</v>
      </c>
      <c r="G243" s="7">
        <v>1</v>
      </c>
      <c r="H243" s="7">
        <v>0</v>
      </c>
      <c r="I243" s="7">
        <v>66</v>
      </c>
      <c r="J243" s="7">
        <v>1</v>
      </c>
      <c r="K243" s="7">
        <v>265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17</v>
      </c>
      <c r="E246" s="7">
        <v>0</v>
      </c>
      <c r="F246" s="7">
        <v>0</v>
      </c>
      <c r="G246" s="7">
        <v>2</v>
      </c>
      <c r="H246" s="7">
        <v>0</v>
      </c>
      <c r="I246" s="7">
        <v>38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35</v>
      </c>
      <c r="D249" s="7">
        <v>9</v>
      </c>
      <c r="E249" s="7">
        <v>4</v>
      </c>
      <c r="F249" s="7">
        <v>0</v>
      </c>
      <c r="G249" s="7">
        <v>0</v>
      </c>
      <c r="H249" s="7">
        <v>0</v>
      </c>
      <c r="I249" s="7">
        <v>44</v>
      </c>
      <c r="J249" s="7">
        <v>6</v>
      </c>
      <c r="K249" s="7">
        <v>98</v>
      </c>
    </row>
    <row r="250" spans="1:11" x14ac:dyDescent="0.25">
      <c r="A250" s="7" t="s">
        <v>1246</v>
      </c>
      <c r="B250" s="7">
        <v>0</v>
      </c>
      <c r="C250" s="7">
        <v>48</v>
      </c>
      <c r="D250" s="7">
        <v>19</v>
      </c>
      <c r="E250" s="7">
        <v>3</v>
      </c>
      <c r="F250" s="7">
        <v>0</v>
      </c>
      <c r="G250" s="7">
        <v>0</v>
      </c>
      <c r="H250" s="7">
        <v>0</v>
      </c>
      <c r="I250" s="7">
        <v>214</v>
      </c>
      <c r="J250" s="7">
        <v>5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20</v>
      </c>
      <c r="D251" s="7">
        <v>6</v>
      </c>
      <c r="E251" s="7">
        <v>18</v>
      </c>
      <c r="F251" s="7">
        <v>0</v>
      </c>
      <c r="G251" s="7">
        <v>0</v>
      </c>
      <c r="H251" s="7">
        <v>0</v>
      </c>
      <c r="I251" s="7">
        <v>41</v>
      </c>
      <c r="J251" s="7">
        <v>5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124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36</v>
      </c>
      <c r="J252" s="7">
        <v>1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3</v>
      </c>
      <c r="E253" s="7">
        <v>1</v>
      </c>
      <c r="F253" s="7">
        <v>0</v>
      </c>
      <c r="G253" s="7">
        <v>0</v>
      </c>
      <c r="H253" s="7">
        <v>0</v>
      </c>
      <c r="I253" s="7">
        <v>36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31</v>
      </c>
      <c r="E254" s="7">
        <v>3</v>
      </c>
      <c r="F254" s="7">
        <v>1</v>
      </c>
      <c r="G254" s="7">
        <v>2</v>
      </c>
      <c r="H254" s="7">
        <v>0</v>
      </c>
      <c r="I254" s="7">
        <v>84</v>
      </c>
      <c r="J254" s="7">
        <v>1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90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15</v>
      </c>
      <c r="E256" s="7">
        <v>0</v>
      </c>
      <c r="F256" s="7">
        <v>0</v>
      </c>
      <c r="G256" s="7">
        <v>0</v>
      </c>
      <c r="H256" s="7">
        <v>0</v>
      </c>
      <c r="I256" s="7">
        <v>60</v>
      </c>
      <c r="J256" s="7">
        <v>0</v>
      </c>
      <c r="K256" s="7">
        <v>95</v>
      </c>
    </row>
    <row r="257" spans="1:11" x14ac:dyDescent="0.25">
      <c r="A257" s="7" t="s">
        <v>1253</v>
      </c>
      <c r="B257" s="7">
        <v>0</v>
      </c>
      <c r="C257" s="7">
        <v>69</v>
      </c>
      <c r="D257" s="7">
        <v>9</v>
      </c>
      <c r="E257" s="7">
        <v>1</v>
      </c>
      <c r="F257" s="7">
        <v>0</v>
      </c>
      <c r="G257" s="7">
        <v>0</v>
      </c>
      <c r="H257" s="7">
        <v>0</v>
      </c>
      <c r="I257" s="7">
        <v>61</v>
      </c>
      <c r="J257" s="7">
        <v>0</v>
      </c>
      <c r="K257" s="7">
        <v>140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34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46</v>
      </c>
      <c r="J259" s="7">
        <v>0</v>
      </c>
      <c r="K259" s="7">
        <v>99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1257</v>
      </c>
      <c r="B261" s="7">
        <v>0</v>
      </c>
      <c r="C261" s="7">
        <v>123</v>
      </c>
      <c r="D261" s="7">
        <v>1</v>
      </c>
      <c r="E261" s="7">
        <v>5</v>
      </c>
      <c r="F261" s="7">
        <v>0</v>
      </c>
      <c r="G261" s="7">
        <v>2</v>
      </c>
      <c r="H261" s="7">
        <v>0</v>
      </c>
      <c r="I261" s="7">
        <v>70</v>
      </c>
      <c r="J261" s="7">
        <v>2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127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84</v>
      </c>
      <c r="J262" s="7">
        <v>2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2</v>
      </c>
      <c r="F263" s="7">
        <v>0</v>
      </c>
      <c r="G263" s="7">
        <v>2</v>
      </c>
      <c r="H263" s="7">
        <v>0</v>
      </c>
      <c r="I263" s="7">
        <v>68</v>
      </c>
      <c r="J263" s="7">
        <v>3</v>
      </c>
      <c r="K263" s="7">
        <v>235</v>
      </c>
    </row>
    <row r="264" spans="1:11" x14ac:dyDescent="0.25">
      <c r="A264" s="7" t="s">
        <v>1260</v>
      </c>
      <c r="B264" s="7">
        <v>0</v>
      </c>
      <c r="C264" s="7">
        <v>29</v>
      </c>
      <c r="D264" s="7">
        <v>0</v>
      </c>
      <c r="E264" s="7">
        <v>7</v>
      </c>
      <c r="F264" s="7">
        <v>0</v>
      </c>
      <c r="G264" s="7">
        <v>0</v>
      </c>
      <c r="H264" s="7">
        <v>0</v>
      </c>
      <c r="I264" s="7">
        <v>59</v>
      </c>
      <c r="J264" s="7">
        <v>2</v>
      </c>
      <c r="K264" s="7">
        <v>97</v>
      </c>
    </row>
    <row r="265" spans="1:11" x14ac:dyDescent="0.25">
      <c r="A265" s="7" t="s">
        <v>1261</v>
      </c>
      <c r="B265" s="7">
        <v>0</v>
      </c>
      <c r="C265" s="7">
        <v>21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119</v>
      </c>
      <c r="J265" s="7">
        <v>1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46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74</v>
      </c>
      <c r="J266" s="7">
        <v>0</v>
      </c>
      <c r="K266" s="7">
        <v>127</v>
      </c>
    </row>
    <row r="267" spans="1:11" x14ac:dyDescent="0.25">
      <c r="A267" s="7" t="s">
        <v>1263</v>
      </c>
      <c r="B267" s="7">
        <v>0</v>
      </c>
      <c r="C267" s="7">
        <v>29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86</v>
      </c>
      <c r="J267" s="7">
        <v>0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1</v>
      </c>
      <c r="F268" s="7">
        <v>0</v>
      </c>
      <c r="G268" s="7">
        <v>0</v>
      </c>
      <c r="H268" s="7">
        <v>0</v>
      </c>
      <c r="I268" s="7">
        <v>59</v>
      </c>
      <c r="J268" s="7">
        <v>2</v>
      </c>
      <c r="K268" s="7">
        <v>103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81</v>
      </c>
      <c r="D271" s="7">
        <v>14</v>
      </c>
      <c r="E271" s="7">
        <v>20</v>
      </c>
      <c r="F271" s="7">
        <v>0</v>
      </c>
      <c r="G271" s="7">
        <v>0</v>
      </c>
      <c r="H271" s="7">
        <v>0</v>
      </c>
      <c r="I271" s="7">
        <v>41</v>
      </c>
      <c r="J271" s="7">
        <v>1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80</v>
      </c>
      <c r="D272" s="7">
        <v>68</v>
      </c>
      <c r="E272" s="7">
        <v>42</v>
      </c>
      <c r="F272" s="7">
        <v>1</v>
      </c>
      <c r="G272" s="7">
        <v>0</v>
      </c>
      <c r="H272" s="7">
        <v>0</v>
      </c>
      <c r="I272" s="7">
        <v>44</v>
      </c>
      <c r="J272" s="7">
        <v>6</v>
      </c>
      <c r="K272" s="7">
        <v>241</v>
      </c>
    </row>
    <row r="273" spans="1:11" x14ac:dyDescent="0.25">
      <c r="A273" s="7" t="s">
        <v>1269</v>
      </c>
      <c r="B273" s="7">
        <v>0</v>
      </c>
      <c r="C273" s="7">
        <v>23</v>
      </c>
      <c r="D273" s="7">
        <v>8</v>
      </c>
      <c r="E273" s="7">
        <v>9</v>
      </c>
      <c r="F273" s="7">
        <v>1</v>
      </c>
      <c r="G273" s="7">
        <v>0</v>
      </c>
      <c r="H273" s="7">
        <v>0</v>
      </c>
      <c r="I273" s="7">
        <v>26</v>
      </c>
      <c r="J273" s="7">
        <v>15</v>
      </c>
      <c r="K273" s="7">
        <v>82</v>
      </c>
    </row>
    <row r="274" spans="1:11" x14ac:dyDescent="0.25">
      <c r="A274" s="7" t="s">
        <v>1270</v>
      </c>
      <c r="B274" s="7">
        <v>0</v>
      </c>
      <c r="C274" s="7">
        <v>86</v>
      </c>
      <c r="D274" s="7">
        <v>0</v>
      </c>
      <c r="E274" s="7">
        <v>15</v>
      </c>
      <c r="F274" s="7">
        <v>0</v>
      </c>
      <c r="G274" s="7">
        <v>0</v>
      </c>
      <c r="H274" s="7">
        <v>0</v>
      </c>
      <c r="I274" s="7">
        <v>68</v>
      </c>
      <c r="J274" s="7">
        <v>10</v>
      </c>
      <c r="K274" s="7">
        <v>179</v>
      </c>
    </row>
    <row r="275" spans="1:11" x14ac:dyDescent="0.25">
      <c r="A275" s="7" t="s">
        <v>1271</v>
      </c>
      <c r="B275" s="7">
        <v>0</v>
      </c>
      <c r="C275" s="7">
        <v>61</v>
      </c>
      <c r="D275" s="7">
        <v>6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3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61</v>
      </c>
      <c r="D276" s="7">
        <v>8</v>
      </c>
      <c r="E276" s="7">
        <v>37</v>
      </c>
      <c r="F276" s="7">
        <v>1</v>
      </c>
      <c r="G276" s="7">
        <v>4</v>
      </c>
      <c r="H276" s="7">
        <v>0</v>
      </c>
      <c r="I276" s="7">
        <v>20</v>
      </c>
      <c r="J276" s="7">
        <v>4</v>
      </c>
      <c r="K276" s="7">
        <v>135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6</v>
      </c>
      <c r="E277" s="7">
        <v>0</v>
      </c>
      <c r="F277" s="7">
        <v>0</v>
      </c>
      <c r="G277" s="7">
        <v>0</v>
      </c>
      <c r="H277" s="7">
        <v>0</v>
      </c>
      <c r="I277" s="7">
        <v>133</v>
      </c>
      <c r="J277" s="7">
        <v>3</v>
      </c>
      <c r="K277" s="7">
        <v>255</v>
      </c>
    </row>
    <row r="278" spans="1:11" x14ac:dyDescent="0.25">
      <c r="A278" s="7" t="s">
        <v>1274</v>
      </c>
      <c r="B278" s="7">
        <v>0</v>
      </c>
      <c r="C278" s="7">
        <v>155</v>
      </c>
      <c r="D278" s="7">
        <v>10</v>
      </c>
      <c r="E278" s="7">
        <v>4</v>
      </c>
      <c r="F278" s="7">
        <v>0</v>
      </c>
      <c r="G278" s="7">
        <v>2</v>
      </c>
      <c r="H278" s="7">
        <v>0</v>
      </c>
      <c r="I278" s="7">
        <v>5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97</v>
      </c>
      <c r="D279" s="7">
        <v>13</v>
      </c>
      <c r="E279" s="7">
        <v>6</v>
      </c>
      <c r="F279" s="7">
        <v>0</v>
      </c>
      <c r="G279" s="7">
        <v>0</v>
      </c>
      <c r="H279" s="7">
        <v>0</v>
      </c>
      <c r="I279" s="7">
        <v>4</v>
      </c>
      <c r="J279" s="7">
        <v>2</v>
      </c>
      <c r="K279" s="7">
        <v>122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81</v>
      </c>
      <c r="D282" s="7">
        <v>12</v>
      </c>
      <c r="E282" s="7">
        <v>26</v>
      </c>
      <c r="F282" s="7">
        <v>0</v>
      </c>
      <c r="G282" s="7">
        <v>0</v>
      </c>
      <c r="H282" s="7">
        <v>0</v>
      </c>
      <c r="I282" s="7">
        <v>9</v>
      </c>
      <c r="J282" s="7">
        <v>5</v>
      </c>
      <c r="K282" s="7">
        <v>133</v>
      </c>
    </row>
    <row r="283" spans="1:11" x14ac:dyDescent="0.25">
      <c r="A283" s="7" t="s">
        <v>1279</v>
      </c>
      <c r="B283" s="7">
        <v>0</v>
      </c>
      <c r="C283" s="7">
        <v>77</v>
      </c>
      <c r="D283" s="7">
        <v>26</v>
      </c>
      <c r="E283" s="7">
        <v>39</v>
      </c>
      <c r="F283" s="7">
        <v>0</v>
      </c>
      <c r="G283" s="7">
        <v>0</v>
      </c>
      <c r="H283" s="7">
        <v>0</v>
      </c>
      <c r="I283" s="7">
        <v>2</v>
      </c>
      <c r="J283" s="7">
        <v>2</v>
      </c>
      <c r="K283" s="7">
        <v>146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74</v>
      </c>
      <c r="D285" s="7">
        <v>0</v>
      </c>
      <c r="E285" s="7">
        <v>1</v>
      </c>
      <c r="F285" s="7">
        <v>0</v>
      </c>
      <c r="G285" s="7">
        <v>1</v>
      </c>
      <c r="H285" s="7">
        <v>0</v>
      </c>
      <c r="I285" s="7">
        <v>7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76</v>
      </c>
      <c r="D286" s="7">
        <v>73</v>
      </c>
      <c r="E286" s="7">
        <v>26</v>
      </c>
      <c r="F286" s="7">
        <v>0</v>
      </c>
      <c r="G286" s="7">
        <v>0</v>
      </c>
      <c r="H286" s="7">
        <v>0</v>
      </c>
      <c r="I286" s="7">
        <v>11</v>
      </c>
      <c r="J286" s="7">
        <v>7</v>
      </c>
      <c r="K286" s="7">
        <v>193</v>
      </c>
    </row>
    <row r="287" spans="1:11" x14ac:dyDescent="0.25">
      <c r="A287" s="7" t="s">
        <v>1283</v>
      </c>
      <c r="B287" s="7">
        <v>0</v>
      </c>
      <c r="C287" s="7">
        <v>46</v>
      </c>
      <c r="D287" s="7">
        <v>38</v>
      </c>
      <c r="E287" s="7">
        <v>13</v>
      </c>
      <c r="F287" s="7">
        <v>0</v>
      </c>
      <c r="G287" s="7">
        <v>0</v>
      </c>
      <c r="H287" s="7">
        <v>0</v>
      </c>
      <c r="I287" s="7">
        <v>1</v>
      </c>
      <c r="J287" s="7">
        <v>14</v>
      </c>
      <c r="K287" s="7">
        <v>112</v>
      </c>
    </row>
    <row r="288" spans="1:11" x14ac:dyDescent="0.25">
      <c r="A288" s="7" t="s">
        <v>1284</v>
      </c>
      <c r="B288" s="7">
        <v>0</v>
      </c>
      <c r="C288" s="7">
        <v>7</v>
      </c>
      <c r="D288" s="7">
        <v>42</v>
      </c>
      <c r="E288" s="7">
        <v>11</v>
      </c>
      <c r="F288" s="7">
        <v>0</v>
      </c>
      <c r="G288" s="7">
        <v>0</v>
      </c>
      <c r="H288" s="7">
        <v>0</v>
      </c>
      <c r="I288" s="7">
        <v>10</v>
      </c>
      <c r="J288" s="7">
        <v>3</v>
      </c>
      <c r="K288" s="7">
        <v>73</v>
      </c>
    </row>
    <row r="289" spans="1:11" x14ac:dyDescent="0.25">
      <c r="A289" s="7" t="s">
        <v>1285</v>
      </c>
      <c r="B289" s="7">
        <v>0</v>
      </c>
      <c r="C289" s="7">
        <v>178</v>
      </c>
      <c r="D289" s="7">
        <v>0</v>
      </c>
      <c r="E289" s="7">
        <v>0</v>
      </c>
      <c r="F289" s="7">
        <v>0</v>
      </c>
      <c r="G289" s="7">
        <v>0</v>
      </c>
      <c r="H289" s="7">
        <v>0</v>
      </c>
      <c r="I289" s="7">
        <v>17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114</v>
      </c>
      <c r="D290" s="7">
        <v>9</v>
      </c>
      <c r="E290" s="7">
        <v>3</v>
      </c>
      <c r="F290" s="7">
        <v>0</v>
      </c>
      <c r="G290" s="7">
        <v>0</v>
      </c>
      <c r="H290" s="7">
        <v>0</v>
      </c>
      <c r="I290" s="7">
        <v>17</v>
      </c>
      <c r="J290" s="7">
        <v>0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145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2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103</v>
      </c>
      <c r="D293" s="7">
        <v>2</v>
      </c>
      <c r="E293" s="7">
        <v>8</v>
      </c>
      <c r="F293" s="7">
        <v>0</v>
      </c>
      <c r="G293" s="7">
        <v>1</v>
      </c>
      <c r="H293" s="7">
        <v>0</v>
      </c>
      <c r="I293" s="7">
        <v>6</v>
      </c>
      <c r="J293" s="7">
        <v>0</v>
      </c>
      <c r="K293" s="7">
        <v>120</v>
      </c>
    </row>
    <row r="294" spans="1:11" x14ac:dyDescent="0.25">
      <c r="A294" s="7" t="s">
        <v>1290</v>
      </c>
      <c r="B294" s="7">
        <v>0</v>
      </c>
      <c r="C294" s="7">
        <v>75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26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260</v>
      </c>
      <c r="D295" s="7">
        <v>6</v>
      </c>
      <c r="E295" s="7">
        <v>0</v>
      </c>
      <c r="F295" s="7">
        <v>1</v>
      </c>
      <c r="G295" s="7">
        <v>1</v>
      </c>
      <c r="H295" s="7">
        <v>0</v>
      </c>
      <c r="I295" s="7">
        <v>9</v>
      </c>
      <c r="J295" s="7">
        <v>0</v>
      </c>
      <c r="K295" s="7">
        <v>277</v>
      </c>
    </row>
    <row r="296" spans="1:11" x14ac:dyDescent="0.25">
      <c r="A296" s="7" t="s">
        <v>1292</v>
      </c>
      <c r="B296" s="7">
        <v>0</v>
      </c>
      <c r="C296" s="7">
        <v>79</v>
      </c>
      <c r="D296" s="7">
        <v>10</v>
      </c>
      <c r="E296" s="7">
        <v>3</v>
      </c>
      <c r="F296" s="7">
        <v>0</v>
      </c>
      <c r="G296" s="7">
        <v>2</v>
      </c>
      <c r="H296" s="7">
        <v>0</v>
      </c>
      <c r="I296" s="7">
        <v>9</v>
      </c>
      <c r="J296" s="7">
        <v>0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15</v>
      </c>
      <c r="D297" s="7">
        <v>5</v>
      </c>
      <c r="E297" s="7">
        <v>62</v>
      </c>
      <c r="F297" s="7">
        <v>0</v>
      </c>
      <c r="G297" s="7">
        <v>0</v>
      </c>
      <c r="H297" s="7">
        <v>0</v>
      </c>
      <c r="I297" s="7">
        <v>71</v>
      </c>
      <c r="J297" s="7">
        <v>2</v>
      </c>
      <c r="K297" s="7">
        <v>155</v>
      </c>
    </row>
    <row r="298" spans="1:11" x14ac:dyDescent="0.25">
      <c r="A298" s="7" t="s">
        <v>1294</v>
      </c>
      <c r="B298" s="7">
        <v>0</v>
      </c>
      <c r="C298" s="7">
        <v>0</v>
      </c>
      <c r="D298" s="7">
        <v>4</v>
      </c>
      <c r="E298" s="7">
        <v>26</v>
      </c>
      <c r="F298" s="7">
        <v>1</v>
      </c>
      <c r="G298" s="7">
        <v>0</v>
      </c>
      <c r="H298" s="7">
        <v>0</v>
      </c>
      <c r="I298" s="7">
        <v>53</v>
      </c>
      <c r="J298" s="7">
        <v>23</v>
      </c>
      <c r="K298" s="7">
        <v>107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2</v>
      </c>
      <c r="F299" s="7">
        <v>0</v>
      </c>
      <c r="G299" s="7">
        <v>0</v>
      </c>
      <c r="H299" s="7">
        <v>0</v>
      </c>
      <c r="I299" s="7">
        <v>22</v>
      </c>
      <c r="J299" s="7">
        <v>5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4</v>
      </c>
      <c r="E300" s="7">
        <v>2</v>
      </c>
      <c r="F300" s="7">
        <v>0</v>
      </c>
      <c r="G300" s="7">
        <v>1</v>
      </c>
      <c r="H300" s="7">
        <v>0</v>
      </c>
      <c r="I300" s="7">
        <v>20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2</v>
      </c>
      <c r="E301" s="7">
        <v>6</v>
      </c>
      <c r="F301" s="7">
        <v>0</v>
      </c>
      <c r="G301" s="7">
        <v>0</v>
      </c>
      <c r="H301" s="7">
        <v>0</v>
      </c>
      <c r="I301" s="7">
        <v>32</v>
      </c>
      <c r="J301" s="7">
        <v>2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4</v>
      </c>
      <c r="E302" s="7">
        <v>7</v>
      </c>
      <c r="F302" s="7">
        <v>0</v>
      </c>
      <c r="G302" s="7">
        <v>0</v>
      </c>
      <c r="H302" s="7">
        <v>0</v>
      </c>
      <c r="I302" s="7">
        <v>81</v>
      </c>
      <c r="J302" s="7">
        <v>0</v>
      </c>
      <c r="K302" s="7">
        <v>92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2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19</v>
      </c>
      <c r="F306" s="7">
        <v>0</v>
      </c>
      <c r="G306" s="7">
        <v>0</v>
      </c>
      <c r="H306" s="7">
        <v>0</v>
      </c>
      <c r="I306" s="7">
        <v>0</v>
      </c>
      <c r="J306" s="7">
        <v>1</v>
      </c>
      <c r="K306" s="7">
        <v>60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1305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5</v>
      </c>
      <c r="F310" s="7">
        <v>0</v>
      </c>
      <c r="G310" s="7">
        <v>1</v>
      </c>
      <c r="H310" s="7">
        <v>0</v>
      </c>
      <c r="I310" s="7">
        <v>30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2</v>
      </c>
      <c r="E311" s="7">
        <v>0</v>
      </c>
      <c r="F311" s="7">
        <v>0</v>
      </c>
      <c r="G311" s="7">
        <v>0</v>
      </c>
      <c r="H311" s="7">
        <v>0</v>
      </c>
      <c r="I311" s="7">
        <v>57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1</v>
      </c>
      <c r="E312" s="7">
        <v>8</v>
      </c>
      <c r="F312" s="7">
        <v>0</v>
      </c>
      <c r="G312" s="7">
        <v>0</v>
      </c>
      <c r="H312" s="7">
        <v>0</v>
      </c>
      <c r="I312" s="7">
        <v>41</v>
      </c>
      <c r="J312" s="7">
        <v>0</v>
      </c>
      <c r="K312" s="7">
        <v>66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6</v>
      </c>
      <c r="E313" s="7">
        <v>36</v>
      </c>
      <c r="F313" s="7">
        <v>0</v>
      </c>
      <c r="G313" s="7">
        <v>0</v>
      </c>
      <c r="H313" s="7">
        <v>0</v>
      </c>
      <c r="I313" s="7">
        <v>80</v>
      </c>
      <c r="J313" s="7">
        <v>2</v>
      </c>
      <c r="K313" s="7">
        <v>125</v>
      </c>
    </row>
    <row r="314" spans="1:11" x14ac:dyDescent="0.25">
      <c r="A314" s="7" t="s">
        <v>1310</v>
      </c>
      <c r="B314" s="7">
        <v>0</v>
      </c>
      <c r="C314" s="7">
        <v>181</v>
      </c>
      <c r="D314" s="7">
        <v>28</v>
      </c>
      <c r="E314" s="7">
        <v>77</v>
      </c>
      <c r="F314" s="7">
        <v>1</v>
      </c>
      <c r="G314" s="7">
        <v>5</v>
      </c>
      <c r="H314" s="7">
        <v>0</v>
      </c>
      <c r="I314" s="7">
        <v>132</v>
      </c>
      <c r="J314" s="7">
        <v>3</v>
      </c>
      <c r="K314" s="7">
        <v>427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20</v>
      </c>
      <c r="F319" s="7">
        <v>0</v>
      </c>
      <c r="G319" s="7">
        <v>1</v>
      </c>
      <c r="H319" s="7">
        <v>0</v>
      </c>
      <c r="I319" s="7">
        <v>15</v>
      </c>
      <c r="J319" s="7">
        <v>1</v>
      </c>
      <c r="K319" s="7">
        <v>78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1</v>
      </c>
      <c r="J320" s="7">
        <v>1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3</v>
      </c>
      <c r="J323" s="7">
        <v>3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</v>
      </c>
      <c r="E324" s="7">
        <v>13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2</v>
      </c>
      <c r="E325" s="7">
        <v>6</v>
      </c>
      <c r="F325" s="7">
        <v>0</v>
      </c>
      <c r="G325" s="7">
        <v>0</v>
      </c>
      <c r="H325" s="7">
        <v>0</v>
      </c>
      <c r="I325" s="7">
        <v>88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6</v>
      </c>
      <c r="E326" s="7">
        <v>32</v>
      </c>
      <c r="F326" s="7">
        <v>0</v>
      </c>
      <c r="G326" s="7">
        <v>0</v>
      </c>
      <c r="H326" s="7">
        <v>2</v>
      </c>
      <c r="I326" s="7">
        <v>28</v>
      </c>
      <c r="J326" s="7">
        <v>0</v>
      </c>
      <c r="K326" s="7">
        <v>151</v>
      </c>
    </row>
    <row r="327" spans="1:11" x14ac:dyDescent="0.25">
      <c r="A327" s="7" t="s">
        <v>1323</v>
      </c>
      <c r="B327" s="7">
        <v>0</v>
      </c>
      <c r="C327" s="7">
        <v>165</v>
      </c>
      <c r="D327" s="7">
        <v>5</v>
      </c>
      <c r="E327" s="7">
        <v>24</v>
      </c>
      <c r="F327" s="7">
        <v>0</v>
      </c>
      <c r="G327" s="7">
        <v>0</v>
      </c>
      <c r="H327" s="7">
        <v>0</v>
      </c>
      <c r="I327" s="7">
        <v>65</v>
      </c>
      <c r="J327" s="7">
        <v>5</v>
      </c>
      <c r="K327" s="7">
        <v>264</v>
      </c>
    </row>
    <row r="328" spans="1:11" x14ac:dyDescent="0.25">
      <c r="A328" s="7" t="s">
        <v>1324</v>
      </c>
      <c r="B328" s="7">
        <v>0</v>
      </c>
      <c r="C328" s="7">
        <v>120</v>
      </c>
      <c r="D328" s="7">
        <v>4</v>
      </c>
      <c r="E328" s="7">
        <v>21</v>
      </c>
      <c r="F328" s="7">
        <v>0</v>
      </c>
      <c r="G328" s="7">
        <v>1</v>
      </c>
      <c r="H328" s="7">
        <v>0</v>
      </c>
      <c r="I328" s="7">
        <v>1</v>
      </c>
      <c r="J328" s="7">
        <v>2</v>
      </c>
      <c r="K328" s="7">
        <v>149</v>
      </c>
    </row>
    <row r="329" spans="1:11" x14ac:dyDescent="0.25">
      <c r="A329" s="7" t="s">
        <v>1325</v>
      </c>
      <c r="B329" s="7">
        <v>0</v>
      </c>
      <c r="C329" s="7">
        <v>113</v>
      </c>
      <c r="D329" s="7">
        <v>14</v>
      </c>
      <c r="E329" s="7">
        <v>15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3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1</v>
      </c>
      <c r="D333" s="7">
        <v>7</v>
      </c>
      <c r="E333" s="7">
        <v>2</v>
      </c>
      <c r="F333" s="7">
        <v>0</v>
      </c>
      <c r="G333" s="7">
        <v>0</v>
      </c>
      <c r="H333" s="7">
        <v>0</v>
      </c>
      <c r="I333" s="7">
        <v>51</v>
      </c>
      <c r="J333" s="7">
        <v>0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0</v>
      </c>
      <c r="D335" s="7">
        <v>19</v>
      </c>
      <c r="E335" s="7">
        <v>0</v>
      </c>
      <c r="F335" s="7">
        <v>0</v>
      </c>
      <c r="G335" s="7">
        <v>0</v>
      </c>
      <c r="H335" s="7">
        <v>0</v>
      </c>
      <c r="I335" s="7">
        <v>62</v>
      </c>
      <c r="J335" s="7">
        <v>0</v>
      </c>
      <c r="K335" s="7">
        <v>81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0</v>
      </c>
      <c r="D337" s="7">
        <v>44</v>
      </c>
      <c r="E337" s="7">
        <v>18</v>
      </c>
      <c r="F337" s="7">
        <v>0</v>
      </c>
      <c r="G337" s="7">
        <v>0</v>
      </c>
      <c r="H337" s="7">
        <v>0</v>
      </c>
      <c r="I337" s="7">
        <v>49</v>
      </c>
      <c r="J337" s="7">
        <v>0</v>
      </c>
      <c r="K337" s="7">
        <v>111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22</v>
      </c>
      <c r="E340" s="7">
        <v>11</v>
      </c>
      <c r="F340" s="7">
        <v>0</v>
      </c>
      <c r="G340" s="7">
        <v>0</v>
      </c>
      <c r="H340" s="7">
        <v>0</v>
      </c>
      <c r="I340" s="7">
        <v>17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19</v>
      </c>
      <c r="F341" s="7">
        <v>0</v>
      </c>
      <c r="G341" s="7">
        <v>0</v>
      </c>
      <c r="H341" s="7">
        <v>0</v>
      </c>
      <c r="I341" s="7">
        <v>22</v>
      </c>
      <c r="J341" s="7">
        <v>1</v>
      </c>
      <c r="K341" s="7">
        <v>60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6</v>
      </c>
      <c r="E348" s="7">
        <v>41</v>
      </c>
      <c r="F348" s="7">
        <v>0</v>
      </c>
      <c r="G348" s="7">
        <v>0</v>
      </c>
      <c r="H348" s="7">
        <v>0</v>
      </c>
      <c r="I348" s="7">
        <v>113</v>
      </c>
      <c r="J348" s="7">
        <v>1</v>
      </c>
      <c r="K348" s="7">
        <v>161</v>
      </c>
    </row>
    <row r="349" spans="1:11" x14ac:dyDescent="0.25">
      <c r="A349" s="7" t="s">
        <v>1344</v>
      </c>
      <c r="B349" s="7">
        <v>0</v>
      </c>
      <c r="C349" s="7">
        <v>7</v>
      </c>
      <c r="D349" s="7">
        <v>6</v>
      </c>
      <c r="E349" s="7">
        <v>7</v>
      </c>
      <c r="F349" s="7">
        <v>1</v>
      </c>
      <c r="G349" s="7">
        <v>0</v>
      </c>
      <c r="H349" s="7">
        <v>0</v>
      </c>
      <c r="I349" s="7">
        <v>97</v>
      </c>
      <c r="J349" s="7">
        <v>42</v>
      </c>
      <c r="K349" s="7">
        <v>160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10</v>
      </c>
      <c r="E350" s="7">
        <v>43</v>
      </c>
      <c r="F350" s="7">
        <v>0</v>
      </c>
      <c r="G350" s="7">
        <v>0</v>
      </c>
      <c r="H350" s="7">
        <v>1</v>
      </c>
      <c r="I350" s="7">
        <v>96</v>
      </c>
      <c r="J350" s="7">
        <v>0</v>
      </c>
      <c r="K350" s="7">
        <v>213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19</v>
      </c>
      <c r="E351" s="7">
        <v>12</v>
      </c>
      <c r="F351" s="7">
        <v>0</v>
      </c>
      <c r="G351" s="7">
        <v>0</v>
      </c>
      <c r="H351" s="7">
        <v>0</v>
      </c>
      <c r="I351" s="7">
        <v>68</v>
      </c>
      <c r="J351" s="7">
        <v>2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36</v>
      </c>
      <c r="D352" s="7">
        <v>5</v>
      </c>
      <c r="E352" s="7">
        <v>3</v>
      </c>
      <c r="F352" s="7">
        <v>0</v>
      </c>
      <c r="G352" s="7">
        <v>1</v>
      </c>
      <c r="H352" s="7">
        <v>0</v>
      </c>
      <c r="I352" s="7">
        <v>63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2</v>
      </c>
      <c r="E353" s="7">
        <v>0</v>
      </c>
      <c r="F353" s="7">
        <v>0</v>
      </c>
      <c r="G353" s="7">
        <v>0</v>
      </c>
      <c r="H353" s="7">
        <v>0</v>
      </c>
      <c r="I353" s="7">
        <v>61</v>
      </c>
      <c r="J353" s="7">
        <v>9</v>
      </c>
      <c r="K353" s="7">
        <v>189</v>
      </c>
    </row>
    <row r="354" spans="1:11" x14ac:dyDescent="0.25">
      <c r="A354" s="7" t="s">
        <v>1349</v>
      </c>
      <c r="B354" s="7">
        <v>0</v>
      </c>
      <c r="C354" s="7">
        <v>15</v>
      </c>
      <c r="D354" s="7">
        <v>11</v>
      </c>
      <c r="E354" s="7">
        <v>8</v>
      </c>
      <c r="F354" s="7">
        <v>0</v>
      </c>
      <c r="G354" s="7">
        <v>1</v>
      </c>
      <c r="H354" s="7">
        <v>0</v>
      </c>
      <c r="I354" s="7">
        <v>151</v>
      </c>
      <c r="J354" s="7">
        <v>0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2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62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8</v>
      </c>
      <c r="J357" s="7">
        <v>0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156</v>
      </c>
      <c r="D358" s="7">
        <v>5</v>
      </c>
      <c r="E358" s="7">
        <v>24</v>
      </c>
      <c r="F358" s="7">
        <v>0</v>
      </c>
      <c r="G358" s="7">
        <v>3</v>
      </c>
      <c r="H358" s="7">
        <v>0</v>
      </c>
      <c r="I358" s="7">
        <v>22</v>
      </c>
      <c r="J358" s="7">
        <v>1</v>
      </c>
      <c r="K358" s="7">
        <v>211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4</v>
      </c>
      <c r="E359" s="7">
        <v>12</v>
      </c>
      <c r="F359" s="7">
        <v>3</v>
      </c>
      <c r="G359" s="7">
        <v>7</v>
      </c>
      <c r="H359" s="7">
        <v>0</v>
      </c>
      <c r="I359" s="7">
        <v>7</v>
      </c>
      <c r="J359" s="7">
        <v>3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62</v>
      </c>
      <c r="D360" s="7">
        <v>9</v>
      </c>
      <c r="E360" s="7">
        <v>57</v>
      </c>
      <c r="F360" s="7">
        <v>0</v>
      </c>
      <c r="G360" s="7">
        <v>1</v>
      </c>
      <c r="H360" s="7">
        <v>0</v>
      </c>
      <c r="I360" s="7">
        <v>80</v>
      </c>
      <c r="J360" s="7">
        <v>0</v>
      </c>
      <c r="K360" s="7">
        <v>209</v>
      </c>
    </row>
    <row r="361" spans="1:11" x14ac:dyDescent="0.25">
      <c r="A361" s="7" t="s">
        <v>1356</v>
      </c>
      <c r="B361" s="7">
        <v>0</v>
      </c>
      <c r="C361" s="7">
        <v>58</v>
      </c>
      <c r="D361" s="7">
        <v>43</v>
      </c>
      <c r="E361" s="7">
        <v>6</v>
      </c>
      <c r="F361" s="7">
        <v>0</v>
      </c>
      <c r="G361" s="7">
        <v>1</v>
      </c>
      <c r="H361" s="7">
        <v>0</v>
      </c>
      <c r="I361" s="7">
        <v>20</v>
      </c>
      <c r="J361" s="7">
        <v>0</v>
      </c>
      <c r="K361" s="7">
        <v>128</v>
      </c>
    </row>
    <row r="362" spans="1:11" x14ac:dyDescent="0.25">
      <c r="A362" s="7" t="s">
        <v>1357</v>
      </c>
      <c r="B362" s="7">
        <v>0</v>
      </c>
      <c r="C362" s="7">
        <v>60</v>
      </c>
      <c r="D362" s="7">
        <v>5</v>
      </c>
      <c r="E362" s="7">
        <v>0</v>
      </c>
      <c r="F362" s="7">
        <v>0</v>
      </c>
      <c r="G362" s="7">
        <v>1</v>
      </c>
      <c r="H362" s="7">
        <v>0</v>
      </c>
      <c r="I362" s="7">
        <v>30</v>
      </c>
      <c r="J362" s="7">
        <v>1</v>
      </c>
      <c r="K362" s="7">
        <v>97</v>
      </c>
    </row>
    <row r="363" spans="1:11" x14ac:dyDescent="0.25">
      <c r="A363" s="7" t="s">
        <v>1358</v>
      </c>
      <c r="B363" s="7">
        <v>0</v>
      </c>
      <c r="C363" s="7">
        <v>95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17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115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5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110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1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1</v>
      </c>
      <c r="J366" s="7">
        <v>0</v>
      </c>
      <c r="K366" s="7">
        <v>100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1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100</v>
      </c>
      <c r="J368" s="7">
        <v>1</v>
      </c>
      <c r="K368" s="7">
        <v>155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2</v>
      </c>
      <c r="E369" s="7">
        <v>7</v>
      </c>
      <c r="F369" s="7">
        <v>0</v>
      </c>
      <c r="G369" s="7">
        <v>0</v>
      </c>
      <c r="H369" s="7">
        <v>0</v>
      </c>
      <c r="I369" s="7">
        <v>150</v>
      </c>
      <c r="J369" s="7">
        <v>28</v>
      </c>
      <c r="K369" s="7">
        <v>228</v>
      </c>
    </row>
    <row r="370" spans="1:11" x14ac:dyDescent="0.25">
      <c r="A370" s="7" t="s">
        <v>1365</v>
      </c>
      <c r="B370" s="7">
        <v>0</v>
      </c>
      <c r="C370" s="7">
        <v>7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142</v>
      </c>
      <c r="J370" s="7">
        <v>5</v>
      </c>
      <c r="K370" s="7">
        <v>154</v>
      </c>
    </row>
    <row r="371" spans="1:11" x14ac:dyDescent="0.25">
      <c r="A371" s="7" t="s">
        <v>1366</v>
      </c>
      <c r="B371" s="7">
        <v>0</v>
      </c>
      <c r="C371" s="7">
        <v>165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17</v>
      </c>
      <c r="J371" s="7">
        <v>2</v>
      </c>
      <c r="K371" s="7">
        <v>186</v>
      </c>
    </row>
    <row r="372" spans="1:11" x14ac:dyDescent="0.25">
      <c r="A372" s="7" t="s">
        <v>1367</v>
      </c>
      <c r="B372" s="7">
        <v>0</v>
      </c>
      <c r="C372" s="7">
        <v>110</v>
      </c>
      <c r="D372" s="7">
        <v>1</v>
      </c>
      <c r="E372" s="7">
        <v>0</v>
      </c>
      <c r="F372" s="7">
        <v>0</v>
      </c>
      <c r="G372" s="7">
        <v>0</v>
      </c>
      <c r="H372" s="7">
        <v>0</v>
      </c>
      <c r="I372" s="7">
        <v>94</v>
      </c>
      <c r="J372" s="7">
        <v>3</v>
      </c>
      <c r="K372" s="7">
        <v>208</v>
      </c>
    </row>
    <row r="373" spans="1:11" x14ac:dyDescent="0.25">
      <c r="A373" s="7" t="s">
        <v>1368</v>
      </c>
      <c r="B373" s="7">
        <v>0</v>
      </c>
      <c r="C373" s="7">
        <v>330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332</v>
      </c>
    </row>
    <row r="374" spans="1:11" x14ac:dyDescent="0.25">
      <c r="A374" s="7" t="s">
        <v>1369</v>
      </c>
      <c r="B374" s="7">
        <v>0</v>
      </c>
      <c r="C374" s="7">
        <v>291</v>
      </c>
      <c r="D374" s="7">
        <v>3</v>
      </c>
      <c r="E374" s="7">
        <v>1</v>
      </c>
      <c r="F374" s="7">
        <v>0</v>
      </c>
      <c r="G374" s="7">
        <v>4</v>
      </c>
      <c r="H374" s="7">
        <v>0</v>
      </c>
      <c r="I374" s="7">
        <v>0</v>
      </c>
      <c r="J374" s="7">
        <v>2</v>
      </c>
      <c r="K374" s="7">
        <v>301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25</v>
      </c>
      <c r="J375" s="7">
        <v>2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93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46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174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26</v>
      </c>
      <c r="J377" s="7">
        <v>2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0</v>
      </c>
      <c r="D378" s="7">
        <v>5</v>
      </c>
      <c r="E378" s="7">
        <v>72</v>
      </c>
      <c r="F378" s="7">
        <v>0</v>
      </c>
      <c r="G378" s="7">
        <v>0</v>
      </c>
      <c r="H378" s="7">
        <v>0</v>
      </c>
      <c r="I378" s="7">
        <v>25</v>
      </c>
      <c r="J378" s="7">
        <v>1</v>
      </c>
      <c r="K378" s="7">
        <v>103</v>
      </c>
    </row>
    <row r="379" spans="1:11" x14ac:dyDescent="0.25">
      <c r="A379" s="7" t="s">
        <v>1374</v>
      </c>
      <c r="B379" s="7">
        <v>0</v>
      </c>
      <c r="C379" s="7">
        <v>11</v>
      </c>
      <c r="D379" s="7">
        <v>9</v>
      </c>
      <c r="E379" s="7">
        <v>54</v>
      </c>
      <c r="F379" s="7">
        <v>0</v>
      </c>
      <c r="G379" s="7">
        <v>0</v>
      </c>
      <c r="H379" s="7">
        <v>0</v>
      </c>
      <c r="I379" s="7">
        <v>40</v>
      </c>
      <c r="J379" s="7">
        <v>1</v>
      </c>
      <c r="K379" s="7">
        <v>115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16</v>
      </c>
      <c r="E381" s="7">
        <v>13</v>
      </c>
      <c r="F381" s="7">
        <v>0</v>
      </c>
      <c r="G381" s="7">
        <v>0</v>
      </c>
      <c r="H381" s="7">
        <v>0</v>
      </c>
      <c r="I381" s="7">
        <v>52</v>
      </c>
      <c r="J381" s="7">
        <v>1</v>
      </c>
      <c r="K381" s="7">
        <v>91</v>
      </c>
    </row>
    <row r="382" spans="1:11" x14ac:dyDescent="0.25">
      <c r="A382" s="7" t="s">
        <v>1377</v>
      </c>
      <c r="B382" s="7">
        <v>0</v>
      </c>
      <c r="C382" s="7">
        <v>178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1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79</v>
      </c>
      <c r="D383" s="7">
        <v>2</v>
      </c>
      <c r="E383" s="7">
        <v>0</v>
      </c>
      <c r="F383" s="7">
        <v>1</v>
      </c>
      <c r="G383" s="7">
        <v>0</v>
      </c>
      <c r="H383" s="7">
        <v>0</v>
      </c>
      <c r="I383" s="7">
        <v>18</v>
      </c>
      <c r="J383" s="7">
        <v>10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57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82</v>
      </c>
      <c r="J384" s="7">
        <v>3</v>
      </c>
      <c r="K384" s="7">
        <v>142</v>
      </c>
    </row>
    <row r="385" spans="1:11" x14ac:dyDescent="0.25">
      <c r="A385" s="7" t="s">
        <v>1380</v>
      </c>
      <c r="B385" s="7">
        <v>0</v>
      </c>
      <c r="C385" s="7">
        <v>24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75</v>
      </c>
      <c r="J385" s="7">
        <v>15</v>
      </c>
      <c r="K385" s="7">
        <v>114</v>
      </c>
    </row>
    <row r="386" spans="1:11" x14ac:dyDescent="0.25">
      <c r="A386" s="7" t="s">
        <v>1381</v>
      </c>
      <c r="B386" s="7">
        <v>0</v>
      </c>
      <c r="C386" s="7">
        <v>39</v>
      </c>
      <c r="D386" s="7">
        <v>0</v>
      </c>
      <c r="E386" s="7">
        <v>81</v>
      </c>
      <c r="F386" s="7">
        <v>0</v>
      </c>
      <c r="G386" s="7">
        <v>0</v>
      </c>
      <c r="H386" s="7">
        <v>0</v>
      </c>
      <c r="I386" s="7">
        <v>24</v>
      </c>
      <c r="J386" s="7">
        <v>8</v>
      </c>
      <c r="K386" s="7">
        <v>152</v>
      </c>
    </row>
    <row r="387" spans="1:11" x14ac:dyDescent="0.25">
      <c r="A387" s="7" t="s">
        <v>1382</v>
      </c>
      <c r="B387" s="7">
        <v>0</v>
      </c>
      <c r="C387" s="7">
        <v>117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13</v>
      </c>
      <c r="J387" s="7">
        <v>0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53</v>
      </c>
      <c r="D388" s="7">
        <v>2</v>
      </c>
      <c r="E388" s="7">
        <v>0</v>
      </c>
      <c r="F388" s="7">
        <v>0</v>
      </c>
      <c r="G388" s="7">
        <v>1</v>
      </c>
      <c r="H388" s="7">
        <v>0</v>
      </c>
      <c r="I388" s="7">
        <v>42</v>
      </c>
      <c r="J388" s="7">
        <v>3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4</v>
      </c>
      <c r="E389" s="7">
        <v>0</v>
      </c>
      <c r="F389" s="7">
        <v>0</v>
      </c>
      <c r="G389" s="7">
        <v>1</v>
      </c>
      <c r="H389" s="7">
        <v>0</v>
      </c>
      <c r="I389" s="7">
        <v>81</v>
      </c>
      <c r="J389" s="7">
        <v>3</v>
      </c>
      <c r="K389" s="7">
        <v>117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0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83</v>
      </c>
      <c r="J391" s="7">
        <v>40</v>
      </c>
      <c r="K391" s="7">
        <v>123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38</v>
      </c>
      <c r="J392" s="7">
        <v>1</v>
      </c>
      <c r="K392" s="7">
        <v>85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88</v>
      </c>
      <c r="D394" s="7">
        <v>26</v>
      </c>
      <c r="E394" s="7">
        <v>2</v>
      </c>
      <c r="F394" s="7">
        <v>0</v>
      </c>
      <c r="G394" s="7">
        <v>0</v>
      </c>
      <c r="H394" s="7">
        <v>0</v>
      </c>
      <c r="I394" s="7">
        <v>61</v>
      </c>
      <c r="J394" s="7">
        <v>4</v>
      </c>
      <c r="K394" s="7">
        <v>181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12</v>
      </c>
      <c r="E395" s="7">
        <v>3</v>
      </c>
      <c r="F395" s="7">
        <v>0</v>
      </c>
      <c r="G395" s="7">
        <v>4</v>
      </c>
      <c r="H395" s="7">
        <v>0</v>
      </c>
      <c r="I395" s="7">
        <v>12</v>
      </c>
      <c r="J395" s="7">
        <v>5</v>
      </c>
      <c r="K395" s="7">
        <v>160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4</v>
      </c>
      <c r="E396" s="7">
        <v>45</v>
      </c>
      <c r="F396" s="7">
        <v>0</v>
      </c>
      <c r="G396" s="7">
        <v>0</v>
      </c>
      <c r="H396" s="7">
        <v>0</v>
      </c>
      <c r="I396" s="7">
        <v>40</v>
      </c>
      <c r="J396" s="7">
        <v>4</v>
      </c>
      <c r="K396" s="7">
        <v>106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10</v>
      </c>
      <c r="E397" s="7">
        <v>23</v>
      </c>
      <c r="F397" s="7">
        <v>0</v>
      </c>
      <c r="G397" s="7">
        <v>0</v>
      </c>
      <c r="H397" s="7">
        <v>0</v>
      </c>
      <c r="I397" s="7">
        <v>81</v>
      </c>
      <c r="J397" s="7">
        <v>5</v>
      </c>
      <c r="K397" s="7">
        <v>131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38</v>
      </c>
      <c r="J398" s="7">
        <v>16</v>
      </c>
      <c r="K398" s="7">
        <v>118</v>
      </c>
    </row>
    <row r="399" spans="1:11" x14ac:dyDescent="0.25">
      <c r="A399" s="7" t="s">
        <v>1394</v>
      </c>
      <c r="B399" s="7">
        <v>0</v>
      </c>
      <c r="C399" s="7">
        <v>8</v>
      </c>
      <c r="D399" s="7">
        <v>7</v>
      </c>
      <c r="E399" s="7">
        <v>7</v>
      </c>
      <c r="F399" s="7">
        <v>0</v>
      </c>
      <c r="G399" s="7">
        <v>0</v>
      </c>
      <c r="H399" s="7">
        <v>0</v>
      </c>
      <c r="I399" s="7">
        <v>89</v>
      </c>
      <c r="J399" s="7">
        <v>4</v>
      </c>
      <c r="K399" s="7">
        <v>115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66</v>
      </c>
      <c r="J400" s="7">
        <v>6</v>
      </c>
      <c r="K400" s="7">
        <v>84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4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73</v>
      </c>
    </row>
    <row r="404" spans="1:11" x14ac:dyDescent="0.25">
      <c r="A404" s="7" t="s">
        <v>1399</v>
      </c>
      <c r="B404" s="7">
        <v>0</v>
      </c>
      <c r="C404" s="7">
        <v>118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20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32</v>
      </c>
      <c r="D405" s="7">
        <v>4</v>
      </c>
      <c r="E405" s="7">
        <v>1</v>
      </c>
      <c r="F405" s="7">
        <v>0</v>
      </c>
      <c r="G405" s="7">
        <v>1</v>
      </c>
      <c r="H405" s="7">
        <v>0</v>
      </c>
      <c r="I405" s="7">
        <v>38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73</v>
      </c>
      <c r="D406" s="7">
        <v>1</v>
      </c>
      <c r="E406" s="7">
        <v>0</v>
      </c>
      <c r="F406" s="7">
        <v>0</v>
      </c>
      <c r="G406" s="7">
        <v>0</v>
      </c>
      <c r="H406" s="7">
        <v>0</v>
      </c>
      <c r="I406" s="7">
        <v>16</v>
      </c>
      <c r="J406" s="7">
        <v>1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7</v>
      </c>
      <c r="E408" s="7">
        <v>1</v>
      </c>
      <c r="F408" s="7">
        <v>1</v>
      </c>
      <c r="G408" s="7">
        <v>0</v>
      </c>
      <c r="H408" s="7">
        <v>0</v>
      </c>
      <c r="I408" s="7">
        <v>45</v>
      </c>
      <c r="J408" s="7">
        <v>5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0</v>
      </c>
      <c r="E410" s="7">
        <v>4</v>
      </c>
      <c r="F410" s="7">
        <v>0</v>
      </c>
      <c r="G410" s="7">
        <v>0</v>
      </c>
      <c r="H410" s="7">
        <v>0</v>
      </c>
      <c r="I410" s="7">
        <v>20</v>
      </c>
      <c r="J410" s="7">
        <v>5</v>
      </c>
      <c r="K410" s="7">
        <v>86</v>
      </c>
    </row>
    <row r="411" spans="1:11" x14ac:dyDescent="0.25">
      <c r="A411" s="7" t="s">
        <v>1406</v>
      </c>
      <c r="B411" s="7">
        <v>0</v>
      </c>
      <c r="C411" s="7">
        <v>96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7</v>
      </c>
      <c r="J411" s="7">
        <v>17</v>
      </c>
      <c r="K411" s="7">
        <v>123</v>
      </c>
    </row>
    <row r="412" spans="1:11" x14ac:dyDescent="0.25">
      <c r="A412" s="7" t="s">
        <v>1407</v>
      </c>
      <c r="B412" s="7">
        <v>0</v>
      </c>
      <c r="C412" s="7">
        <v>51</v>
      </c>
      <c r="D412" s="7">
        <v>17</v>
      </c>
      <c r="E412" s="7">
        <v>5</v>
      </c>
      <c r="F412" s="7">
        <v>0</v>
      </c>
      <c r="G412" s="7">
        <v>0</v>
      </c>
      <c r="H412" s="7">
        <v>1</v>
      </c>
      <c r="I412" s="7">
        <v>20</v>
      </c>
      <c r="J412" s="7">
        <v>15</v>
      </c>
      <c r="K412" s="7">
        <v>109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27</v>
      </c>
      <c r="J413" s="7">
        <v>48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37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37</v>
      </c>
      <c r="J414" s="7">
        <v>4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49</v>
      </c>
      <c r="J415" s="7">
        <v>5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68</v>
      </c>
      <c r="D416" s="7">
        <v>1</v>
      </c>
      <c r="E416" s="7">
        <v>0</v>
      </c>
      <c r="F416" s="7">
        <v>0</v>
      </c>
      <c r="G416" s="7">
        <v>0</v>
      </c>
      <c r="H416" s="7">
        <v>0</v>
      </c>
      <c r="I416" s="7">
        <v>101</v>
      </c>
      <c r="J416" s="7">
        <v>0</v>
      </c>
      <c r="K416" s="7">
        <v>170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87</v>
      </c>
      <c r="J417" s="7">
        <v>0</v>
      </c>
      <c r="K417" s="7">
        <v>235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89</v>
      </c>
      <c r="D419" s="7">
        <v>1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118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16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128</v>
      </c>
      <c r="D421" s="7">
        <v>1</v>
      </c>
      <c r="E421" s="7">
        <v>0</v>
      </c>
      <c r="F421" s="7">
        <v>0</v>
      </c>
      <c r="G421" s="7">
        <v>0</v>
      </c>
      <c r="H421" s="7">
        <v>0</v>
      </c>
      <c r="I421" s="7">
        <v>50</v>
      </c>
      <c r="J421" s="7">
        <v>6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6</v>
      </c>
      <c r="E422" s="7">
        <v>0</v>
      </c>
      <c r="F422" s="7">
        <v>0</v>
      </c>
      <c r="G422" s="7">
        <v>0</v>
      </c>
      <c r="H422" s="7">
        <v>0</v>
      </c>
      <c r="I422" s="7">
        <v>39</v>
      </c>
      <c r="J422" s="7">
        <v>0</v>
      </c>
      <c r="K422" s="7">
        <v>121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8</v>
      </c>
      <c r="J423" s="7">
        <v>6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69</v>
      </c>
      <c r="D424" s="7">
        <v>2</v>
      </c>
      <c r="E424" s="7">
        <v>0</v>
      </c>
      <c r="F424" s="7">
        <v>0</v>
      </c>
      <c r="G424" s="7">
        <v>0</v>
      </c>
      <c r="H424" s="7">
        <v>0</v>
      </c>
      <c r="I424" s="7">
        <v>17</v>
      </c>
      <c r="J424" s="7">
        <v>12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141</v>
      </c>
      <c r="D425" s="7">
        <v>3</v>
      </c>
      <c r="E425" s="7">
        <v>0</v>
      </c>
      <c r="F425" s="7">
        <v>0</v>
      </c>
      <c r="G425" s="7">
        <v>3</v>
      </c>
      <c r="H425" s="7">
        <v>0</v>
      </c>
      <c r="I425" s="7">
        <v>21</v>
      </c>
      <c r="J425" s="7">
        <v>13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38</v>
      </c>
      <c r="J426" s="7">
        <v>18</v>
      </c>
      <c r="K426" s="7">
        <v>237</v>
      </c>
    </row>
    <row r="427" spans="1:11" x14ac:dyDescent="0.25">
      <c r="A427" s="7" t="s">
        <v>1422</v>
      </c>
      <c r="B427" s="7">
        <v>0</v>
      </c>
      <c r="C427" s="7">
        <v>95</v>
      </c>
      <c r="D427" s="7">
        <v>1</v>
      </c>
      <c r="E427" s="7">
        <v>0</v>
      </c>
      <c r="F427" s="7">
        <v>0</v>
      </c>
      <c r="G427" s="7">
        <v>2</v>
      </c>
      <c r="H427" s="7">
        <v>0</v>
      </c>
      <c r="I427" s="7">
        <v>20</v>
      </c>
      <c r="J427" s="7">
        <v>16</v>
      </c>
      <c r="K427" s="7">
        <v>134</v>
      </c>
    </row>
    <row r="428" spans="1:11" x14ac:dyDescent="0.25">
      <c r="A428" s="7" t="s">
        <v>1423</v>
      </c>
      <c r="B428" s="7">
        <v>0</v>
      </c>
      <c r="C428" s="7">
        <v>134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7</v>
      </c>
      <c r="J428" s="7">
        <v>0</v>
      </c>
      <c r="K428" s="7">
        <v>141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137</v>
      </c>
      <c r="J432" s="7">
        <v>0</v>
      </c>
      <c r="K432" s="7">
        <v>254</v>
      </c>
    </row>
    <row r="433" spans="1:11" x14ac:dyDescent="0.25">
      <c r="A433" s="7" t="s">
        <v>1428</v>
      </c>
      <c r="B433" s="7">
        <v>0</v>
      </c>
      <c r="C433" s="7">
        <v>162</v>
      </c>
      <c r="D433" s="7">
        <v>15</v>
      </c>
      <c r="E433" s="7">
        <v>5</v>
      </c>
      <c r="F433" s="7">
        <v>0</v>
      </c>
      <c r="G433" s="7">
        <v>7</v>
      </c>
      <c r="H433" s="7">
        <v>0</v>
      </c>
      <c r="I433" s="7">
        <v>148</v>
      </c>
      <c r="J433" s="7">
        <v>12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121</v>
      </c>
      <c r="J435" s="7">
        <v>0</v>
      </c>
      <c r="K435" s="7">
        <v>160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41</v>
      </c>
      <c r="J436" s="7">
        <v>7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2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224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35</v>
      </c>
      <c r="J439" s="7">
        <v>14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96</v>
      </c>
      <c r="J440" s="7">
        <v>2</v>
      </c>
      <c r="K440" s="7">
        <v>112</v>
      </c>
    </row>
    <row r="441" spans="1:11" x14ac:dyDescent="0.25">
      <c r="A441" s="7" t="s">
        <v>1436</v>
      </c>
      <c r="B441" s="7">
        <v>0</v>
      </c>
      <c r="C441" s="7">
        <v>61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16</v>
      </c>
      <c r="J441" s="7">
        <v>91</v>
      </c>
      <c r="K441" s="7">
        <v>171</v>
      </c>
    </row>
    <row r="442" spans="1:11" x14ac:dyDescent="0.25">
      <c r="A442" s="7" t="s">
        <v>1437</v>
      </c>
      <c r="B442" s="7">
        <v>0</v>
      </c>
      <c r="C442" s="7">
        <v>82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114</v>
      </c>
      <c r="J442" s="7">
        <v>0</v>
      </c>
      <c r="K442" s="7">
        <v>202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12</v>
      </c>
      <c r="J443" s="7">
        <v>17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1</v>
      </c>
      <c r="F446" s="7">
        <v>0</v>
      </c>
      <c r="G446" s="7">
        <v>1</v>
      </c>
      <c r="H446" s="7">
        <v>0</v>
      </c>
      <c r="I446" s="7">
        <v>71</v>
      </c>
      <c r="J446" s="7">
        <v>6</v>
      </c>
      <c r="K446" s="7">
        <v>168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1443</v>
      </c>
      <c r="B448" s="7">
        <v>0</v>
      </c>
      <c r="C448" s="7">
        <v>79</v>
      </c>
      <c r="D448" s="7">
        <v>3</v>
      </c>
      <c r="E448" s="7">
        <v>17</v>
      </c>
      <c r="F448" s="7">
        <v>0</v>
      </c>
      <c r="G448" s="7">
        <v>0</v>
      </c>
      <c r="H448" s="7">
        <v>0</v>
      </c>
      <c r="I448" s="7">
        <v>10</v>
      </c>
      <c r="J448" s="7">
        <v>0</v>
      </c>
      <c r="K448" s="7">
        <v>109</v>
      </c>
    </row>
    <row r="449" spans="1:11" x14ac:dyDescent="0.25">
      <c r="A449" s="7" t="s">
        <v>1444</v>
      </c>
      <c r="B449" s="7">
        <v>0</v>
      </c>
      <c r="C449" s="7">
        <v>52</v>
      </c>
      <c r="D449" s="7">
        <v>1</v>
      </c>
      <c r="E449" s="7">
        <v>0</v>
      </c>
      <c r="F449" s="7">
        <v>0</v>
      </c>
      <c r="G449" s="7">
        <v>1</v>
      </c>
      <c r="H449" s="7">
        <v>0</v>
      </c>
      <c r="I449" s="7">
        <v>0</v>
      </c>
      <c r="J449" s="7">
        <v>0</v>
      </c>
      <c r="K449" s="7">
        <v>54</v>
      </c>
    </row>
    <row r="450" spans="1:11" x14ac:dyDescent="0.25">
      <c r="A450" s="7" t="s">
        <v>1445</v>
      </c>
      <c r="B450" s="7">
        <v>0</v>
      </c>
      <c r="C450" s="7">
        <v>38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3</v>
      </c>
      <c r="K450" s="7">
        <v>42</v>
      </c>
    </row>
    <row r="451" spans="1:11" x14ac:dyDescent="0.25">
      <c r="A451" s="7" t="s">
        <v>1446</v>
      </c>
      <c r="B451" s="7">
        <v>0</v>
      </c>
      <c r="C451" s="7">
        <v>58</v>
      </c>
      <c r="D451" s="7">
        <v>0</v>
      </c>
      <c r="E451" s="7">
        <v>0</v>
      </c>
      <c r="F451" s="7">
        <v>1</v>
      </c>
      <c r="G451" s="7">
        <v>0</v>
      </c>
      <c r="H451" s="7">
        <v>0</v>
      </c>
      <c r="I451" s="7">
        <v>1</v>
      </c>
      <c r="J451" s="7">
        <v>2</v>
      </c>
      <c r="K451" s="7">
        <v>62</v>
      </c>
    </row>
    <row r="452" spans="1:11" x14ac:dyDescent="0.25">
      <c r="A452" s="7" t="s">
        <v>1447</v>
      </c>
      <c r="B452" s="7">
        <v>0</v>
      </c>
      <c r="C452" s="7">
        <v>51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5</v>
      </c>
      <c r="K452" s="7">
        <v>56</v>
      </c>
    </row>
    <row r="453" spans="1:11" x14ac:dyDescent="0.25">
      <c r="A453" s="7" t="s">
        <v>1448</v>
      </c>
      <c r="B453" s="7">
        <v>0</v>
      </c>
      <c r="C453" s="7">
        <v>51</v>
      </c>
      <c r="D453" s="7">
        <v>1</v>
      </c>
      <c r="E453" s="7">
        <v>0</v>
      </c>
      <c r="F453" s="7">
        <v>0</v>
      </c>
      <c r="G453" s="7">
        <v>2</v>
      </c>
      <c r="H453" s="7">
        <v>0</v>
      </c>
      <c r="I453" s="7">
        <v>0</v>
      </c>
      <c r="J453" s="7">
        <v>5</v>
      </c>
      <c r="K453" s="7">
        <v>59</v>
      </c>
    </row>
    <row r="454" spans="1:11" x14ac:dyDescent="0.25">
      <c r="A454" s="7" t="s">
        <v>1449</v>
      </c>
      <c r="B454" s="7">
        <v>0</v>
      </c>
      <c r="C454" s="7">
        <v>40</v>
      </c>
      <c r="D454" s="7">
        <v>0</v>
      </c>
      <c r="E454" s="7">
        <v>0</v>
      </c>
      <c r="F454" s="7">
        <v>0</v>
      </c>
      <c r="G454" s="7">
        <v>1</v>
      </c>
      <c r="H454" s="7">
        <v>0</v>
      </c>
      <c r="I454" s="7">
        <v>0</v>
      </c>
      <c r="J454" s="7">
        <v>0</v>
      </c>
      <c r="K454" s="7">
        <v>41</v>
      </c>
    </row>
    <row r="455" spans="1:11" x14ac:dyDescent="0.25">
      <c r="A455" s="7" t="s">
        <v>1450</v>
      </c>
      <c r="B455" s="7">
        <v>0</v>
      </c>
      <c r="C455" s="7">
        <v>36</v>
      </c>
      <c r="D455" s="7">
        <v>1</v>
      </c>
      <c r="E455" s="7">
        <v>0</v>
      </c>
      <c r="F455" s="7">
        <v>0</v>
      </c>
      <c r="G455" s="7">
        <v>0</v>
      </c>
      <c r="H455" s="7">
        <v>0</v>
      </c>
      <c r="I455" s="7">
        <v>1</v>
      </c>
      <c r="J455" s="7">
        <v>12</v>
      </c>
      <c r="K455" s="7">
        <v>50</v>
      </c>
    </row>
    <row r="456" spans="1:11" x14ac:dyDescent="0.25">
      <c r="A456" s="7" t="s">
        <v>1451</v>
      </c>
      <c r="B456" s="7">
        <v>0</v>
      </c>
      <c r="C456" s="7">
        <v>132</v>
      </c>
      <c r="D456" s="7">
        <v>10</v>
      </c>
      <c r="E456" s="7">
        <v>35</v>
      </c>
      <c r="F456" s="7">
        <v>0</v>
      </c>
      <c r="G456" s="7">
        <v>1</v>
      </c>
      <c r="H456" s="7">
        <v>0</v>
      </c>
      <c r="I456" s="7">
        <v>0</v>
      </c>
      <c r="J456" s="7">
        <v>0</v>
      </c>
      <c r="K456" s="7">
        <v>178</v>
      </c>
    </row>
    <row r="457" spans="1:11" x14ac:dyDescent="0.25">
      <c r="A457" s="7" t="s">
        <v>1452</v>
      </c>
      <c r="B457" s="7">
        <v>0</v>
      </c>
      <c r="C457" s="7">
        <v>123</v>
      </c>
      <c r="D457" s="7">
        <v>5</v>
      </c>
      <c r="E457" s="7">
        <v>1</v>
      </c>
      <c r="F457" s="7">
        <v>0</v>
      </c>
      <c r="G457" s="7">
        <v>2</v>
      </c>
      <c r="H457" s="7">
        <v>0</v>
      </c>
      <c r="I457" s="7">
        <v>0</v>
      </c>
      <c r="J457" s="7">
        <v>0</v>
      </c>
      <c r="K457" s="7">
        <v>131</v>
      </c>
    </row>
    <row r="458" spans="1:11" x14ac:dyDescent="0.25">
      <c r="A458" s="7" t="s">
        <v>1453</v>
      </c>
      <c r="B458" s="7">
        <v>0</v>
      </c>
      <c r="C458" s="7">
        <v>83</v>
      </c>
      <c r="D458" s="7">
        <v>4</v>
      </c>
      <c r="E458" s="7">
        <v>0</v>
      </c>
      <c r="F458" s="7">
        <v>0</v>
      </c>
      <c r="G458" s="7">
        <v>0</v>
      </c>
      <c r="H458" s="7">
        <v>0</v>
      </c>
      <c r="I458" s="7">
        <v>1</v>
      </c>
      <c r="J458" s="7">
        <v>0</v>
      </c>
      <c r="K458" s="7">
        <v>88</v>
      </c>
    </row>
    <row r="459" spans="1:11" x14ac:dyDescent="0.25">
      <c r="A459" s="7" t="s">
        <v>1454</v>
      </c>
      <c r="B459" s="7">
        <v>0</v>
      </c>
      <c r="C459" s="7">
        <v>58</v>
      </c>
      <c r="D459" s="7">
        <v>1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13</v>
      </c>
      <c r="K459" s="7">
        <v>72</v>
      </c>
    </row>
    <row r="460" spans="1:11" x14ac:dyDescent="0.25">
      <c r="A460" s="7" t="s">
        <v>1455</v>
      </c>
      <c r="B460" s="7">
        <v>0</v>
      </c>
      <c r="C460" s="7">
        <v>50</v>
      </c>
      <c r="D460" s="7">
        <v>2</v>
      </c>
      <c r="E460" s="7">
        <v>0</v>
      </c>
      <c r="F460" s="7">
        <v>0</v>
      </c>
      <c r="G460" s="7">
        <v>1</v>
      </c>
      <c r="H460" s="7">
        <v>0</v>
      </c>
      <c r="I460" s="7">
        <v>0</v>
      </c>
      <c r="J460" s="7">
        <v>1</v>
      </c>
      <c r="K460" s="7">
        <v>54</v>
      </c>
    </row>
    <row r="461" spans="1:11" x14ac:dyDescent="0.25">
      <c r="A461" s="7" t="s">
        <v>1456</v>
      </c>
      <c r="B461" s="7">
        <v>0</v>
      </c>
      <c r="C461" s="7">
        <v>142</v>
      </c>
      <c r="D461" s="7">
        <v>2</v>
      </c>
      <c r="E461" s="7">
        <v>0</v>
      </c>
      <c r="F461" s="7">
        <v>0</v>
      </c>
      <c r="G461" s="7">
        <v>0</v>
      </c>
      <c r="H461" s="7">
        <v>0</v>
      </c>
      <c r="I461" s="7">
        <v>29</v>
      </c>
      <c r="J461" s="7">
        <v>7</v>
      </c>
      <c r="K461" s="7">
        <v>180</v>
      </c>
    </row>
    <row r="462" spans="1:11" x14ac:dyDescent="0.25">
      <c r="A462" s="7" t="s">
        <v>1457</v>
      </c>
      <c r="B462" s="7">
        <v>0</v>
      </c>
      <c r="C462" s="7">
        <v>123</v>
      </c>
      <c r="D462" s="7">
        <v>8</v>
      </c>
      <c r="E462" s="7">
        <v>2</v>
      </c>
      <c r="F462" s="7">
        <v>1</v>
      </c>
      <c r="G462" s="7">
        <v>0</v>
      </c>
      <c r="H462" s="7">
        <v>0</v>
      </c>
      <c r="I462" s="7">
        <v>12</v>
      </c>
      <c r="J462" s="7">
        <v>16</v>
      </c>
      <c r="K462" s="7">
        <v>162</v>
      </c>
    </row>
    <row r="463" spans="1:11" x14ac:dyDescent="0.25">
      <c r="A463" s="7" t="s">
        <v>1458</v>
      </c>
      <c r="B463" s="7">
        <v>0</v>
      </c>
      <c r="C463" s="7">
        <v>56</v>
      </c>
      <c r="D463" s="7">
        <v>1</v>
      </c>
      <c r="E463" s="7">
        <v>0</v>
      </c>
      <c r="F463" s="7">
        <v>0</v>
      </c>
      <c r="G463" s="7">
        <v>0</v>
      </c>
      <c r="H463" s="7">
        <v>0</v>
      </c>
      <c r="I463" s="7">
        <v>0</v>
      </c>
      <c r="J463" s="7">
        <v>1</v>
      </c>
      <c r="K463" s="7">
        <v>58</v>
      </c>
    </row>
    <row r="464" spans="1:11" x14ac:dyDescent="0.25">
      <c r="A464" s="7" t="s">
        <v>1459</v>
      </c>
      <c r="B464" s="7">
        <v>0</v>
      </c>
      <c r="C464" s="7">
        <v>96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5</v>
      </c>
      <c r="J464" s="7">
        <v>1</v>
      </c>
      <c r="K464" s="7">
        <v>102</v>
      </c>
    </row>
    <row r="465" spans="1:11" x14ac:dyDescent="0.25">
      <c r="A465" s="7" t="s">
        <v>1460</v>
      </c>
      <c r="B465" s="7">
        <v>0</v>
      </c>
      <c r="C465" s="7">
        <v>47</v>
      </c>
      <c r="D465" s="7">
        <v>2</v>
      </c>
      <c r="E465" s="7">
        <v>0</v>
      </c>
      <c r="F465" s="7">
        <v>0</v>
      </c>
      <c r="G465" s="7">
        <v>0</v>
      </c>
      <c r="H465" s="7">
        <v>0</v>
      </c>
      <c r="I465" s="7">
        <v>27</v>
      </c>
      <c r="J465" s="7">
        <v>0</v>
      </c>
      <c r="K465" s="7">
        <v>76</v>
      </c>
    </row>
    <row r="466" spans="1:11" x14ac:dyDescent="0.25">
      <c r="A466" s="7" t="s">
        <v>1461</v>
      </c>
      <c r="B466" s="7">
        <v>0</v>
      </c>
      <c r="C466" s="7">
        <v>17</v>
      </c>
      <c r="D466" s="7">
        <v>5</v>
      </c>
      <c r="E466" s="7">
        <v>0</v>
      </c>
      <c r="F466" s="7">
        <v>0</v>
      </c>
      <c r="G466" s="7">
        <v>0</v>
      </c>
      <c r="H466" s="7">
        <v>0</v>
      </c>
      <c r="I466" s="7">
        <v>76</v>
      </c>
      <c r="J466" s="7">
        <v>24</v>
      </c>
      <c r="K466" s="7">
        <v>122</v>
      </c>
    </row>
    <row r="467" spans="1:11" x14ac:dyDescent="0.25">
      <c r="A467" s="7" t="s">
        <v>1462</v>
      </c>
      <c r="B467" s="7">
        <v>0</v>
      </c>
      <c r="C467" s="7">
        <v>24</v>
      </c>
      <c r="D467" s="7">
        <v>1</v>
      </c>
      <c r="E467" s="7">
        <v>0</v>
      </c>
      <c r="F467" s="7">
        <v>0</v>
      </c>
      <c r="G467" s="7">
        <v>1</v>
      </c>
      <c r="H467" s="7">
        <v>0</v>
      </c>
      <c r="I467" s="7">
        <v>0</v>
      </c>
      <c r="J467" s="7">
        <v>2</v>
      </c>
      <c r="K467" s="7">
        <v>28</v>
      </c>
    </row>
    <row r="468" spans="1:11" x14ac:dyDescent="0.25">
      <c r="A468" s="7" t="s">
        <v>1463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0</v>
      </c>
      <c r="J468" s="7">
        <v>4</v>
      </c>
      <c r="K468" s="7">
        <v>36</v>
      </c>
    </row>
    <row r="469" spans="1:11" x14ac:dyDescent="0.25">
      <c r="A469" s="7" t="s">
        <v>1464</v>
      </c>
      <c r="B469" s="7">
        <v>0</v>
      </c>
      <c r="C469" s="7">
        <v>43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5</v>
      </c>
      <c r="J469" s="7">
        <v>0</v>
      </c>
      <c r="K469" s="7">
        <v>48</v>
      </c>
    </row>
    <row r="470" spans="1:11" x14ac:dyDescent="0.25">
      <c r="A470" s="7" t="s">
        <v>1465</v>
      </c>
      <c r="B470" s="7">
        <v>0</v>
      </c>
      <c r="C470" s="7">
        <v>36</v>
      </c>
      <c r="D470" s="7">
        <v>0</v>
      </c>
      <c r="E470" s="7">
        <v>0</v>
      </c>
      <c r="F470" s="7">
        <v>0</v>
      </c>
      <c r="G470" s="7">
        <v>1</v>
      </c>
      <c r="H470" s="7">
        <v>0</v>
      </c>
      <c r="I470" s="7">
        <v>10</v>
      </c>
      <c r="J470" s="7">
        <v>5</v>
      </c>
      <c r="K470" s="7">
        <v>52</v>
      </c>
    </row>
    <row r="471" spans="1:11" x14ac:dyDescent="0.25">
      <c r="A471" s="7" t="s">
        <v>1466</v>
      </c>
      <c r="B471" s="7">
        <v>0</v>
      </c>
      <c r="C471" s="7">
        <v>49</v>
      </c>
      <c r="D471" s="7">
        <v>0</v>
      </c>
      <c r="E471" s="7">
        <v>0</v>
      </c>
      <c r="F471" s="7">
        <v>0</v>
      </c>
      <c r="G471" s="7">
        <v>0</v>
      </c>
      <c r="H471" s="7">
        <v>0</v>
      </c>
      <c r="I471" s="7">
        <v>7</v>
      </c>
      <c r="J471" s="7">
        <v>2</v>
      </c>
      <c r="K471" s="7">
        <v>58</v>
      </c>
    </row>
    <row r="472" spans="1:11" x14ac:dyDescent="0.25">
      <c r="A472" s="7" t="s">
        <v>1467</v>
      </c>
      <c r="B472" s="7">
        <v>0</v>
      </c>
      <c r="C472" s="7">
        <v>18</v>
      </c>
      <c r="D472" s="7">
        <v>2</v>
      </c>
      <c r="E472" s="7">
        <v>13</v>
      </c>
      <c r="F472" s="7">
        <v>0</v>
      </c>
      <c r="G472" s="7">
        <v>0</v>
      </c>
      <c r="H472" s="7">
        <v>0</v>
      </c>
      <c r="I472" s="7">
        <v>81</v>
      </c>
      <c r="J472" s="7">
        <v>2</v>
      </c>
      <c r="K472" s="7">
        <v>116</v>
      </c>
    </row>
    <row r="473" spans="1:11" x14ac:dyDescent="0.25">
      <c r="A473" s="7" t="s">
        <v>1468</v>
      </c>
      <c r="B473" s="7">
        <v>0</v>
      </c>
      <c r="C473" s="7">
        <v>0</v>
      </c>
      <c r="D473" s="7">
        <v>2</v>
      </c>
      <c r="E473" s="7">
        <v>3</v>
      </c>
      <c r="F473" s="7">
        <v>0</v>
      </c>
      <c r="G473" s="7">
        <v>0</v>
      </c>
      <c r="H473" s="7">
        <v>0</v>
      </c>
      <c r="I473" s="7">
        <v>51</v>
      </c>
      <c r="J473" s="7">
        <v>2</v>
      </c>
      <c r="K473" s="7">
        <v>58</v>
      </c>
    </row>
    <row r="474" spans="1:11" x14ac:dyDescent="0.25">
      <c r="A474" s="7" t="s">
        <v>1469</v>
      </c>
      <c r="B474" s="7">
        <v>0</v>
      </c>
      <c r="C474" s="7">
        <v>4</v>
      </c>
      <c r="D474" s="7">
        <v>0</v>
      </c>
      <c r="E474" s="7">
        <v>1</v>
      </c>
      <c r="F474" s="7">
        <v>0</v>
      </c>
      <c r="G474" s="7">
        <v>0</v>
      </c>
      <c r="H474" s="7">
        <v>0</v>
      </c>
      <c r="I474" s="7">
        <v>61</v>
      </c>
      <c r="J474" s="7">
        <v>1</v>
      </c>
      <c r="K474" s="7">
        <v>67</v>
      </c>
    </row>
    <row r="475" spans="1:11" x14ac:dyDescent="0.25">
      <c r="A475" s="7" t="s">
        <v>1470</v>
      </c>
      <c r="B475" s="7">
        <v>0</v>
      </c>
      <c r="C475" s="7">
        <v>0</v>
      </c>
      <c r="D475" s="7">
        <v>3</v>
      </c>
      <c r="E475" s="7">
        <v>16</v>
      </c>
      <c r="F475" s="7">
        <v>0</v>
      </c>
      <c r="G475" s="7">
        <v>0</v>
      </c>
      <c r="H475" s="7">
        <v>0</v>
      </c>
      <c r="I475" s="7">
        <v>53</v>
      </c>
      <c r="J475" s="7">
        <v>5</v>
      </c>
      <c r="K475" s="7">
        <v>77</v>
      </c>
    </row>
    <row r="476" spans="1:11" x14ac:dyDescent="0.25">
      <c r="A476" s="7" t="s">
        <v>1471</v>
      </c>
      <c r="B476" s="7">
        <v>0</v>
      </c>
      <c r="C476" s="7">
        <v>64</v>
      </c>
      <c r="D476" s="7">
        <v>0</v>
      </c>
      <c r="E476" s="7">
        <v>0</v>
      </c>
      <c r="F476" s="7">
        <v>0</v>
      </c>
      <c r="G476" s="7">
        <v>5</v>
      </c>
      <c r="H476" s="7">
        <v>0</v>
      </c>
      <c r="I476" s="7">
        <v>1</v>
      </c>
      <c r="J476" s="7">
        <v>5</v>
      </c>
      <c r="K476" s="7">
        <v>75</v>
      </c>
    </row>
    <row r="477" spans="1:11" x14ac:dyDescent="0.25">
      <c r="A477" s="7" t="s">
        <v>1472</v>
      </c>
      <c r="B477" s="7">
        <v>0</v>
      </c>
      <c r="C477" s="7">
        <v>55</v>
      </c>
      <c r="D477" s="7">
        <v>7</v>
      </c>
      <c r="E477" s="7">
        <v>0</v>
      </c>
      <c r="F477" s="7">
        <v>0</v>
      </c>
      <c r="G477" s="7">
        <v>0</v>
      </c>
      <c r="H477" s="7">
        <v>0</v>
      </c>
      <c r="I477" s="7">
        <v>51</v>
      </c>
      <c r="J477" s="7">
        <v>0</v>
      </c>
      <c r="K477" s="7">
        <v>113</v>
      </c>
    </row>
    <row r="478" spans="1:11" x14ac:dyDescent="0.25">
      <c r="A478" s="7" t="s">
        <v>1473</v>
      </c>
      <c r="B478" s="7">
        <v>0</v>
      </c>
      <c r="C478" s="7">
        <v>23</v>
      </c>
      <c r="D478" s="7">
        <v>7</v>
      </c>
      <c r="E478" s="7">
        <v>0</v>
      </c>
      <c r="F478" s="7">
        <v>0</v>
      </c>
      <c r="G478" s="7">
        <v>0</v>
      </c>
      <c r="H478" s="7">
        <v>0</v>
      </c>
      <c r="I478" s="7">
        <v>136</v>
      </c>
      <c r="J478" s="7">
        <v>5</v>
      </c>
      <c r="K478" s="7">
        <v>171</v>
      </c>
    </row>
    <row r="479" spans="1:11" x14ac:dyDescent="0.25">
      <c r="A479" s="7" t="s">
        <v>1474</v>
      </c>
      <c r="B479" s="7">
        <v>0</v>
      </c>
      <c r="C479" s="7">
        <v>119</v>
      </c>
      <c r="D479" s="7">
        <v>8</v>
      </c>
      <c r="E479" s="7">
        <v>0</v>
      </c>
      <c r="F479" s="7">
        <v>0</v>
      </c>
      <c r="G479" s="7">
        <v>1</v>
      </c>
      <c r="H479" s="7">
        <v>0</v>
      </c>
      <c r="I479" s="7">
        <v>38</v>
      </c>
      <c r="J479" s="7">
        <v>1</v>
      </c>
      <c r="K479" s="7">
        <v>167</v>
      </c>
    </row>
    <row r="480" spans="1:11" x14ac:dyDescent="0.25">
      <c r="A480" s="7" t="s">
        <v>1475</v>
      </c>
      <c r="B480" s="7">
        <v>0</v>
      </c>
      <c r="C480" s="7">
        <v>113</v>
      </c>
      <c r="D480" s="7">
        <v>1</v>
      </c>
      <c r="E480" s="7">
        <v>0</v>
      </c>
      <c r="F480" s="7">
        <v>0</v>
      </c>
      <c r="G480" s="7">
        <v>3</v>
      </c>
      <c r="H480" s="7">
        <v>0</v>
      </c>
      <c r="I480" s="7">
        <v>2</v>
      </c>
      <c r="J480" s="7">
        <v>3</v>
      </c>
      <c r="K480" s="7">
        <v>122</v>
      </c>
    </row>
    <row r="481" spans="1:11" x14ac:dyDescent="0.25">
      <c r="A481" s="7" t="s">
        <v>1476</v>
      </c>
      <c r="B481" s="7">
        <v>0</v>
      </c>
      <c r="C481" s="7">
        <v>12</v>
      </c>
      <c r="D481" s="7">
        <v>7</v>
      </c>
      <c r="E481" s="7">
        <v>1</v>
      </c>
      <c r="F481" s="7">
        <v>0</v>
      </c>
      <c r="G481" s="7">
        <v>0</v>
      </c>
      <c r="H481" s="7">
        <v>0</v>
      </c>
      <c r="I481" s="7">
        <v>137</v>
      </c>
      <c r="J481" s="7">
        <v>2</v>
      </c>
      <c r="K481" s="7">
        <v>159</v>
      </c>
    </row>
    <row r="482" spans="1:11" x14ac:dyDescent="0.25">
      <c r="A482" s="7" t="s">
        <v>1477</v>
      </c>
      <c r="B482" s="7">
        <v>0</v>
      </c>
      <c r="C482" s="7">
        <v>26</v>
      </c>
      <c r="D482" s="7">
        <v>4</v>
      </c>
      <c r="E482" s="7">
        <v>4</v>
      </c>
      <c r="F482" s="7">
        <v>0</v>
      </c>
      <c r="G482" s="7">
        <v>0</v>
      </c>
      <c r="H482" s="7">
        <v>0</v>
      </c>
      <c r="I482" s="7">
        <v>105</v>
      </c>
      <c r="J482" s="7">
        <v>1</v>
      </c>
      <c r="K482" s="7">
        <v>140</v>
      </c>
    </row>
    <row r="483" spans="1:11" x14ac:dyDescent="0.25">
      <c r="A483" s="7" t="s">
        <v>1478</v>
      </c>
      <c r="B483" s="7">
        <v>0</v>
      </c>
      <c r="C483" s="7">
        <v>1</v>
      </c>
      <c r="D483" s="7">
        <v>13</v>
      </c>
      <c r="E483" s="7">
        <v>1</v>
      </c>
      <c r="F483" s="7">
        <v>0</v>
      </c>
      <c r="G483" s="7">
        <v>0</v>
      </c>
      <c r="H483" s="7">
        <v>0</v>
      </c>
      <c r="I483" s="7">
        <v>73</v>
      </c>
      <c r="J483" s="7">
        <v>21</v>
      </c>
      <c r="K483" s="7">
        <v>109</v>
      </c>
    </row>
    <row r="484" spans="1:11" x14ac:dyDescent="0.25">
      <c r="A484" s="7" t="s">
        <v>1479</v>
      </c>
      <c r="B484" s="7">
        <v>0</v>
      </c>
      <c r="C484" s="7">
        <v>5</v>
      </c>
      <c r="D484" s="7">
        <v>2</v>
      </c>
      <c r="E484" s="7">
        <v>0</v>
      </c>
      <c r="F484" s="7">
        <v>0</v>
      </c>
      <c r="G484" s="7">
        <v>0</v>
      </c>
      <c r="H484" s="7">
        <v>0</v>
      </c>
      <c r="I484" s="7">
        <v>90</v>
      </c>
      <c r="J484" s="7">
        <v>6</v>
      </c>
      <c r="K484" s="7">
        <v>103</v>
      </c>
    </row>
    <row r="485" spans="1:11" x14ac:dyDescent="0.25">
      <c r="A485" s="7" t="s">
        <v>1480</v>
      </c>
      <c r="B485" s="7">
        <v>0</v>
      </c>
      <c r="C485" s="7">
        <v>46</v>
      </c>
      <c r="D485" s="7">
        <v>0</v>
      </c>
      <c r="E485" s="7">
        <v>0</v>
      </c>
      <c r="F485" s="7">
        <v>0</v>
      </c>
      <c r="G485" s="7">
        <v>1</v>
      </c>
      <c r="H485" s="7">
        <v>0</v>
      </c>
      <c r="I485" s="7">
        <v>0</v>
      </c>
      <c r="J485" s="7">
        <v>3</v>
      </c>
      <c r="K485" s="7">
        <v>50</v>
      </c>
    </row>
    <row r="486" spans="1:11" x14ac:dyDescent="0.25">
      <c r="A486" s="7" t="s">
        <v>1481</v>
      </c>
      <c r="B486" s="7">
        <v>0</v>
      </c>
      <c r="C486" s="7">
        <v>22</v>
      </c>
      <c r="D486" s="7">
        <v>0</v>
      </c>
      <c r="E486" s="7">
        <v>5</v>
      </c>
      <c r="F486" s="7">
        <v>0</v>
      </c>
      <c r="G486" s="7">
        <v>0</v>
      </c>
      <c r="H486" s="7">
        <v>0</v>
      </c>
      <c r="I486" s="7">
        <v>61</v>
      </c>
      <c r="J486" s="7">
        <v>1</v>
      </c>
      <c r="K486" s="7">
        <v>89</v>
      </c>
    </row>
    <row r="487" spans="1:11" x14ac:dyDescent="0.25">
      <c r="A487" s="7" t="s">
        <v>1482</v>
      </c>
      <c r="B487" s="7">
        <v>0</v>
      </c>
      <c r="C487" s="7">
        <v>46</v>
      </c>
      <c r="D487" s="7">
        <v>4</v>
      </c>
      <c r="E487" s="7">
        <v>0</v>
      </c>
      <c r="F487" s="7">
        <v>0</v>
      </c>
      <c r="G487" s="7">
        <v>0</v>
      </c>
      <c r="H487" s="7">
        <v>0</v>
      </c>
      <c r="I487" s="7">
        <v>61</v>
      </c>
      <c r="J487" s="7">
        <v>2</v>
      </c>
      <c r="K487" s="7">
        <v>113</v>
      </c>
    </row>
    <row r="488" spans="1:11" x14ac:dyDescent="0.25">
      <c r="A488" s="7" t="s">
        <v>1483</v>
      </c>
      <c r="B488" s="7">
        <v>0</v>
      </c>
      <c r="C488" s="7">
        <v>59</v>
      </c>
      <c r="D488" s="7">
        <v>0</v>
      </c>
      <c r="E488" s="7">
        <v>0</v>
      </c>
      <c r="F488" s="7">
        <v>0</v>
      </c>
      <c r="G488" s="7">
        <v>1</v>
      </c>
      <c r="H488" s="7">
        <v>0</v>
      </c>
      <c r="I488" s="7">
        <v>47</v>
      </c>
      <c r="J488" s="7">
        <v>0</v>
      </c>
      <c r="K488" s="7">
        <v>107</v>
      </c>
    </row>
    <row r="489" spans="1:11" x14ac:dyDescent="0.25">
      <c r="A489" s="7" t="s">
        <v>1484</v>
      </c>
      <c r="B489" s="7">
        <v>0</v>
      </c>
      <c r="C489" s="7">
        <v>48</v>
      </c>
      <c r="D489" s="7">
        <v>4</v>
      </c>
      <c r="E489" s="7">
        <v>2</v>
      </c>
      <c r="F489" s="7">
        <v>0</v>
      </c>
      <c r="G489" s="7">
        <v>2</v>
      </c>
      <c r="H489" s="7">
        <v>0</v>
      </c>
      <c r="I489" s="7">
        <v>45</v>
      </c>
      <c r="J489" s="7">
        <v>0</v>
      </c>
      <c r="K489" s="7">
        <v>101</v>
      </c>
    </row>
    <row r="490" spans="1:11" x14ac:dyDescent="0.25">
      <c r="A490" s="7" t="s">
        <v>1485</v>
      </c>
      <c r="B490" s="7">
        <v>0</v>
      </c>
      <c r="C490" s="7">
        <v>76</v>
      </c>
      <c r="D490" s="7">
        <v>1</v>
      </c>
      <c r="E490" s="7">
        <v>0</v>
      </c>
      <c r="F490" s="7">
        <v>0</v>
      </c>
      <c r="G490" s="7">
        <v>3</v>
      </c>
      <c r="H490" s="7">
        <v>0</v>
      </c>
      <c r="I490" s="7">
        <v>37</v>
      </c>
      <c r="J490" s="7">
        <v>2</v>
      </c>
      <c r="K490" s="7">
        <v>119</v>
      </c>
    </row>
    <row r="491" spans="1:11" x14ac:dyDescent="0.25">
      <c r="A491" s="7" t="s">
        <v>1486</v>
      </c>
      <c r="B491" s="7">
        <v>0</v>
      </c>
      <c r="C491" s="7">
        <v>21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161</v>
      </c>
      <c r="J491" s="7">
        <v>2</v>
      </c>
      <c r="K491" s="7">
        <v>184</v>
      </c>
    </row>
    <row r="492" spans="1:11" x14ac:dyDescent="0.25">
      <c r="A492" s="7" t="s">
        <v>1487</v>
      </c>
      <c r="B492" s="7">
        <v>0</v>
      </c>
      <c r="C492" s="7">
        <v>154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5</v>
      </c>
      <c r="J492" s="7">
        <v>4</v>
      </c>
      <c r="K492" s="7">
        <v>163</v>
      </c>
    </row>
    <row r="493" spans="1:11" x14ac:dyDescent="0.25">
      <c r="A493" s="7" t="s">
        <v>1488</v>
      </c>
      <c r="B493" s="7">
        <v>0</v>
      </c>
      <c r="C493" s="7">
        <v>40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126</v>
      </c>
      <c r="J493" s="7">
        <v>11</v>
      </c>
      <c r="K493" s="7">
        <v>177</v>
      </c>
    </row>
    <row r="494" spans="1:11" x14ac:dyDescent="0.25">
      <c r="A494" s="7" t="s">
        <v>1489</v>
      </c>
      <c r="B494" s="7">
        <v>0</v>
      </c>
      <c r="C494" s="7">
        <v>134</v>
      </c>
      <c r="D494" s="7">
        <v>5</v>
      </c>
      <c r="E494" s="7">
        <v>0</v>
      </c>
      <c r="F494" s="7">
        <v>0</v>
      </c>
      <c r="G494" s="7">
        <v>0</v>
      </c>
      <c r="H494" s="7">
        <v>0</v>
      </c>
      <c r="I494" s="7">
        <v>7</v>
      </c>
      <c r="J494" s="7">
        <v>12</v>
      </c>
      <c r="K494" s="7">
        <v>158</v>
      </c>
    </row>
    <row r="495" spans="1:11" x14ac:dyDescent="0.25">
      <c r="A495" s="7" t="s">
        <v>1490</v>
      </c>
      <c r="B495" s="7">
        <v>0</v>
      </c>
      <c r="C495" s="7">
        <v>130</v>
      </c>
      <c r="D495" s="7">
        <v>1</v>
      </c>
      <c r="E495" s="7">
        <v>0</v>
      </c>
      <c r="F495" s="7">
        <v>0</v>
      </c>
      <c r="G495" s="7">
        <v>3</v>
      </c>
      <c r="H495" s="7">
        <v>0</v>
      </c>
      <c r="I495" s="7">
        <v>2</v>
      </c>
      <c r="J495" s="7">
        <v>0</v>
      </c>
      <c r="K495" s="7">
        <v>136</v>
      </c>
    </row>
    <row r="496" spans="1:11" x14ac:dyDescent="0.25">
      <c r="A496" s="7" t="s">
        <v>1491</v>
      </c>
      <c r="B496" s="7">
        <v>0</v>
      </c>
      <c r="C496" s="7">
        <v>137</v>
      </c>
      <c r="D496" s="7">
        <v>9</v>
      </c>
      <c r="E496" s="7">
        <v>0</v>
      </c>
      <c r="F496" s="7">
        <v>0</v>
      </c>
      <c r="G496" s="7">
        <v>2</v>
      </c>
      <c r="H496" s="7">
        <v>0</v>
      </c>
      <c r="I496" s="7">
        <v>0</v>
      </c>
      <c r="J496" s="7">
        <v>0</v>
      </c>
      <c r="K496" s="7">
        <v>148</v>
      </c>
    </row>
    <row r="497" spans="1:11" x14ac:dyDescent="0.25">
      <c r="A497" s="7" t="s">
        <v>1492</v>
      </c>
      <c r="B497" s="7">
        <v>0</v>
      </c>
      <c r="C497" s="7">
        <v>121</v>
      </c>
      <c r="D497" s="7">
        <v>1</v>
      </c>
      <c r="E497" s="7">
        <v>0</v>
      </c>
      <c r="F497" s="7">
        <v>0</v>
      </c>
      <c r="G497" s="7">
        <v>1</v>
      </c>
      <c r="H497" s="7">
        <v>0</v>
      </c>
      <c r="I497" s="7">
        <v>0</v>
      </c>
      <c r="J497" s="7">
        <v>2</v>
      </c>
      <c r="K497" s="7">
        <v>125</v>
      </c>
    </row>
    <row r="498" spans="1:11" x14ac:dyDescent="0.25">
      <c r="A498" s="7" t="s">
        <v>1493</v>
      </c>
      <c r="B498" s="7">
        <v>0</v>
      </c>
      <c r="C498" s="7">
        <v>89</v>
      </c>
      <c r="D498" s="7">
        <v>0</v>
      </c>
      <c r="E498" s="7">
        <v>1</v>
      </c>
      <c r="F498" s="7">
        <v>1</v>
      </c>
      <c r="G498" s="7">
        <v>0</v>
      </c>
      <c r="H498" s="7">
        <v>0</v>
      </c>
      <c r="I498" s="7">
        <v>2</v>
      </c>
      <c r="J498" s="7">
        <v>3</v>
      </c>
      <c r="K498" s="7">
        <v>96</v>
      </c>
    </row>
    <row r="499" spans="1:11" x14ac:dyDescent="0.25">
      <c r="A499" s="7" t="s">
        <v>1494</v>
      </c>
      <c r="B499" s="7">
        <v>0</v>
      </c>
      <c r="C499" s="7">
        <v>279</v>
      </c>
      <c r="D499" s="7">
        <v>2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6</v>
      </c>
      <c r="K499" s="7">
        <v>287</v>
      </c>
    </row>
    <row r="500" spans="1:11" x14ac:dyDescent="0.25">
      <c r="A500" s="7" t="s">
        <v>1495</v>
      </c>
      <c r="B500" s="7">
        <v>0</v>
      </c>
      <c r="C500" s="7">
        <v>213</v>
      </c>
      <c r="D500" s="7">
        <v>1</v>
      </c>
      <c r="E500" s="7">
        <v>0</v>
      </c>
      <c r="F500" s="7">
        <v>0</v>
      </c>
      <c r="G500" s="7">
        <v>1</v>
      </c>
      <c r="H500" s="7">
        <v>0</v>
      </c>
      <c r="I500" s="7">
        <v>7</v>
      </c>
      <c r="J500" s="7">
        <v>2</v>
      </c>
      <c r="K500" s="7">
        <v>224</v>
      </c>
    </row>
    <row r="501" spans="1:11" x14ac:dyDescent="0.25">
      <c r="A501" s="7" t="s">
        <v>1496</v>
      </c>
      <c r="B501" s="7">
        <v>0</v>
      </c>
      <c r="C501" s="7">
        <v>80</v>
      </c>
      <c r="D501" s="7">
        <v>3</v>
      </c>
      <c r="E501" s="7">
        <v>0</v>
      </c>
      <c r="F501" s="7">
        <v>0</v>
      </c>
      <c r="G501" s="7">
        <v>2</v>
      </c>
      <c r="H501" s="7">
        <v>0</v>
      </c>
      <c r="I501" s="7">
        <v>86</v>
      </c>
      <c r="J501" s="7">
        <v>2</v>
      </c>
      <c r="K501" s="7">
        <v>173</v>
      </c>
    </row>
    <row r="502" spans="1:11" x14ac:dyDescent="0.25">
      <c r="A502" s="7" t="s">
        <v>1497</v>
      </c>
      <c r="B502" s="7">
        <v>0</v>
      </c>
      <c r="C502" s="7">
        <v>122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1</v>
      </c>
      <c r="J502" s="7">
        <v>2</v>
      </c>
      <c r="K502" s="7">
        <v>125</v>
      </c>
    </row>
    <row r="503" spans="1:11" x14ac:dyDescent="0.25">
      <c r="A503" s="7" t="s">
        <v>1498</v>
      </c>
      <c r="B503" s="7">
        <v>0</v>
      </c>
      <c r="C503" s="7">
        <v>92</v>
      </c>
      <c r="D503" s="7">
        <v>2</v>
      </c>
      <c r="E503" s="7">
        <v>2</v>
      </c>
      <c r="F503" s="7">
        <v>2</v>
      </c>
      <c r="G503" s="7">
        <v>0</v>
      </c>
      <c r="H503" s="7">
        <v>0</v>
      </c>
      <c r="I503" s="7">
        <v>0</v>
      </c>
      <c r="J503" s="7">
        <v>5</v>
      </c>
      <c r="K503" s="7">
        <v>103</v>
      </c>
    </row>
    <row r="504" spans="1:11" x14ac:dyDescent="0.25">
      <c r="A504" s="7" t="s">
        <v>1499</v>
      </c>
      <c r="B504" s="7">
        <v>0</v>
      </c>
      <c r="C504" s="7">
        <v>100</v>
      </c>
      <c r="D504" s="7">
        <v>1</v>
      </c>
      <c r="E504" s="7">
        <v>3</v>
      </c>
      <c r="F504" s="7">
        <v>0</v>
      </c>
      <c r="G504" s="7">
        <v>0</v>
      </c>
      <c r="H504" s="7">
        <v>0</v>
      </c>
      <c r="I504" s="7">
        <v>22</v>
      </c>
      <c r="J504" s="7">
        <v>73</v>
      </c>
      <c r="K504" s="7">
        <v>199</v>
      </c>
    </row>
    <row r="505" spans="1:11" x14ac:dyDescent="0.25">
      <c r="A505" s="7" t="s">
        <v>1500</v>
      </c>
      <c r="B505" s="7">
        <v>0</v>
      </c>
      <c r="C505" s="7">
        <v>40</v>
      </c>
      <c r="D505" s="7">
        <v>4</v>
      </c>
      <c r="E505" s="7">
        <v>0</v>
      </c>
      <c r="F505" s="7">
        <v>0</v>
      </c>
      <c r="G505" s="7">
        <v>0</v>
      </c>
      <c r="H505" s="7">
        <v>0</v>
      </c>
      <c r="I505" s="7">
        <v>50</v>
      </c>
      <c r="J505" s="7">
        <v>20</v>
      </c>
      <c r="K505" s="7">
        <v>114</v>
      </c>
    </row>
    <row r="506" spans="1:11" x14ac:dyDescent="0.25">
      <c r="A506" s="7" t="s">
        <v>1501</v>
      </c>
      <c r="B506" s="7">
        <v>0</v>
      </c>
      <c r="C506" s="7">
        <v>93</v>
      </c>
      <c r="D506" s="7">
        <v>14</v>
      </c>
      <c r="E506" s="7">
        <v>0</v>
      </c>
      <c r="F506" s="7">
        <v>10</v>
      </c>
      <c r="G506" s="7">
        <v>2</v>
      </c>
      <c r="H506" s="7">
        <v>0</v>
      </c>
      <c r="I506" s="7">
        <v>43</v>
      </c>
      <c r="J506" s="7">
        <v>22</v>
      </c>
      <c r="K506" s="7">
        <v>184</v>
      </c>
    </row>
    <row r="507" spans="1:11" x14ac:dyDescent="0.25">
      <c r="A507" s="7" t="s">
        <v>1502</v>
      </c>
      <c r="B507" s="7">
        <v>0</v>
      </c>
      <c r="C507" s="7">
        <v>73</v>
      </c>
      <c r="D507" s="7">
        <v>2</v>
      </c>
      <c r="E507" s="7">
        <v>0</v>
      </c>
      <c r="F507" s="7">
        <v>0</v>
      </c>
      <c r="G507" s="7">
        <v>0</v>
      </c>
      <c r="H507" s="7">
        <v>0</v>
      </c>
      <c r="I507" s="7">
        <v>7</v>
      </c>
      <c r="J507" s="7">
        <v>42</v>
      </c>
      <c r="K507" s="7">
        <v>124</v>
      </c>
    </row>
    <row r="508" spans="1:11" x14ac:dyDescent="0.25">
      <c r="A508" s="7" t="s">
        <v>1503</v>
      </c>
      <c r="B508" s="7">
        <v>0</v>
      </c>
      <c r="C508" s="7">
        <v>69</v>
      </c>
      <c r="D508" s="7">
        <v>3</v>
      </c>
      <c r="E508" s="7">
        <v>0</v>
      </c>
      <c r="F508" s="7">
        <v>13</v>
      </c>
      <c r="G508" s="7">
        <v>3</v>
      </c>
      <c r="H508" s="7">
        <v>0</v>
      </c>
      <c r="I508" s="7">
        <v>0</v>
      </c>
      <c r="J508" s="7">
        <v>15</v>
      </c>
      <c r="K508" s="7">
        <v>103</v>
      </c>
    </row>
    <row r="509" spans="1:11" x14ac:dyDescent="0.25">
      <c r="A509" s="7" t="s">
        <v>1504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0</v>
      </c>
      <c r="H509" s="7">
        <v>0</v>
      </c>
      <c r="I509" s="7">
        <v>1</v>
      </c>
      <c r="J509" s="7">
        <v>37</v>
      </c>
      <c r="K509" s="7">
        <v>110</v>
      </c>
    </row>
    <row r="510" spans="1:11" x14ac:dyDescent="0.25">
      <c r="A510" s="7" t="s">
        <v>1505</v>
      </c>
      <c r="B510" s="7">
        <v>0</v>
      </c>
      <c r="C510" s="7">
        <v>106</v>
      </c>
      <c r="D510" s="7">
        <v>3</v>
      </c>
      <c r="E510" s="7">
        <v>0</v>
      </c>
      <c r="F510" s="7">
        <v>0</v>
      </c>
      <c r="G510" s="7">
        <v>0</v>
      </c>
      <c r="H510" s="7">
        <v>0</v>
      </c>
      <c r="I510" s="7">
        <v>34</v>
      </c>
      <c r="J510" s="7">
        <v>2</v>
      </c>
      <c r="K510" s="7">
        <v>145</v>
      </c>
    </row>
    <row r="511" spans="1:11" x14ac:dyDescent="0.25">
      <c r="A511" s="7" t="s">
        <v>1506</v>
      </c>
      <c r="B511" s="7">
        <v>0</v>
      </c>
      <c r="C511" s="7">
        <v>98</v>
      </c>
      <c r="D511" s="7">
        <v>0</v>
      </c>
      <c r="E511" s="7">
        <v>0</v>
      </c>
      <c r="F511" s="7">
        <v>1</v>
      </c>
      <c r="G511" s="7">
        <v>2</v>
      </c>
      <c r="H511" s="7">
        <v>0</v>
      </c>
      <c r="I511" s="7">
        <v>22</v>
      </c>
      <c r="J511" s="7">
        <v>19</v>
      </c>
      <c r="K511" s="7">
        <v>142</v>
      </c>
    </row>
    <row r="512" spans="1:11" x14ac:dyDescent="0.25">
      <c r="A512" s="7" t="s">
        <v>1507</v>
      </c>
      <c r="B512" s="7">
        <v>0</v>
      </c>
      <c r="C512" s="7">
        <v>29</v>
      </c>
      <c r="D512" s="7">
        <v>10</v>
      </c>
      <c r="E512" s="7">
        <v>0</v>
      </c>
      <c r="F512" s="7">
        <v>0</v>
      </c>
      <c r="G512" s="7">
        <v>0</v>
      </c>
      <c r="H512" s="7">
        <v>0</v>
      </c>
      <c r="I512" s="7">
        <v>13</v>
      </c>
      <c r="J512" s="7">
        <v>43</v>
      </c>
      <c r="K512" s="7">
        <v>95</v>
      </c>
    </row>
    <row r="513" spans="1:11" x14ac:dyDescent="0.25">
      <c r="A513" s="7" t="s">
        <v>1508</v>
      </c>
      <c r="B513" s="7">
        <v>0</v>
      </c>
      <c r="C513" s="7">
        <v>111</v>
      </c>
      <c r="D513" s="7">
        <v>0</v>
      </c>
      <c r="E513" s="7">
        <v>0</v>
      </c>
      <c r="F513" s="7">
        <v>0</v>
      </c>
      <c r="G513" s="7">
        <v>1</v>
      </c>
      <c r="H513" s="7">
        <v>0</v>
      </c>
      <c r="I513" s="7">
        <v>9</v>
      </c>
      <c r="J513" s="7">
        <v>10</v>
      </c>
      <c r="K513" s="7">
        <v>131</v>
      </c>
    </row>
    <row r="514" spans="1:11" x14ac:dyDescent="0.25">
      <c r="A514" s="7" t="s">
        <v>1509</v>
      </c>
      <c r="B514" s="7">
        <v>0</v>
      </c>
      <c r="C514" s="7">
        <v>98</v>
      </c>
      <c r="D514" s="7">
        <v>0</v>
      </c>
      <c r="E514" s="7">
        <v>0</v>
      </c>
      <c r="F514" s="7">
        <v>1</v>
      </c>
      <c r="G514" s="7">
        <v>1</v>
      </c>
      <c r="H514" s="7">
        <v>0</v>
      </c>
      <c r="I514" s="7">
        <v>7</v>
      </c>
      <c r="J514" s="7">
        <v>2</v>
      </c>
      <c r="K514" s="7">
        <v>109</v>
      </c>
    </row>
    <row r="515" spans="1:11" x14ac:dyDescent="0.25">
      <c r="A515" s="7" t="s">
        <v>1510</v>
      </c>
      <c r="B515" s="7">
        <v>0</v>
      </c>
      <c r="C515" s="7">
        <v>32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0</v>
      </c>
      <c r="J515" s="7">
        <v>0</v>
      </c>
      <c r="K515" s="7">
        <v>32</v>
      </c>
    </row>
    <row r="516" spans="1:11" x14ac:dyDescent="0.25">
      <c r="A516" s="7" t="s">
        <v>1511</v>
      </c>
      <c r="B516" s="7">
        <v>0</v>
      </c>
      <c r="C516" s="7">
        <v>44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44</v>
      </c>
    </row>
    <row r="517" spans="1:11" x14ac:dyDescent="0.25">
      <c r="A517" s="7" t="s">
        <v>1512</v>
      </c>
      <c r="B517" s="7">
        <v>0</v>
      </c>
      <c r="C517" s="7">
        <v>72</v>
      </c>
      <c r="D517" s="7">
        <v>0</v>
      </c>
      <c r="E517" s="7">
        <v>1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73</v>
      </c>
    </row>
    <row r="518" spans="1:11" x14ac:dyDescent="0.25">
      <c r="A518" s="7" t="s">
        <v>1513</v>
      </c>
      <c r="B518" s="7">
        <v>0</v>
      </c>
      <c r="C518" s="7">
        <v>43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43</v>
      </c>
    </row>
    <row r="519" spans="1:11" x14ac:dyDescent="0.25">
      <c r="A519" s="7" t="s">
        <v>1514</v>
      </c>
      <c r="B519" s="7">
        <v>0</v>
      </c>
      <c r="C519" s="7">
        <v>24</v>
      </c>
      <c r="D519" s="7">
        <v>0</v>
      </c>
      <c r="E519" s="7">
        <v>3</v>
      </c>
      <c r="F519" s="7">
        <v>0</v>
      </c>
      <c r="G519" s="7">
        <v>0</v>
      </c>
      <c r="H519" s="7">
        <v>0</v>
      </c>
      <c r="I519" s="7">
        <v>0</v>
      </c>
      <c r="J519" s="7">
        <v>34</v>
      </c>
      <c r="K519" s="7">
        <v>61</v>
      </c>
    </row>
    <row r="520" spans="1:11" x14ac:dyDescent="0.25">
      <c r="A520" s="7" t="s">
        <v>1515</v>
      </c>
      <c r="B520" s="7">
        <v>0</v>
      </c>
      <c r="C520" s="7">
        <v>77</v>
      </c>
      <c r="D520" s="7">
        <v>0</v>
      </c>
      <c r="E520" s="7">
        <v>8</v>
      </c>
      <c r="F520" s="7">
        <v>1</v>
      </c>
      <c r="G520" s="7">
        <v>0</v>
      </c>
      <c r="H520" s="7">
        <v>0</v>
      </c>
      <c r="I520" s="7">
        <v>2</v>
      </c>
      <c r="J520" s="7">
        <v>0</v>
      </c>
      <c r="K520" s="7">
        <v>88</v>
      </c>
    </row>
    <row r="521" spans="1:11" x14ac:dyDescent="0.25">
      <c r="A521" s="7" t="s">
        <v>1516</v>
      </c>
      <c r="B521" s="7">
        <v>0</v>
      </c>
      <c r="C521" s="7">
        <v>60</v>
      </c>
      <c r="D521" s="7">
        <v>0</v>
      </c>
      <c r="E521" s="7">
        <v>19</v>
      </c>
      <c r="F521" s="7">
        <v>0</v>
      </c>
      <c r="G521" s="7">
        <v>0</v>
      </c>
      <c r="H521" s="7">
        <v>0</v>
      </c>
      <c r="I521" s="7">
        <v>0</v>
      </c>
      <c r="J521" s="7">
        <v>3</v>
      </c>
      <c r="K521" s="7">
        <v>82</v>
      </c>
    </row>
    <row r="522" spans="1:11" x14ac:dyDescent="0.25">
      <c r="A522" s="7" t="s">
        <v>1517</v>
      </c>
      <c r="B522" s="7">
        <v>0</v>
      </c>
      <c r="C522" s="7">
        <v>39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39</v>
      </c>
    </row>
    <row r="523" spans="1:11" x14ac:dyDescent="0.25">
      <c r="A523" s="7" t="s">
        <v>1518</v>
      </c>
      <c r="B523" s="7">
        <v>0</v>
      </c>
      <c r="C523" s="7">
        <v>93</v>
      </c>
      <c r="D523" s="7">
        <v>0</v>
      </c>
      <c r="E523" s="7">
        <v>0</v>
      </c>
      <c r="F523" s="7">
        <v>2</v>
      </c>
      <c r="G523" s="7">
        <v>0</v>
      </c>
      <c r="H523" s="7">
        <v>0</v>
      </c>
      <c r="I523" s="7">
        <v>2</v>
      </c>
      <c r="J523" s="7">
        <v>9</v>
      </c>
      <c r="K523" s="7">
        <v>106</v>
      </c>
    </row>
    <row r="524" spans="1:11" x14ac:dyDescent="0.25">
      <c r="A524" s="7" t="s">
        <v>1519</v>
      </c>
      <c r="B524" s="7">
        <v>0</v>
      </c>
      <c r="C524" s="7">
        <v>62</v>
      </c>
      <c r="D524" s="7">
        <v>0</v>
      </c>
      <c r="E524" s="7">
        <v>0</v>
      </c>
      <c r="F524" s="7">
        <v>1</v>
      </c>
      <c r="G524" s="7">
        <v>0</v>
      </c>
      <c r="H524" s="7">
        <v>0</v>
      </c>
      <c r="I524" s="7">
        <v>4</v>
      </c>
      <c r="J524" s="7">
        <v>0</v>
      </c>
      <c r="K524" s="7">
        <v>67</v>
      </c>
    </row>
    <row r="525" spans="1:11" x14ac:dyDescent="0.25">
      <c r="A525" s="7" t="s">
        <v>1520</v>
      </c>
      <c r="B525" s="7">
        <v>0</v>
      </c>
      <c r="C525" s="7">
        <v>55</v>
      </c>
      <c r="D525" s="7">
        <v>0</v>
      </c>
      <c r="E525" s="7">
        <v>3</v>
      </c>
      <c r="F525" s="7">
        <v>0</v>
      </c>
      <c r="G525" s="7">
        <v>0</v>
      </c>
      <c r="H525" s="7">
        <v>0</v>
      </c>
      <c r="I525" s="7">
        <v>60</v>
      </c>
      <c r="J525" s="7">
        <v>0</v>
      </c>
      <c r="K525" s="7">
        <v>118</v>
      </c>
    </row>
    <row r="526" spans="1:11" x14ac:dyDescent="0.25">
      <c r="A526" s="7" t="s">
        <v>1521</v>
      </c>
      <c r="B526" s="7">
        <v>0</v>
      </c>
      <c r="C526" s="7">
        <v>109</v>
      </c>
      <c r="D526" s="7">
        <v>0</v>
      </c>
      <c r="E526" s="7">
        <v>0</v>
      </c>
      <c r="F526" s="7">
        <v>0</v>
      </c>
      <c r="G526" s="7">
        <v>4</v>
      </c>
      <c r="H526" s="7">
        <v>0</v>
      </c>
      <c r="I526" s="7">
        <v>1</v>
      </c>
      <c r="J526" s="7">
        <v>0</v>
      </c>
      <c r="K526" s="7">
        <v>114</v>
      </c>
    </row>
    <row r="527" spans="1:11" x14ac:dyDescent="0.25">
      <c r="A527" s="7" t="s">
        <v>1522</v>
      </c>
      <c r="B527" s="7">
        <v>0</v>
      </c>
      <c r="C527" s="7">
        <v>16</v>
      </c>
      <c r="D527" s="7">
        <v>0</v>
      </c>
      <c r="E527" s="7">
        <v>1</v>
      </c>
      <c r="F527" s="7">
        <v>0</v>
      </c>
      <c r="G527" s="7">
        <v>0</v>
      </c>
      <c r="H527" s="7">
        <v>0</v>
      </c>
      <c r="I527" s="7">
        <v>60</v>
      </c>
      <c r="J527" s="7">
        <v>0</v>
      </c>
      <c r="K527" s="7">
        <v>77</v>
      </c>
    </row>
    <row r="528" spans="1:11" x14ac:dyDescent="0.25">
      <c r="A528" s="7" t="s">
        <v>1523</v>
      </c>
      <c r="B528" s="7">
        <v>0</v>
      </c>
      <c r="C528" s="7">
        <v>113</v>
      </c>
      <c r="D528" s="7">
        <v>0</v>
      </c>
      <c r="E528" s="7">
        <v>0</v>
      </c>
      <c r="F528" s="7">
        <v>1</v>
      </c>
      <c r="G528" s="7">
        <v>2</v>
      </c>
      <c r="H528" s="7">
        <v>0</v>
      </c>
      <c r="I528" s="7">
        <v>2</v>
      </c>
      <c r="J528" s="7">
        <v>2</v>
      </c>
      <c r="K528" s="7">
        <v>120</v>
      </c>
    </row>
    <row r="529" spans="1:11" x14ac:dyDescent="0.25">
      <c r="A529" s="7" t="s">
        <v>1524</v>
      </c>
      <c r="B529" s="7">
        <v>0</v>
      </c>
      <c r="C529" s="7">
        <v>25</v>
      </c>
      <c r="D529" s="7">
        <v>0</v>
      </c>
      <c r="E529" s="7">
        <v>2</v>
      </c>
      <c r="F529" s="7">
        <v>0</v>
      </c>
      <c r="G529" s="7">
        <v>0</v>
      </c>
      <c r="H529" s="7">
        <v>0</v>
      </c>
      <c r="I529" s="7">
        <v>75</v>
      </c>
      <c r="J529" s="7">
        <v>1</v>
      </c>
      <c r="K529" s="7">
        <v>103</v>
      </c>
    </row>
    <row r="530" spans="1:11" x14ac:dyDescent="0.25">
      <c r="A530" s="7" t="s">
        <v>1525</v>
      </c>
      <c r="B530" s="7">
        <v>0</v>
      </c>
      <c r="C530" s="7">
        <v>20</v>
      </c>
      <c r="D530" s="7">
        <v>0</v>
      </c>
      <c r="E530" s="7">
        <v>5</v>
      </c>
      <c r="F530" s="7">
        <v>0</v>
      </c>
      <c r="G530" s="7">
        <v>0</v>
      </c>
      <c r="H530" s="7">
        <v>0</v>
      </c>
      <c r="I530" s="7">
        <v>63</v>
      </c>
      <c r="J530" s="7">
        <v>1</v>
      </c>
      <c r="K530" s="7">
        <v>89</v>
      </c>
    </row>
    <row r="531" spans="1:11" x14ac:dyDescent="0.25">
      <c r="A531" s="7" t="s">
        <v>1526</v>
      </c>
      <c r="B531" s="7">
        <v>0</v>
      </c>
      <c r="C531" s="7">
        <v>36</v>
      </c>
      <c r="D531" s="7">
        <v>0</v>
      </c>
      <c r="E531" s="7">
        <v>1</v>
      </c>
      <c r="F531" s="7">
        <v>0</v>
      </c>
      <c r="G531" s="7">
        <v>0</v>
      </c>
      <c r="H531" s="7">
        <v>0</v>
      </c>
      <c r="I531" s="7">
        <v>21</v>
      </c>
      <c r="J531" s="7">
        <v>1</v>
      </c>
      <c r="K531" s="7">
        <v>59</v>
      </c>
    </row>
    <row r="532" spans="1:11" x14ac:dyDescent="0.25">
      <c r="A532" s="7" t="s">
        <v>1527</v>
      </c>
      <c r="B532" s="7">
        <v>0</v>
      </c>
      <c r="C532" s="7">
        <v>51</v>
      </c>
      <c r="D532" s="7">
        <v>4</v>
      </c>
      <c r="E532" s="7">
        <v>0</v>
      </c>
      <c r="F532" s="7">
        <v>4</v>
      </c>
      <c r="G532" s="7">
        <v>0</v>
      </c>
      <c r="H532" s="7">
        <v>0</v>
      </c>
      <c r="I532" s="7">
        <v>62</v>
      </c>
      <c r="J532" s="7">
        <v>0</v>
      </c>
      <c r="K532" s="7">
        <v>121</v>
      </c>
    </row>
    <row r="533" spans="1:11" x14ac:dyDescent="0.25">
      <c r="A533" s="7" t="s">
        <v>1528</v>
      </c>
      <c r="B533" s="7">
        <v>0</v>
      </c>
      <c r="C533" s="7">
        <v>19</v>
      </c>
      <c r="D533" s="7">
        <v>1</v>
      </c>
      <c r="E533" s="7">
        <v>2</v>
      </c>
      <c r="F533" s="7">
        <v>0</v>
      </c>
      <c r="G533" s="7">
        <v>0</v>
      </c>
      <c r="H533" s="7">
        <v>0</v>
      </c>
      <c r="I533" s="7">
        <v>30</v>
      </c>
      <c r="J533" s="7">
        <v>26</v>
      </c>
      <c r="K533" s="7">
        <v>78</v>
      </c>
    </row>
    <row r="534" spans="1:11" x14ac:dyDescent="0.25">
      <c r="A534" s="7" t="s">
        <v>1529</v>
      </c>
      <c r="B534" s="7">
        <v>0</v>
      </c>
      <c r="C534" s="7">
        <v>54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9</v>
      </c>
      <c r="J534" s="7">
        <v>0</v>
      </c>
      <c r="K534" s="7">
        <v>63</v>
      </c>
    </row>
    <row r="535" spans="1:11" x14ac:dyDescent="0.25">
      <c r="A535" s="7" t="s">
        <v>1530</v>
      </c>
      <c r="B535" s="7">
        <v>0</v>
      </c>
      <c r="C535" s="7">
        <v>24</v>
      </c>
      <c r="D535" s="7">
        <v>1</v>
      </c>
      <c r="E535" s="7">
        <v>12</v>
      </c>
      <c r="F535" s="7">
        <v>0</v>
      </c>
      <c r="G535" s="7">
        <v>0</v>
      </c>
      <c r="H535" s="7">
        <v>0</v>
      </c>
      <c r="I535" s="7">
        <v>70</v>
      </c>
      <c r="J535" s="7">
        <v>4</v>
      </c>
      <c r="K535" s="7">
        <v>111</v>
      </c>
    </row>
    <row r="536" spans="1:11" x14ac:dyDescent="0.25">
      <c r="A536" s="7" t="s">
        <v>1531</v>
      </c>
      <c r="B536" s="7">
        <v>0</v>
      </c>
      <c r="C536" s="7">
        <v>12</v>
      </c>
      <c r="D536" s="7">
        <v>0</v>
      </c>
      <c r="E536" s="7">
        <v>3</v>
      </c>
      <c r="F536" s="7">
        <v>0</v>
      </c>
      <c r="G536" s="7">
        <v>0</v>
      </c>
      <c r="H536" s="7">
        <v>0</v>
      </c>
      <c r="I536" s="7">
        <v>59</v>
      </c>
      <c r="J536" s="7">
        <v>0</v>
      </c>
      <c r="K536" s="7">
        <v>74</v>
      </c>
    </row>
    <row r="537" spans="1:11" x14ac:dyDescent="0.25">
      <c r="A537" s="7" t="s">
        <v>1532</v>
      </c>
      <c r="B537" s="7">
        <v>0</v>
      </c>
      <c r="C537" s="7">
        <v>66</v>
      </c>
      <c r="D537" s="7">
        <v>0</v>
      </c>
      <c r="E537" s="7">
        <v>0</v>
      </c>
      <c r="F537" s="7">
        <v>0</v>
      </c>
      <c r="G537" s="7">
        <v>3</v>
      </c>
      <c r="H537" s="7">
        <v>0</v>
      </c>
      <c r="I537" s="7">
        <v>0</v>
      </c>
      <c r="J537" s="7">
        <v>0</v>
      </c>
      <c r="K537" s="7">
        <v>69</v>
      </c>
    </row>
    <row r="538" spans="1:11" x14ac:dyDescent="0.25">
      <c r="A538" s="7" t="s">
        <v>1533</v>
      </c>
      <c r="B538" s="7">
        <v>0</v>
      </c>
      <c r="C538" s="7">
        <v>98</v>
      </c>
      <c r="D538" s="7">
        <v>0</v>
      </c>
      <c r="E538" s="7">
        <v>0</v>
      </c>
      <c r="F538" s="7">
        <v>2</v>
      </c>
      <c r="G538" s="7">
        <v>0</v>
      </c>
      <c r="H538" s="7">
        <v>0</v>
      </c>
      <c r="I538" s="7">
        <v>0</v>
      </c>
      <c r="J538" s="7">
        <v>0</v>
      </c>
      <c r="K538" s="7">
        <v>100</v>
      </c>
    </row>
    <row r="539" spans="1:11" x14ac:dyDescent="0.25">
      <c r="A539" s="7" t="s">
        <v>1534</v>
      </c>
      <c r="B539" s="7">
        <v>0</v>
      </c>
      <c r="C539" s="7">
        <v>27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35</v>
      </c>
      <c r="J539" s="7">
        <v>0</v>
      </c>
      <c r="K539" s="7">
        <v>62</v>
      </c>
    </row>
    <row r="540" spans="1:11" x14ac:dyDescent="0.25">
      <c r="A540" s="7" t="s">
        <v>1535</v>
      </c>
      <c r="B540" s="7">
        <v>0</v>
      </c>
      <c r="C540" s="7">
        <v>14</v>
      </c>
      <c r="D540" s="7">
        <v>0</v>
      </c>
      <c r="E540" s="7">
        <v>6</v>
      </c>
      <c r="F540" s="7">
        <v>0</v>
      </c>
      <c r="G540" s="7">
        <v>0</v>
      </c>
      <c r="H540" s="7">
        <v>0</v>
      </c>
      <c r="I540" s="7">
        <v>58</v>
      </c>
      <c r="J540" s="7">
        <v>2</v>
      </c>
      <c r="K540" s="7">
        <v>80</v>
      </c>
    </row>
    <row r="541" spans="1:11" x14ac:dyDescent="0.25">
      <c r="A541" s="7" t="s">
        <v>1536</v>
      </c>
      <c r="B541" s="7">
        <v>0</v>
      </c>
      <c r="C541" s="7">
        <v>28</v>
      </c>
      <c r="D541" s="7">
        <v>0</v>
      </c>
      <c r="E541" s="7">
        <v>6</v>
      </c>
      <c r="F541" s="7">
        <v>0</v>
      </c>
      <c r="G541" s="7">
        <v>0</v>
      </c>
      <c r="H541" s="7">
        <v>0</v>
      </c>
      <c r="I541" s="7">
        <v>76</v>
      </c>
      <c r="J541" s="7">
        <v>0</v>
      </c>
      <c r="K541" s="7">
        <v>110</v>
      </c>
    </row>
    <row r="542" spans="1:11" x14ac:dyDescent="0.25">
      <c r="A542" s="7" t="s">
        <v>1537</v>
      </c>
      <c r="B542" s="7">
        <v>0</v>
      </c>
      <c r="C542" s="7">
        <v>19</v>
      </c>
      <c r="D542" s="7">
        <v>0</v>
      </c>
      <c r="E542" s="7">
        <v>22</v>
      </c>
      <c r="F542" s="7">
        <v>0</v>
      </c>
      <c r="G542" s="7">
        <v>1</v>
      </c>
      <c r="H542" s="7">
        <v>0</v>
      </c>
      <c r="I542" s="7">
        <v>40</v>
      </c>
      <c r="J542" s="7">
        <v>4</v>
      </c>
      <c r="K542" s="7">
        <v>86</v>
      </c>
    </row>
    <row r="543" spans="1:11" x14ac:dyDescent="0.25">
      <c r="A543" s="7" t="s">
        <v>1538</v>
      </c>
      <c r="B543" s="7">
        <v>0</v>
      </c>
      <c r="C543" s="7">
        <v>92</v>
      </c>
      <c r="D543" s="7">
        <v>1</v>
      </c>
      <c r="E543" s="7">
        <v>0</v>
      </c>
      <c r="F543" s="7">
        <v>0</v>
      </c>
      <c r="G543" s="7">
        <v>3</v>
      </c>
      <c r="H543" s="7">
        <v>0</v>
      </c>
      <c r="I543" s="7">
        <v>3</v>
      </c>
      <c r="J543" s="7">
        <v>0</v>
      </c>
      <c r="K543" s="7">
        <v>99</v>
      </c>
    </row>
    <row r="544" spans="1:11" x14ac:dyDescent="0.25">
      <c r="A544" s="7" t="s">
        <v>1539</v>
      </c>
      <c r="B544" s="7">
        <v>0</v>
      </c>
      <c r="C544" s="7">
        <v>33</v>
      </c>
      <c r="D544" s="7">
        <v>0</v>
      </c>
      <c r="E544" s="7">
        <v>7</v>
      </c>
      <c r="F544" s="7">
        <v>0</v>
      </c>
      <c r="G544" s="7">
        <v>0</v>
      </c>
      <c r="H544" s="7">
        <v>0</v>
      </c>
      <c r="I544" s="7">
        <v>31</v>
      </c>
      <c r="J544" s="7">
        <v>13</v>
      </c>
      <c r="K544" s="7">
        <v>84</v>
      </c>
    </row>
    <row r="545" spans="1:11" x14ac:dyDescent="0.25">
      <c r="A545" s="7" t="s">
        <v>1540</v>
      </c>
      <c r="B545" s="7">
        <v>0</v>
      </c>
      <c r="C545" s="7">
        <v>5</v>
      </c>
      <c r="D545" s="7">
        <v>0</v>
      </c>
      <c r="E545" s="7">
        <v>3</v>
      </c>
      <c r="F545" s="7">
        <v>0</v>
      </c>
      <c r="G545" s="7">
        <v>0</v>
      </c>
      <c r="H545" s="7">
        <v>0</v>
      </c>
      <c r="I545" s="7">
        <v>48</v>
      </c>
      <c r="J545" s="7">
        <v>5</v>
      </c>
      <c r="K545" s="7">
        <v>61</v>
      </c>
    </row>
    <row r="546" spans="1:11" x14ac:dyDescent="0.25">
      <c r="A546" s="7" t="s">
        <v>1541</v>
      </c>
      <c r="B546" s="7">
        <v>0</v>
      </c>
      <c r="C546" s="7">
        <v>23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0</v>
      </c>
      <c r="K546" s="7">
        <v>23</v>
      </c>
    </row>
    <row r="547" spans="1:11" x14ac:dyDescent="0.25">
      <c r="A547" s="7" t="s">
        <v>1542</v>
      </c>
      <c r="B547" s="7">
        <v>0</v>
      </c>
      <c r="C547" s="7">
        <v>22</v>
      </c>
      <c r="D547" s="7">
        <v>0</v>
      </c>
      <c r="E547" s="7">
        <v>22</v>
      </c>
      <c r="F547" s="7">
        <v>0</v>
      </c>
      <c r="G547" s="7">
        <v>0</v>
      </c>
      <c r="H547" s="7">
        <v>0</v>
      </c>
      <c r="I547" s="7">
        <v>70</v>
      </c>
      <c r="J547" s="7">
        <v>0</v>
      </c>
      <c r="K547" s="7">
        <v>114</v>
      </c>
    </row>
    <row r="548" spans="1:11" x14ac:dyDescent="0.25">
      <c r="A548" s="7" t="s">
        <v>1543</v>
      </c>
      <c r="B548" s="7">
        <v>0</v>
      </c>
      <c r="C548" s="7">
        <v>60</v>
      </c>
      <c r="D548" s="7">
        <v>0</v>
      </c>
      <c r="E548" s="7">
        <v>3</v>
      </c>
      <c r="F548" s="7">
        <v>0</v>
      </c>
      <c r="G548" s="7">
        <v>1</v>
      </c>
      <c r="H548" s="7">
        <v>0</v>
      </c>
      <c r="I548" s="7">
        <v>18</v>
      </c>
      <c r="J548" s="7">
        <v>1</v>
      </c>
      <c r="K548" s="7">
        <v>83</v>
      </c>
    </row>
    <row r="549" spans="1:11" x14ac:dyDescent="0.25">
      <c r="A549" s="7" t="s">
        <v>1544</v>
      </c>
      <c r="B549" s="7">
        <v>0</v>
      </c>
      <c r="C549" s="7">
        <v>46</v>
      </c>
      <c r="D549" s="7">
        <v>0</v>
      </c>
      <c r="E549" s="7">
        <v>5</v>
      </c>
      <c r="F549" s="7">
        <v>0</v>
      </c>
      <c r="G549" s="7">
        <v>0</v>
      </c>
      <c r="H549" s="7">
        <v>0</v>
      </c>
      <c r="I549" s="7">
        <v>42</v>
      </c>
      <c r="J549" s="7">
        <v>0</v>
      </c>
      <c r="K549" s="7">
        <v>93</v>
      </c>
    </row>
    <row r="550" spans="1:11" x14ac:dyDescent="0.25">
      <c r="A550" s="7" t="s">
        <v>1545</v>
      </c>
      <c r="B550" s="7">
        <v>0</v>
      </c>
      <c r="C550" s="7">
        <v>65</v>
      </c>
      <c r="D550" s="7">
        <v>1</v>
      </c>
      <c r="E550" s="7">
        <v>6</v>
      </c>
      <c r="F550" s="7">
        <v>0</v>
      </c>
      <c r="G550" s="7">
        <v>0</v>
      </c>
      <c r="H550" s="7">
        <v>0</v>
      </c>
      <c r="I550" s="7">
        <v>18</v>
      </c>
      <c r="J550" s="7">
        <v>2</v>
      </c>
      <c r="K550" s="7">
        <v>92</v>
      </c>
    </row>
    <row r="551" spans="1:11" x14ac:dyDescent="0.25">
      <c r="A551" s="7" t="s">
        <v>1546</v>
      </c>
      <c r="B551" s="7">
        <v>0</v>
      </c>
      <c r="C551" s="7">
        <v>24</v>
      </c>
      <c r="D551" s="7">
        <v>0</v>
      </c>
      <c r="E551" s="7">
        <v>9</v>
      </c>
      <c r="F551" s="7">
        <v>0</v>
      </c>
      <c r="G551" s="7">
        <v>0</v>
      </c>
      <c r="H551" s="7">
        <v>0</v>
      </c>
      <c r="I551" s="7">
        <v>19</v>
      </c>
      <c r="J551" s="7">
        <v>0</v>
      </c>
      <c r="K551" s="7">
        <v>52</v>
      </c>
    </row>
    <row r="552" spans="1:11" x14ac:dyDescent="0.25">
      <c r="A552" s="7" t="s">
        <v>1547</v>
      </c>
      <c r="B552" s="7">
        <v>0</v>
      </c>
      <c r="C552" s="7">
        <v>33</v>
      </c>
      <c r="D552" s="7">
        <v>0</v>
      </c>
      <c r="E552" s="7">
        <v>4</v>
      </c>
      <c r="F552" s="7">
        <v>0</v>
      </c>
      <c r="G552" s="7">
        <v>0</v>
      </c>
      <c r="H552" s="7">
        <v>0</v>
      </c>
      <c r="I552" s="7">
        <v>9</v>
      </c>
      <c r="J552" s="7">
        <v>0</v>
      </c>
      <c r="K552" s="7">
        <v>46</v>
      </c>
    </row>
    <row r="553" spans="1:11" x14ac:dyDescent="0.25">
      <c r="A553" s="7" t="s">
        <v>1548</v>
      </c>
      <c r="B553" s="7">
        <v>0</v>
      </c>
      <c r="C553" s="7">
        <v>7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31</v>
      </c>
      <c r="J553" s="7">
        <v>1</v>
      </c>
      <c r="K553" s="7">
        <v>39</v>
      </c>
    </row>
    <row r="554" spans="1:11" x14ac:dyDescent="0.25">
      <c r="A554" s="7" t="s">
        <v>1549</v>
      </c>
      <c r="B554" s="7">
        <v>0</v>
      </c>
      <c r="C554" s="7">
        <v>50</v>
      </c>
      <c r="D554" s="7">
        <v>0</v>
      </c>
      <c r="E554" s="7">
        <v>3</v>
      </c>
      <c r="F554" s="7">
        <v>0</v>
      </c>
      <c r="G554" s="7">
        <v>1</v>
      </c>
      <c r="H554" s="7">
        <v>0</v>
      </c>
      <c r="I554" s="7">
        <v>0</v>
      </c>
      <c r="J554" s="7">
        <v>0</v>
      </c>
      <c r="K554" s="7">
        <v>54</v>
      </c>
    </row>
    <row r="555" spans="1:11" x14ac:dyDescent="0.25">
      <c r="A555" s="7" t="s">
        <v>1550</v>
      </c>
      <c r="B555" s="7">
        <v>0</v>
      </c>
      <c r="C555" s="7">
        <v>62</v>
      </c>
      <c r="D555" s="7">
        <v>0</v>
      </c>
      <c r="E555" s="7">
        <v>1</v>
      </c>
      <c r="F555" s="7">
        <v>0</v>
      </c>
      <c r="G555" s="7">
        <v>0</v>
      </c>
      <c r="H555" s="7">
        <v>0</v>
      </c>
      <c r="I555" s="7">
        <v>1</v>
      </c>
      <c r="J555" s="7">
        <v>0</v>
      </c>
      <c r="K555" s="7">
        <v>64</v>
      </c>
    </row>
    <row r="556" spans="1:11" x14ac:dyDescent="0.25">
      <c r="A556" s="7" t="s">
        <v>1551</v>
      </c>
      <c r="B556" s="7">
        <v>0</v>
      </c>
      <c r="C556" s="7">
        <v>19</v>
      </c>
      <c r="D556" s="7">
        <v>0</v>
      </c>
      <c r="E556" s="7">
        <v>6</v>
      </c>
      <c r="F556" s="7">
        <v>0</v>
      </c>
      <c r="G556" s="7">
        <v>1</v>
      </c>
      <c r="H556" s="7">
        <v>0</v>
      </c>
      <c r="I556" s="7">
        <v>41</v>
      </c>
      <c r="J556" s="7">
        <v>0</v>
      </c>
      <c r="K556" s="7">
        <v>67</v>
      </c>
    </row>
    <row r="557" spans="1:11" x14ac:dyDescent="0.25">
      <c r="A557" s="7" t="s">
        <v>1552</v>
      </c>
      <c r="B557" s="7">
        <v>0</v>
      </c>
      <c r="C557" s="7">
        <v>27</v>
      </c>
      <c r="D557" s="7">
        <v>0</v>
      </c>
      <c r="E557" s="7">
        <v>1</v>
      </c>
      <c r="F557" s="7">
        <v>0</v>
      </c>
      <c r="G557" s="7">
        <v>0</v>
      </c>
      <c r="H557" s="7">
        <v>0</v>
      </c>
      <c r="I557" s="7">
        <v>29</v>
      </c>
      <c r="J557" s="7">
        <v>0</v>
      </c>
      <c r="K557" s="7">
        <v>57</v>
      </c>
    </row>
    <row r="558" spans="1:11" x14ac:dyDescent="0.25">
      <c r="A558" s="7" t="s">
        <v>1553</v>
      </c>
      <c r="B558" s="7">
        <v>0</v>
      </c>
      <c r="C558" s="7">
        <v>17</v>
      </c>
      <c r="D558" s="7">
        <v>4</v>
      </c>
      <c r="E558" s="7">
        <v>37</v>
      </c>
      <c r="F558" s="7">
        <v>0</v>
      </c>
      <c r="G558" s="7">
        <v>0</v>
      </c>
      <c r="H558" s="7">
        <v>0</v>
      </c>
      <c r="I558" s="7">
        <v>34</v>
      </c>
      <c r="J558" s="7">
        <v>0</v>
      </c>
      <c r="K558" s="7">
        <v>92</v>
      </c>
    </row>
    <row r="559" spans="1:11" x14ac:dyDescent="0.25">
      <c r="A559" s="7" t="s">
        <v>1554</v>
      </c>
      <c r="B559" s="7">
        <v>0</v>
      </c>
      <c r="C559" s="7">
        <v>43</v>
      </c>
      <c r="D559" s="7">
        <v>0</v>
      </c>
      <c r="E559" s="7">
        <v>0</v>
      </c>
      <c r="F559" s="7">
        <v>1</v>
      </c>
      <c r="G559" s="7">
        <v>0</v>
      </c>
      <c r="H559" s="7">
        <v>0</v>
      </c>
      <c r="I559" s="7">
        <v>0</v>
      </c>
      <c r="J559" s="7">
        <v>1</v>
      </c>
      <c r="K559" s="7">
        <v>45</v>
      </c>
    </row>
    <row r="560" spans="1:11" x14ac:dyDescent="0.25">
      <c r="A560" s="7" t="s">
        <v>1555</v>
      </c>
      <c r="B560" s="7">
        <v>0</v>
      </c>
      <c r="C560" s="7">
        <v>55</v>
      </c>
      <c r="D560" s="7">
        <v>0</v>
      </c>
      <c r="E560" s="7">
        <v>1</v>
      </c>
      <c r="F560" s="7">
        <v>0</v>
      </c>
      <c r="G560" s="7">
        <v>0</v>
      </c>
      <c r="H560" s="7">
        <v>0</v>
      </c>
      <c r="I560" s="7">
        <v>29</v>
      </c>
      <c r="J560" s="7">
        <v>0</v>
      </c>
      <c r="K560" s="7">
        <v>85</v>
      </c>
    </row>
    <row r="561" spans="1:11" x14ac:dyDescent="0.25">
      <c r="A561" s="7" t="s">
        <v>1556</v>
      </c>
      <c r="B561" s="7">
        <v>0</v>
      </c>
      <c r="C561" s="7">
        <v>42</v>
      </c>
      <c r="D561" s="7">
        <v>0</v>
      </c>
      <c r="E561" s="7">
        <v>1</v>
      </c>
      <c r="F561" s="7">
        <v>0</v>
      </c>
      <c r="G561" s="7">
        <v>2</v>
      </c>
      <c r="H561" s="7">
        <v>0</v>
      </c>
      <c r="I561" s="7">
        <v>37</v>
      </c>
      <c r="J561" s="7">
        <v>2</v>
      </c>
      <c r="K561" s="7">
        <v>84</v>
      </c>
    </row>
    <row r="562" spans="1:11" x14ac:dyDescent="0.25">
      <c r="A562" s="7" t="s">
        <v>1557</v>
      </c>
      <c r="B562" s="7">
        <v>0</v>
      </c>
      <c r="C562" s="7">
        <v>54</v>
      </c>
      <c r="D562" s="7">
        <v>1</v>
      </c>
      <c r="E562" s="7">
        <v>1</v>
      </c>
      <c r="F562" s="7">
        <v>0</v>
      </c>
      <c r="G562" s="7">
        <v>1</v>
      </c>
      <c r="H562" s="7">
        <v>0</v>
      </c>
      <c r="I562" s="7">
        <v>16</v>
      </c>
      <c r="J562" s="7">
        <v>1</v>
      </c>
      <c r="K562" s="7">
        <v>74</v>
      </c>
    </row>
    <row r="563" spans="1:11" x14ac:dyDescent="0.25">
      <c r="A563" s="7" t="s">
        <v>1558</v>
      </c>
      <c r="B563" s="7">
        <v>0</v>
      </c>
      <c r="C563" s="7">
        <v>38</v>
      </c>
      <c r="D563" s="7">
        <v>0</v>
      </c>
      <c r="E563" s="7">
        <v>1</v>
      </c>
      <c r="F563" s="7">
        <v>0</v>
      </c>
      <c r="G563" s="7">
        <v>1</v>
      </c>
      <c r="H563" s="7">
        <v>0</v>
      </c>
      <c r="I563" s="7">
        <v>5</v>
      </c>
      <c r="J563" s="7">
        <v>0</v>
      </c>
      <c r="K563" s="7">
        <v>45</v>
      </c>
    </row>
    <row r="564" spans="1:11" x14ac:dyDescent="0.25">
      <c r="A564" s="7" t="s">
        <v>1559</v>
      </c>
      <c r="B564" s="7">
        <v>0</v>
      </c>
      <c r="C564" s="7">
        <v>13</v>
      </c>
      <c r="D564" s="7">
        <v>0</v>
      </c>
      <c r="E564" s="7">
        <v>3</v>
      </c>
      <c r="F564" s="7">
        <v>0</v>
      </c>
      <c r="G564" s="7">
        <v>0</v>
      </c>
      <c r="H564" s="7">
        <v>0</v>
      </c>
      <c r="I564" s="7">
        <v>44</v>
      </c>
      <c r="J564" s="7">
        <v>1</v>
      </c>
      <c r="K564" s="7">
        <v>61</v>
      </c>
    </row>
    <row r="565" spans="1:11" x14ac:dyDescent="0.25">
      <c r="A565" s="7" t="s">
        <v>1560</v>
      </c>
      <c r="B565" s="7">
        <v>0</v>
      </c>
      <c r="C565" s="7">
        <v>35</v>
      </c>
      <c r="D565" s="7">
        <v>0</v>
      </c>
      <c r="E565" s="7">
        <v>2</v>
      </c>
      <c r="F565" s="7">
        <v>0</v>
      </c>
      <c r="G565" s="7">
        <v>1</v>
      </c>
      <c r="H565" s="7">
        <v>0</v>
      </c>
      <c r="I565" s="7">
        <v>39</v>
      </c>
      <c r="J565" s="7">
        <v>0</v>
      </c>
      <c r="K565" s="7">
        <v>77</v>
      </c>
    </row>
    <row r="566" spans="1:11" x14ac:dyDescent="0.25">
      <c r="A566" s="7" t="s">
        <v>1561</v>
      </c>
      <c r="B566" s="7">
        <v>0</v>
      </c>
      <c r="C566" s="7">
        <v>59</v>
      </c>
      <c r="D566" s="7">
        <v>0</v>
      </c>
      <c r="E566" s="7">
        <v>0</v>
      </c>
      <c r="F566" s="7">
        <v>0</v>
      </c>
      <c r="G566" s="7">
        <v>2</v>
      </c>
      <c r="H566" s="7">
        <v>0</v>
      </c>
      <c r="I566" s="7">
        <v>0</v>
      </c>
      <c r="J566" s="7">
        <v>0</v>
      </c>
      <c r="K566" s="7">
        <v>61</v>
      </c>
    </row>
    <row r="567" spans="1:11" x14ac:dyDescent="0.25">
      <c r="A567" s="7" t="s">
        <v>1562</v>
      </c>
      <c r="B567" s="7">
        <v>0</v>
      </c>
      <c r="C567" s="7">
        <v>24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41</v>
      </c>
      <c r="J567" s="7">
        <v>0</v>
      </c>
      <c r="K567" s="7">
        <v>65</v>
      </c>
    </row>
    <row r="568" spans="1:11" x14ac:dyDescent="0.25">
      <c r="A568" s="7" t="s">
        <v>1563</v>
      </c>
      <c r="B568" s="7">
        <v>0</v>
      </c>
      <c r="C568" s="7">
        <v>47</v>
      </c>
      <c r="D568" s="7">
        <v>0</v>
      </c>
      <c r="E568" s="7">
        <v>2</v>
      </c>
      <c r="F568" s="7">
        <v>0</v>
      </c>
      <c r="G568" s="7">
        <v>0</v>
      </c>
      <c r="H568" s="7">
        <v>0</v>
      </c>
      <c r="I568" s="7">
        <v>23</v>
      </c>
      <c r="J568" s="7">
        <v>12</v>
      </c>
      <c r="K568" s="7">
        <v>84</v>
      </c>
    </row>
    <row r="569" spans="1:11" x14ac:dyDescent="0.25">
      <c r="A569" s="7" t="s">
        <v>1564</v>
      </c>
      <c r="B569" s="7">
        <v>0</v>
      </c>
      <c r="C569" s="7">
        <v>43</v>
      </c>
      <c r="D569" s="7">
        <v>1</v>
      </c>
      <c r="E569" s="7">
        <v>0</v>
      </c>
      <c r="F569" s="7">
        <v>0</v>
      </c>
      <c r="G569" s="7">
        <v>0</v>
      </c>
      <c r="H569" s="7">
        <v>0</v>
      </c>
      <c r="I569" s="7">
        <v>9</v>
      </c>
      <c r="J569" s="7">
        <v>0</v>
      </c>
      <c r="K569" s="7">
        <v>53</v>
      </c>
    </row>
    <row r="570" spans="1:11" x14ac:dyDescent="0.25">
      <c r="A570" s="7" t="s">
        <v>1565</v>
      </c>
      <c r="B570" s="7">
        <v>0</v>
      </c>
      <c r="C570" s="7">
        <v>11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32</v>
      </c>
      <c r="J570" s="7">
        <v>0</v>
      </c>
      <c r="K570" s="7">
        <v>43</v>
      </c>
    </row>
    <row r="571" spans="1:11" x14ac:dyDescent="0.25">
      <c r="A571" s="7" t="s">
        <v>1566</v>
      </c>
      <c r="B571" s="7">
        <v>0</v>
      </c>
      <c r="C571" s="7">
        <v>11</v>
      </c>
      <c r="D571" s="7">
        <v>0</v>
      </c>
      <c r="E571" s="7">
        <v>1</v>
      </c>
      <c r="F571" s="7">
        <v>0</v>
      </c>
      <c r="G571" s="7">
        <v>1</v>
      </c>
      <c r="H571" s="7">
        <v>0</v>
      </c>
      <c r="I571" s="7">
        <v>29</v>
      </c>
      <c r="J571" s="7">
        <v>0</v>
      </c>
      <c r="K571" s="7">
        <v>42</v>
      </c>
    </row>
    <row r="572" spans="1:11" x14ac:dyDescent="0.25">
      <c r="A572" s="7" t="s">
        <v>1567</v>
      </c>
      <c r="B572" s="7">
        <v>0</v>
      </c>
      <c r="C572" s="7">
        <v>16</v>
      </c>
      <c r="D572" s="7">
        <v>3</v>
      </c>
      <c r="E572" s="7">
        <v>2</v>
      </c>
      <c r="F572" s="7">
        <v>1</v>
      </c>
      <c r="G572" s="7">
        <v>0</v>
      </c>
      <c r="H572" s="7">
        <v>0</v>
      </c>
      <c r="I572" s="7">
        <v>46</v>
      </c>
      <c r="J572" s="7">
        <v>0</v>
      </c>
      <c r="K572" s="7">
        <v>68</v>
      </c>
    </row>
    <row r="573" spans="1:11" x14ac:dyDescent="0.25">
      <c r="A573" s="7" t="s">
        <v>1568</v>
      </c>
      <c r="B573" s="7">
        <v>0</v>
      </c>
      <c r="C573" s="7">
        <v>10</v>
      </c>
      <c r="D573" s="7">
        <v>0</v>
      </c>
      <c r="E573" s="7">
        <v>2</v>
      </c>
      <c r="F573" s="7">
        <v>0</v>
      </c>
      <c r="G573" s="7">
        <v>0</v>
      </c>
      <c r="H573" s="7">
        <v>0</v>
      </c>
      <c r="I573" s="7">
        <v>37</v>
      </c>
      <c r="J573" s="7">
        <v>0</v>
      </c>
      <c r="K573" s="7">
        <v>49</v>
      </c>
    </row>
    <row r="574" spans="1:11" x14ac:dyDescent="0.25">
      <c r="A574" s="7" t="s">
        <v>1569</v>
      </c>
      <c r="B574" s="7">
        <v>0</v>
      </c>
      <c r="C574" s="7">
        <v>13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23</v>
      </c>
      <c r="J574" s="7">
        <v>0</v>
      </c>
      <c r="K574" s="7">
        <v>36</v>
      </c>
    </row>
    <row r="575" spans="1:11" x14ac:dyDescent="0.25">
      <c r="A575" s="7" t="s">
        <v>1570</v>
      </c>
      <c r="B575" s="7">
        <v>0</v>
      </c>
      <c r="C575" s="7">
        <v>84</v>
      </c>
      <c r="D575" s="7">
        <v>0</v>
      </c>
      <c r="E575" s="7">
        <v>0</v>
      </c>
      <c r="F575" s="7">
        <v>0</v>
      </c>
      <c r="G575" s="7">
        <v>1</v>
      </c>
      <c r="H575" s="7">
        <v>0</v>
      </c>
      <c r="I575" s="7">
        <v>1</v>
      </c>
      <c r="J575" s="7">
        <v>0</v>
      </c>
      <c r="K575" s="7">
        <v>86</v>
      </c>
    </row>
    <row r="576" spans="1:11" x14ac:dyDescent="0.25">
      <c r="A576" s="7" t="s">
        <v>1571</v>
      </c>
      <c r="B576" s="7">
        <v>0</v>
      </c>
      <c r="C576" s="7">
        <v>108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1</v>
      </c>
      <c r="J576" s="7">
        <v>0</v>
      </c>
      <c r="K576" s="7">
        <v>110</v>
      </c>
    </row>
    <row r="577" spans="1:11" x14ac:dyDescent="0.25">
      <c r="A577" s="7" t="s">
        <v>1572</v>
      </c>
      <c r="B577" s="7">
        <v>0</v>
      </c>
      <c r="C577" s="7">
        <v>105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106</v>
      </c>
    </row>
    <row r="578" spans="1:11" x14ac:dyDescent="0.25">
      <c r="A578" s="7" t="s">
        <v>1573</v>
      </c>
      <c r="B578" s="7">
        <v>0</v>
      </c>
      <c r="C578" s="7">
        <v>106</v>
      </c>
      <c r="D578" s="7">
        <v>5</v>
      </c>
      <c r="E578" s="7">
        <v>0</v>
      </c>
      <c r="F578" s="7">
        <v>0</v>
      </c>
      <c r="G578" s="7">
        <v>2</v>
      </c>
      <c r="H578" s="7">
        <v>0</v>
      </c>
      <c r="I578" s="7">
        <v>2</v>
      </c>
      <c r="J578" s="7">
        <v>1</v>
      </c>
      <c r="K578" s="7">
        <v>116</v>
      </c>
    </row>
    <row r="579" spans="1:11" x14ac:dyDescent="0.25">
      <c r="A579" s="7" t="s">
        <v>1574</v>
      </c>
      <c r="B579" s="7">
        <v>0</v>
      </c>
      <c r="C579" s="7">
        <v>99</v>
      </c>
      <c r="D579" s="7">
        <v>1</v>
      </c>
      <c r="E579" s="7">
        <v>0</v>
      </c>
      <c r="F579" s="7">
        <v>0</v>
      </c>
      <c r="G579" s="7">
        <v>0</v>
      </c>
      <c r="H579" s="7">
        <v>0</v>
      </c>
      <c r="I579" s="7">
        <v>0</v>
      </c>
      <c r="J579" s="7">
        <v>0</v>
      </c>
      <c r="K579" s="7">
        <v>100</v>
      </c>
    </row>
    <row r="580" spans="1:11" x14ac:dyDescent="0.25">
      <c r="A580" s="7" t="s">
        <v>1575</v>
      </c>
      <c r="B580" s="7">
        <v>0</v>
      </c>
      <c r="C580" s="7">
        <v>45</v>
      </c>
      <c r="D580" s="7">
        <v>14</v>
      </c>
      <c r="E580" s="7">
        <v>0</v>
      </c>
      <c r="F580" s="7">
        <v>0</v>
      </c>
      <c r="G580" s="7">
        <v>0</v>
      </c>
      <c r="H580" s="7">
        <v>0</v>
      </c>
      <c r="I580" s="7">
        <v>1</v>
      </c>
      <c r="J580" s="7">
        <v>15</v>
      </c>
      <c r="K580" s="7">
        <v>75</v>
      </c>
    </row>
    <row r="581" spans="1:11" x14ac:dyDescent="0.25">
      <c r="A581" s="7" t="s">
        <v>1576</v>
      </c>
      <c r="B581" s="7">
        <v>0</v>
      </c>
      <c r="C581" s="7">
        <v>31</v>
      </c>
      <c r="D581" s="7">
        <v>3</v>
      </c>
      <c r="E581" s="7">
        <v>1</v>
      </c>
      <c r="F581" s="7">
        <v>1</v>
      </c>
      <c r="G581" s="7">
        <v>0</v>
      </c>
      <c r="H581" s="7">
        <v>0</v>
      </c>
      <c r="I581" s="7">
        <v>29</v>
      </c>
      <c r="J581" s="7">
        <v>8</v>
      </c>
      <c r="K581" s="7">
        <v>73</v>
      </c>
    </row>
    <row r="582" spans="1:11" x14ac:dyDescent="0.25">
      <c r="A582" s="7" t="s">
        <v>1577</v>
      </c>
      <c r="B582" s="7">
        <v>0</v>
      </c>
      <c r="C582" s="7">
        <v>57</v>
      </c>
      <c r="D582" s="7">
        <v>0</v>
      </c>
      <c r="E582" s="7">
        <v>0</v>
      </c>
      <c r="F582" s="7">
        <v>0</v>
      </c>
      <c r="G582" s="7">
        <v>1</v>
      </c>
      <c r="H582" s="7">
        <v>0</v>
      </c>
      <c r="I582" s="7">
        <v>18</v>
      </c>
      <c r="J582" s="7">
        <v>0</v>
      </c>
      <c r="K582" s="7">
        <v>76</v>
      </c>
    </row>
    <row r="583" spans="1:11" x14ac:dyDescent="0.25">
      <c r="A583" s="7" t="s">
        <v>1578</v>
      </c>
      <c r="B583" s="7">
        <v>0</v>
      </c>
      <c r="C583" s="7">
        <v>27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47</v>
      </c>
      <c r="J583" s="7">
        <v>0</v>
      </c>
      <c r="K583" s="7">
        <v>75</v>
      </c>
    </row>
    <row r="584" spans="1:11" x14ac:dyDescent="0.25">
      <c r="A584" s="7" t="s">
        <v>1579</v>
      </c>
      <c r="B584" s="7">
        <v>0</v>
      </c>
      <c r="C584" s="7">
        <v>30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24</v>
      </c>
      <c r="J584" s="7">
        <v>0</v>
      </c>
      <c r="K584" s="7">
        <v>55</v>
      </c>
    </row>
    <row r="585" spans="1:11" x14ac:dyDescent="0.25">
      <c r="A585" s="7" t="s">
        <v>1580</v>
      </c>
      <c r="B585" s="7">
        <v>0</v>
      </c>
      <c r="C585" s="7">
        <v>56</v>
      </c>
      <c r="D585" s="7">
        <v>1</v>
      </c>
      <c r="E585" s="7">
        <v>0</v>
      </c>
      <c r="F585" s="7">
        <v>0</v>
      </c>
      <c r="G585" s="7">
        <v>3</v>
      </c>
      <c r="H585" s="7">
        <v>0</v>
      </c>
      <c r="I585" s="7">
        <v>2</v>
      </c>
      <c r="J585" s="7">
        <v>0</v>
      </c>
      <c r="K585" s="7">
        <v>62</v>
      </c>
    </row>
    <row r="586" spans="1:11" x14ac:dyDescent="0.25">
      <c r="A586" s="7" t="s">
        <v>1581</v>
      </c>
      <c r="B586" s="7">
        <v>0</v>
      </c>
      <c r="C586" s="7">
        <v>3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54</v>
      </c>
      <c r="J586" s="7">
        <v>0</v>
      </c>
      <c r="K586" s="7">
        <v>57</v>
      </c>
    </row>
    <row r="587" spans="1:11" x14ac:dyDescent="0.25">
      <c r="A587" s="7" t="s">
        <v>1582</v>
      </c>
      <c r="B587" s="7">
        <v>0</v>
      </c>
      <c r="C587" s="7">
        <v>89</v>
      </c>
      <c r="D587" s="7">
        <v>0</v>
      </c>
      <c r="E587" s="7">
        <v>0</v>
      </c>
      <c r="F587" s="7">
        <v>1</v>
      </c>
      <c r="G587" s="7">
        <v>2</v>
      </c>
      <c r="H587" s="7">
        <v>0</v>
      </c>
      <c r="I587" s="7">
        <v>0</v>
      </c>
      <c r="J587" s="7">
        <v>0</v>
      </c>
      <c r="K587" s="7">
        <v>92</v>
      </c>
    </row>
    <row r="588" spans="1:11" x14ac:dyDescent="0.25">
      <c r="A588" s="7" t="s">
        <v>1583</v>
      </c>
      <c r="B588" s="7">
        <v>0</v>
      </c>
      <c r="C588" s="7">
        <v>66</v>
      </c>
      <c r="D588" s="7">
        <v>0</v>
      </c>
      <c r="E588" s="7">
        <v>0</v>
      </c>
      <c r="F588" s="7">
        <v>1</v>
      </c>
      <c r="G588" s="7">
        <v>0</v>
      </c>
      <c r="H588" s="7">
        <v>0</v>
      </c>
      <c r="I588" s="7">
        <v>1</v>
      </c>
      <c r="J588" s="7">
        <v>0</v>
      </c>
      <c r="K588" s="7">
        <v>68</v>
      </c>
    </row>
    <row r="589" spans="1:11" x14ac:dyDescent="0.25">
      <c r="A589" s="7" t="s">
        <v>1584</v>
      </c>
      <c r="B589" s="7">
        <v>0</v>
      </c>
      <c r="C589" s="7">
        <v>42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42</v>
      </c>
    </row>
    <row r="590" spans="1:11" x14ac:dyDescent="0.25">
      <c r="A590" s="7" t="s">
        <v>1585</v>
      </c>
      <c r="B590" s="7">
        <v>0</v>
      </c>
      <c r="C590" s="7">
        <v>52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6</v>
      </c>
      <c r="J590" s="7">
        <v>5</v>
      </c>
      <c r="K590" s="7">
        <v>63</v>
      </c>
    </row>
    <row r="591" spans="1:11" x14ac:dyDescent="0.25">
      <c r="A591" s="7" t="s">
        <v>1586</v>
      </c>
      <c r="B591" s="7">
        <v>0</v>
      </c>
      <c r="C591" s="7">
        <v>39</v>
      </c>
      <c r="D591" s="7">
        <v>0</v>
      </c>
      <c r="E591" s="7">
        <v>1</v>
      </c>
      <c r="F591" s="7">
        <v>0</v>
      </c>
      <c r="G591" s="7">
        <v>0</v>
      </c>
      <c r="H591" s="7">
        <v>0</v>
      </c>
      <c r="I591" s="7">
        <v>0</v>
      </c>
      <c r="J591" s="7">
        <v>12</v>
      </c>
      <c r="K591" s="7">
        <v>52</v>
      </c>
    </row>
    <row r="592" spans="1:11" x14ac:dyDescent="0.25">
      <c r="A592" s="7" t="s">
        <v>1587</v>
      </c>
      <c r="B592" s="7">
        <v>0</v>
      </c>
      <c r="C592" s="7">
        <v>32</v>
      </c>
      <c r="D592" s="7">
        <v>0</v>
      </c>
      <c r="E592" s="7">
        <v>1</v>
      </c>
      <c r="F592" s="7">
        <v>0</v>
      </c>
      <c r="G592" s="7">
        <v>0</v>
      </c>
      <c r="H592" s="7">
        <v>0</v>
      </c>
      <c r="I592" s="7">
        <v>20</v>
      </c>
      <c r="J592" s="7">
        <v>0</v>
      </c>
      <c r="K592" s="7">
        <v>53</v>
      </c>
    </row>
    <row r="593" spans="1:11" x14ac:dyDescent="0.25">
      <c r="A593" s="7" t="s">
        <v>1588</v>
      </c>
      <c r="B593" s="7">
        <v>0</v>
      </c>
      <c r="C593" s="7">
        <v>32</v>
      </c>
      <c r="D593" s="7">
        <v>1</v>
      </c>
      <c r="E593" s="7">
        <v>3</v>
      </c>
      <c r="F593" s="7">
        <v>2</v>
      </c>
      <c r="G593" s="7">
        <v>0</v>
      </c>
      <c r="H593" s="7">
        <v>0</v>
      </c>
      <c r="I593" s="7">
        <v>7</v>
      </c>
      <c r="J593" s="7">
        <v>9</v>
      </c>
      <c r="K593" s="7">
        <v>54</v>
      </c>
    </row>
    <row r="594" spans="1:11" x14ac:dyDescent="0.25">
      <c r="A594" s="7" t="s">
        <v>1589</v>
      </c>
      <c r="B594" s="7">
        <v>0</v>
      </c>
      <c r="C594" s="7">
        <v>26</v>
      </c>
      <c r="D594" s="7">
        <v>5</v>
      </c>
      <c r="E594" s="7">
        <v>0</v>
      </c>
      <c r="F594" s="7">
        <v>0</v>
      </c>
      <c r="G594" s="7">
        <v>0</v>
      </c>
      <c r="H594" s="7">
        <v>0</v>
      </c>
      <c r="I594" s="7">
        <v>12</v>
      </c>
      <c r="J594" s="7">
        <v>1</v>
      </c>
      <c r="K594" s="7">
        <v>44</v>
      </c>
    </row>
    <row r="595" spans="1:11" x14ac:dyDescent="0.25">
      <c r="A595" s="7" t="s">
        <v>1590</v>
      </c>
      <c r="B595" s="7">
        <v>0</v>
      </c>
      <c r="C595" s="7">
        <v>50</v>
      </c>
      <c r="D595" s="7">
        <v>3</v>
      </c>
      <c r="E595" s="7">
        <v>0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54</v>
      </c>
    </row>
    <row r="596" spans="1:11" x14ac:dyDescent="0.25">
      <c r="A596" s="7" t="s">
        <v>1591</v>
      </c>
      <c r="B596" s="7">
        <v>0</v>
      </c>
      <c r="C596" s="7">
        <v>107</v>
      </c>
      <c r="D596" s="7">
        <v>1</v>
      </c>
      <c r="E596" s="7">
        <v>3</v>
      </c>
      <c r="F596" s="7">
        <v>0</v>
      </c>
      <c r="G596" s="7">
        <v>0</v>
      </c>
      <c r="H596" s="7">
        <v>0</v>
      </c>
      <c r="I596" s="7">
        <v>0</v>
      </c>
      <c r="J596" s="7">
        <v>2</v>
      </c>
      <c r="K596" s="7">
        <v>113</v>
      </c>
    </row>
    <row r="597" spans="1:11" x14ac:dyDescent="0.25">
      <c r="A597" s="7" t="s">
        <v>1592</v>
      </c>
      <c r="B597" s="7">
        <v>0</v>
      </c>
      <c r="C597" s="7">
        <v>36</v>
      </c>
      <c r="D597" s="7">
        <v>1</v>
      </c>
      <c r="E597" s="7">
        <v>0</v>
      </c>
      <c r="F597" s="7">
        <v>15</v>
      </c>
      <c r="G597" s="7">
        <v>0</v>
      </c>
      <c r="H597" s="7">
        <v>0</v>
      </c>
      <c r="I597" s="7">
        <v>6</v>
      </c>
      <c r="J597" s="7">
        <v>0</v>
      </c>
      <c r="K597" s="7">
        <v>58</v>
      </c>
    </row>
    <row r="598" spans="1:11" x14ac:dyDescent="0.25">
      <c r="A598" s="7" t="s">
        <v>1593</v>
      </c>
      <c r="B598" s="7">
        <v>0</v>
      </c>
      <c r="C598" s="7">
        <v>44</v>
      </c>
      <c r="D598" s="7">
        <v>2</v>
      </c>
      <c r="E598" s="7">
        <v>0</v>
      </c>
      <c r="F598" s="7">
        <v>0</v>
      </c>
      <c r="G598" s="7">
        <v>1</v>
      </c>
      <c r="H598" s="7">
        <v>0</v>
      </c>
      <c r="I598" s="7">
        <v>27</v>
      </c>
      <c r="J598" s="7">
        <v>0</v>
      </c>
      <c r="K598" s="7">
        <v>74</v>
      </c>
    </row>
    <row r="599" spans="1:11" x14ac:dyDescent="0.25">
      <c r="A599" s="7" t="s">
        <v>1594</v>
      </c>
      <c r="B599" s="7">
        <v>0</v>
      </c>
      <c r="C599" s="7">
        <v>48</v>
      </c>
      <c r="D599" s="7">
        <v>0</v>
      </c>
      <c r="E599" s="7">
        <v>0</v>
      </c>
      <c r="F599" s="7">
        <v>1</v>
      </c>
      <c r="G599" s="7">
        <v>0</v>
      </c>
      <c r="H599" s="7">
        <v>0</v>
      </c>
      <c r="I599" s="7">
        <v>0</v>
      </c>
      <c r="J599" s="7">
        <v>0</v>
      </c>
      <c r="K599" s="7">
        <v>49</v>
      </c>
    </row>
    <row r="600" spans="1:11" x14ac:dyDescent="0.25">
      <c r="A600" s="7" t="s">
        <v>1595</v>
      </c>
      <c r="B600" s="7">
        <v>0</v>
      </c>
      <c r="C600" s="7">
        <v>47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47</v>
      </c>
    </row>
    <row r="601" spans="1:11" x14ac:dyDescent="0.25">
      <c r="A601" s="7" t="s">
        <v>1596</v>
      </c>
      <c r="B601" s="7">
        <v>0</v>
      </c>
      <c r="C601" s="7">
        <v>39</v>
      </c>
      <c r="D601" s="7">
        <v>0</v>
      </c>
      <c r="E601" s="7">
        <v>0</v>
      </c>
      <c r="F601" s="7">
        <v>0</v>
      </c>
      <c r="G601" s="7">
        <v>1</v>
      </c>
      <c r="H601" s="7">
        <v>0</v>
      </c>
      <c r="I601" s="7">
        <v>0</v>
      </c>
      <c r="J601" s="7">
        <v>1</v>
      </c>
      <c r="K601" s="7">
        <v>41</v>
      </c>
    </row>
    <row r="602" spans="1:11" x14ac:dyDescent="0.25">
      <c r="A602" s="7" t="s">
        <v>1597</v>
      </c>
      <c r="B602" s="7">
        <v>0</v>
      </c>
      <c r="C602" s="7">
        <v>48</v>
      </c>
      <c r="D602" s="7">
        <v>0</v>
      </c>
      <c r="E602" s="7">
        <v>1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50</v>
      </c>
    </row>
    <row r="603" spans="1:11" x14ac:dyDescent="0.25">
      <c r="A603" s="7" t="s">
        <v>1598</v>
      </c>
      <c r="B603" s="7">
        <v>0</v>
      </c>
      <c r="C603" s="7">
        <v>25</v>
      </c>
      <c r="D603" s="7">
        <v>1</v>
      </c>
      <c r="E603" s="7">
        <v>0</v>
      </c>
      <c r="F603" s="7">
        <v>0</v>
      </c>
      <c r="G603" s="7">
        <v>0</v>
      </c>
      <c r="H603" s="7">
        <v>0</v>
      </c>
      <c r="I603" s="7">
        <v>2</v>
      </c>
      <c r="J603" s="7">
        <v>1</v>
      </c>
      <c r="K603" s="7">
        <v>29</v>
      </c>
    </row>
    <row r="604" spans="1:11" x14ac:dyDescent="0.25">
      <c r="A604" s="7" t="s">
        <v>1599</v>
      </c>
      <c r="B604" s="7">
        <v>0</v>
      </c>
      <c r="C604" s="7">
        <v>24</v>
      </c>
      <c r="D604" s="7">
        <v>2</v>
      </c>
      <c r="E604" s="7">
        <v>0</v>
      </c>
      <c r="F604" s="7">
        <v>0</v>
      </c>
      <c r="G604" s="7">
        <v>0</v>
      </c>
      <c r="H604" s="7">
        <v>0</v>
      </c>
      <c r="I604" s="7">
        <v>6</v>
      </c>
      <c r="J604" s="7">
        <v>0</v>
      </c>
      <c r="K604" s="7">
        <v>32</v>
      </c>
    </row>
    <row r="605" spans="1:11" x14ac:dyDescent="0.25">
      <c r="A605" s="7" t="s">
        <v>1600</v>
      </c>
      <c r="B605" s="7">
        <v>0</v>
      </c>
      <c r="C605" s="7">
        <v>44</v>
      </c>
      <c r="D605" s="7">
        <v>0</v>
      </c>
      <c r="E605" s="7">
        <v>0</v>
      </c>
      <c r="F605" s="7">
        <v>0</v>
      </c>
      <c r="G605" s="7">
        <v>2</v>
      </c>
      <c r="H605" s="7">
        <v>0</v>
      </c>
      <c r="I605" s="7">
        <v>0</v>
      </c>
      <c r="J605" s="7">
        <v>0</v>
      </c>
      <c r="K605" s="7">
        <v>46</v>
      </c>
    </row>
    <row r="606" spans="1:11" x14ac:dyDescent="0.25">
      <c r="A606" s="7" t="s">
        <v>1601</v>
      </c>
      <c r="B606" s="7">
        <v>0</v>
      </c>
      <c r="C606" s="7">
        <v>57</v>
      </c>
      <c r="D606" s="7">
        <v>0</v>
      </c>
      <c r="E606" s="7">
        <v>0</v>
      </c>
      <c r="F606" s="7">
        <v>0</v>
      </c>
      <c r="G606" s="7">
        <v>5</v>
      </c>
      <c r="H606" s="7">
        <v>0</v>
      </c>
      <c r="I606" s="7">
        <v>0</v>
      </c>
      <c r="J606" s="7">
        <v>0</v>
      </c>
      <c r="K606" s="7">
        <v>62</v>
      </c>
    </row>
    <row r="607" spans="1:11" x14ac:dyDescent="0.25">
      <c r="A607" s="7" t="s">
        <v>1602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57</v>
      </c>
    </row>
    <row r="608" spans="1:11" x14ac:dyDescent="0.25">
      <c r="A608" s="7" t="s">
        <v>1603</v>
      </c>
      <c r="B608" s="7">
        <v>0</v>
      </c>
      <c r="C608" s="7">
        <v>38</v>
      </c>
      <c r="D608" s="7">
        <v>1</v>
      </c>
      <c r="E608" s="7">
        <v>0</v>
      </c>
      <c r="F608" s="7">
        <v>0</v>
      </c>
      <c r="G608" s="7">
        <v>1</v>
      </c>
      <c r="H608" s="7">
        <v>0</v>
      </c>
      <c r="I608" s="7">
        <v>0</v>
      </c>
      <c r="J608" s="7">
        <v>2</v>
      </c>
      <c r="K608" s="7">
        <v>42</v>
      </c>
    </row>
    <row r="609" spans="1:11" x14ac:dyDescent="0.25">
      <c r="A609" s="7" t="s">
        <v>1604</v>
      </c>
      <c r="B609" s="7">
        <v>0</v>
      </c>
      <c r="C609" s="7">
        <v>52</v>
      </c>
      <c r="D609" s="7">
        <v>0</v>
      </c>
      <c r="E609" s="7">
        <v>0</v>
      </c>
      <c r="F609" s="7">
        <v>3</v>
      </c>
      <c r="G609" s="7">
        <v>1</v>
      </c>
      <c r="H609" s="7">
        <v>0</v>
      </c>
      <c r="I609" s="7">
        <v>0</v>
      </c>
      <c r="J609" s="7">
        <v>4</v>
      </c>
      <c r="K609" s="7">
        <v>60</v>
      </c>
    </row>
    <row r="610" spans="1:11" x14ac:dyDescent="0.25">
      <c r="A610" s="7" t="s">
        <v>1605</v>
      </c>
      <c r="B610" s="7">
        <v>0</v>
      </c>
      <c r="C610" s="7">
        <v>69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0</v>
      </c>
      <c r="J610" s="7">
        <v>2</v>
      </c>
      <c r="K610" s="7">
        <v>71</v>
      </c>
    </row>
    <row r="611" spans="1:11" x14ac:dyDescent="0.25">
      <c r="A611" s="7" t="s">
        <v>1606</v>
      </c>
      <c r="B611" s="7">
        <v>0</v>
      </c>
      <c r="C611" s="7">
        <v>36</v>
      </c>
      <c r="D611" s="7">
        <v>1</v>
      </c>
      <c r="E611" s="7">
        <v>0</v>
      </c>
      <c r="F611" s="7">
        <v>0</v>
      </c>
      <c r="G611" s="7">
        <v>0</v>
      </c>
      <c r="H611" s="7">
        <v>0</v>
      </c>
      <c r="I611" s="7">
        <v>2</v>
      </c>
      <c r="J611" s="7">
        <v>2</v>
      </c>
      <c r="K611" s="7">
        <v>41</v>
      </c>
    </row>
    <row r="612" spans="1:11" x14ac:dyDescent="0.25">
      <c r="A612" s="7" t="s">
        <v>1607</v>
      </c>
      <c r="B612" s="7">
        <v>0</v>
      </c>
      <c r="C612" s="7">
        <v>61</v>
      </c>
      <c r="D612" s="7">
        <v>1</v>
      </c>
      <c r="E612" s="7">
        <v>0</v>
      </c>
      <c r="F612" s="7">
        <v>0</v>
      </c>
      <c r="G612" s="7">
        <v>0</v>
      </c>
      <c r="H612" s="7">
        <v>0</v>
      </c>
      <c r="I612" s="7">
        <v>2</v>
      </c>
      <c r="J612" s="7">
        <v>0</v>
      </c>
      <c r="K612" s="7">
        <v>64</v>
      </c>
    </row>
    <row r="613" spans="1:11" x14ac:dyDescent="0.25">
      <c r="A613" s="7" t="s">
        <v>1608</v>
      </c>
      <c r="B613" s="7">
        <v>0</v>
      </c>
      <c r="C613" s="7">
        <v>46</v>
      </c>
      <c r="D613" s="7">
        <v>0</v>
      </c>
      <c r="E613" s="7">
        <v>0</v>
      </c>
      <c r="F613" s="7">
        <v>2</v>
      </c>
      <c r="G613" s="7">
        <v>0</v>
      </c>
      <c r="H613" s="7">
        <v>0</v>
      </c>
      <c r="I613" s="7">
        <v>1</v>
      </c>
      <c r="J613" s="7">
        <v>0</v>
      </c>
      <c r="K613" s="7">
        <v>49</v>
      </c>
    </row>
    <row r="614" spans="1:11" x14ac:dyDescent="0.25">
      <c r="A614" s="7" t="s">
        <v>1609</v>
      </c>
      <c r="B614" s="7">
        <v>0</v>
      </c>
      <c r="C614" s="7">
        <v>54</v>
      </c>
      <c r="D614" s="7">
        <v>0</v>
      </c>
      <c r="E614" s="7">
        <v>0</v>
      </c>
      <c r="F614" s="7">
        <v>1</v>
      </c>
      <c r="G614" s="7">
        <v>1</v>
      </c>
      <c r="H614" s="7">
        <v>0</v>
      </c>
      <c r="I614" s="7">
        <v>1</v>
      </c>
      <c r="J614" s="7">
        <v>0</v>
      </c>
      <c r="K614" s="7">
        <v>57</v>
      </c>
    </row>
    <row r="615" spans="1:11" x14ac:dyDescent="0.25">
      <c r="A615" s="7" t="s">
        <v>1610</v>
      </c>
      <c r="B615" s="7">
        <v>0</v>
      </c>
      <c r="C615" s="7">
        <v>68</v>
      </c>
      <c r="D615" s="7">
        <v>0</v>
      </c>
      <c r="E615" s="7">
        <v>0</v>
      </c>
      <c r="F615" s="7">
        <v>0</v>
      </c>
      <c r="G615" s="7">
        <v>0</v>
      </c>
      <c r="H615" s="7">
        <v>0</v>
      </c>
      <c r="I615" s="7">
        <v>3</v>
      </c>
      <c r="J615" s="7">
        <v>4</v>
      </c>
      <c r="K615" s="7">
        <v>75</v>
      </c>
    </row>
    <row r="616" spans="1:11" x14ac:dyDescent="0.25">
      <c r="A616" s="7" t="s">
        <v>1611</v>
      </c>
      <c r="B616" s="7">
        <v>0</v>
      </c>
      <c r="C616" s="7">
        <v>54</v>
      </c>
      <c r="D616" s="7">
        <v>0</v>
      </c>
      <c r="E616" s="7">
        <v>6</v>
      </c>
      <c r="F616" s="7">
        <v>0</v>
      </c>
      <c r="G616" s="7">
        <v>0</v>
      </c>
      <c r="H616" s="7">
        <v>0</v>
      </c>
      <c r="I616" s="7">
        <v>6</v>
      </c>
      <c r="J616" s="7">
        <v>0</v>
      </c>
      <c r="K616" s="7">
        <v>66</v>
      </c>
    </row>
    <row r="617" spans="1:11" x14ac:dyDescent="0.25">
      <c r="A617" s="7" t="s">
        <v>1612</v>
      </c>
      <c r="B617" s="7">
        <v>0</v>
      </c>
      <c r="C617" s="7">
        <v>60</v>
      </c>
      <c r="D617" s="7">
        <v>1</v>
      </c>
      <c r="E617" s="7">
        <v>1</v>
      </c>
      <c r="F617" s="7">
        <v>1</v>
      </c>
      <c r="G617" s="7">
        <v>2</v>
      </c>
      <c r="H617" s="7">
        <v>0</v>
      </c>
      <c r="I617" s="7">
        <v>11</v>
      </c>
      <c r="J617" s="7">
        <v>2</v>
      </c>
      <c r="K617" s="7">
        <v>78</v>
      </c>
    </row>
    <row r="618" spans="1:11" x14ac:dyDescent="0.25">
      <c r="A618" s="7" t="s">
        <v>1613</v>
      </c>
      <c r="B618" s="7">
        <v>0</v>
      </c>
      <c r="C618" s="7">
        <v>46</v>
      </c>
      <c r="D618" s="7">
        <v>10</v>
      </c>
      <c r="E618" s="7">
        <v>5</v>
      </c>
      <c r="F618" s="7">
        <v>0</v>
      </c>
      <c r="G618" s="7">
        <v>0</v>
      </c>
      <c r="H618" s="7">
        <v>0</v>
      </c>
      <c r="I618" s="7">
        <v>16</v>
      </c>
      <c r="J618" s="7">
        <v>1</v>
      </c>
      <c r="K618" s="7">
        <v>78</v>
      </c>
    </row>
    <row r="619" spans="1:11" x14ac:dyDescent="0.25">
      <c r="A619" s="7" t="s">
        <v>1614</v>
      </c>
      <c r="B619" s="7">
        <v>0</v>
      </c>
      <c r="C619" s="7">
        <v>47</v>
      </c>
      <c r="D619" s="7">
        <v>4</v>
      </c>
      <c r="E619" s="7">
        <v>1</v>
      </c>
      <c r="F619" s="7">
        <v>0</v>
      </c>
      <c r="G619" s="7">
        <v>0</v>
      </c>
      <c r="H619" s="7">
        <v>0</v>
      </c>
      <c r="I619" s="7">
        <v>21</v>
      </c>
      <c r="J619" s="7">
        <v>0</v>
      </c>
      <c r="K619" s="7">
        <v>73</v>
      </c>
    </row>
    <row r="620" spans="1:11" x14ac:dyDescent="0.25">
      <c r="A620" s="7" t="s">
        <v>1615</v>
      </c>
      <c r="B620" s="7">
        <v>0</v>
      </c>
      <c r="C620" s="7">
        <v>44</v>
      </c>
      <c r="D620" s="7">
        <v>4</v>
      </c>
      <c r="E620" s="7">
        <v>1</v>
      </c>
      <c r="F620" s="7">
        <v>0</v>
      </c>
      <c r="G620" s="7">
        <v>1</v>
      </c>
      <c r="H620" s="7">
        <v>0</v>
      </c>
      <c r="I620" s="7">
        <v>2</v>
      </c>
      <c r="J620" s="7">
        <v>0</v>
      </c>
      <c r="K620" s="7">
        <v>52</v>
      </c>
    </row>
    <row r="621" spans="1:11" x14ac:dyDescent="0.25">
      <c r="A621" s="7" t="s">
        <v>1616</v>
      </c>
      <c r="B621" s="7">
        <v>0</v>
      </c>
      <c r="C621" s="7">
        <v>62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1</v>
      </c>
      <c r="J621" s="7">
        <v>0</v>
      </c>
      <c r="K621" s="7">
        <v>63</v>
      </c>
    </row>
    <row r="622" spans="1:11" x14ac:dyDescent="0.25">
      <c r="A622" s="7" t="s">
        <v>1617</v>
      </c>
      <c r="B622" s="7">
        <v>0</v>
      </c>
      <c r="C622" s="7">
        <v>96</v>
      </c>
      <c r="D622" s="7">
        <v>0</v>
      </c>
      <c r="E622" s="7">
        <v>2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98</v>
      </c>
    </row>
    <row r="623" spans="1:11" x14ac:dyDescent="0.25">
      <c r="A623" s="7" t="s">
        <v>1618</v>
      </c>
      <c r="B623" s="7">
        <v>0</v>
      </c>
      <c r="C623" s="7">
        <v>15</v>
      </c>
      <c r="D623" s="7">
        <v>1</v>
      </c>
      <c r="E623" s="7">
        <v>14</v>
      </c>
      <c r="F623" s="7">
        <v>0</v>
      </c>
      <c r="G623" s="7">
        <v>0</v>
      </c>
      <c r="H623" s="7">
        <v>0</v>
      </c>
      <c r="I623" s="7">
        <v>17</v>
      </c>
      <c r="J623" s="7">
        <v>0</v>
      </c>
      <c r="K623" s="7">
        <v>47</v>
      </c>
    </row>
    <row r="624" spans="1:11" x14ac:dyDescent="0.25">
      <c r="A624" s="7" t="s">
        <v>1619</v>
      </c>
      <c r="B624" s="7">
        <v>0</v>
      </c>
      <c r="C624" s="7">
        <v>109</v>
      </c>
      <c r="D624" s="7">
        <v>0</v>
      </c>
      <c r="E624" s="7">
        <v>2</v>
      </c>
      <c r="F624" s="7">
        <v>0</v>
      </c>
      <c r="G624" s="7">
        <v>0</v>
      </c>
      <c r="H624" s="7">
        <v>0</v>
      </c>
      <c r="I624" s="7">
        <v>2</v>
      </c>
      <c r="J624" s="7">
        <v>12</v>
      </c>
      <c r="K624" s="7">
        <v>125</v>
      </c>
    </row>
    <row r="625" spans="1:11" x14ac:dyDescent="0.25">
      <c r="A625" s="7" t="s">
        <v>1620</v>
      </c>
      <c r="B625" s="7">
        <v>0</v>
      </c>
      <c r="C625" s="7">
        <v>35</v>
      </c>
      <c r="D625" s="7">
        <v>2</v>
      </c>
      <c r="E625" s="7">
        <v>19</v>
      </c>
      <c r="F625" s="7">
        <v>0</v>
      </c>
      <c r="G625" s="7">
        <v>0</v>
      </c>
      <c r="H625" s="7">
        <v>0</v>
      </c>
      <c r="I625" s="7">
        <v>21</v>
      </c>
      <c r="J625" s="7">
        <v>4</v>
      </c>
      <c r="K625" s="7">
        <v>81</v>
      </c>
    </row>
    <row r="626" spans="1:11" x14ac:dyDescent="0.25">
      <c r="A626" s="7" t="s">
        <v>1621</v>
      </c>
      <c r="B626" s="7">
        <v>0</v>
      </c>
      <c r="C626" s="7">
        <v>43</v>
      </c>
      <c r="D626" s="7">
        <v>0</v>
      </c>
      <c r="E626" s="7">
        <v>0</v>
      </c>
      <c r="F626" s="7">
        <v>0</v>
      </c>
      <c r="G626" s="7">
        <v>1</v>
      </c>
      <c r="H626" s="7">
        <v>0</v>
      </c>
      <c r="I626" s="7">
        <v>4</v>
      </c>
      <c r="J626" s="7">
        <v>0</v>
      </c>
      <c r="K626" s="7">
        <v>48</v>
      </c>
    </row>
    <row r="627" spans="1:11" x14ac:dyDescent="0.25">
      <c r="A627" s="7" t="s">
        <v>1622</v>
      </c>
      <c r="B627" s="7">
        <v>0</v>
      </c>
      <c r="C627" s="7">
        <v>52</v>
      </c>
      <c r="D627" s="7">
        <v>1</v>
      </c>
      <c r="E627" s="7">
        <v>0</v>
      </c>
      <c r="F627" s="7">
        <v>1</v>
      </c>
      <c r="G627" s="7">
        <v>1</v>
      </c>
      <c r="H627" s="7">
        <v>0</v>
      </c>
      <c r="I627" s="7">
        <v>6</v>
      </c>
      <c r="J627" s="7">
        <v>1</v>
      </c>
      <c r="K627" s="7">
        <v>62</v>
      </c>
    </row>
    <row r="628" spans="1:11" x14ac:dyDescent="0.25">
      <c r="A628" s="7" t="s">
        <v>1623</v>
      </c>
      <c r="B628" s="7">
        <v>0</v>
      </c>
      <c r="C628" s="7">
        <v>59</v>
      </c>
      <c r="D628" s="7">
        <v>1</v>
      </c>
      <c r="E628" s="7">
        <v>0</v>
      </c>
      <c r="F628" s="7">
        <v>0</v>
      </c>
      <c r="G628" s="7">
        <v>5</v>
      </c>
      <c r="H628" s="7">
        <v>0</v>
      </c>
      <c r="I628" s="7">
        <v>7</v>
      </c>
      <c r="J628" s="7">
        <v>0</v>
      </c>
      <c r="K628" s="7">
        <v>72</v>
      </c>
    </row>
    <row r="629" spans="1:11" x14ac:dyDescent="0.25">
      <c r="A629" s="7" t="s">
        <v>1624</v>
      </c>
      <c r="B629" s="7">
        <v>0</v>
      </c>
      <c r="C629" s="7">
        <v>38</v>
      </c>
      <c r="D629" s="7">
        <v>0</v>
      </c>
      <c r="E629" s="7">
        <v>2</v>
      </c>
      <c r="F629" s="7">
        <v>0</v>
      </c>
      <c r="G629" s="7">
        <v>3</v>
      </c>
      <c r="H629" s="7">
        <v>0</v>
      </c>
      <c r="I629" s="7">
        <v>3</v>
      </c>
      <c r="J629" s="7">
        <v>0</v>
      </c>
      <c r="K629" s="7">
        <v>46</v>
      </c>
    </row>
    <row r="630" spans="1:11" x14ac:dyDescent="0.25">
      <c r="A630" s="7" t="s">
        <v>1625</v>
      </c>
      <c r="B630" s="7">
        <v>0</v>
      </c>
      <c r="C630" s="7">
        <v>28</v>
      </c>
      <c r="D630" s="7">
        <v>0</v>
      </c>
      <c r="E630" s="7">
        <v>1</v>
      </c>
      <c r="F630" s="7">
        <v>0</v>
      </c>
      <c r="G630" s="7">
        <v>0</v>
      </c>
      <c r="H630" s="7">
        <v>0</v>
      </c>
      <c r="I630" s="7">
        <v>5</v>
      </c>
      <c r="J630" s="7">
        <v>0</v>
      </c>
      <c r="K630" s="7">
        <v>34</v>
      </c>
    </row>
    <row r="631" spans="1:11" x14ac:dyDescent="0.25">
      <c r="A631" s="7" t="s">
        <v>1626</v>
      </c>
      <c r="B631" s="7">
        <v>0</v>
      </c>
      <c r="C631" s="7">
        <v>34</v>
      </c>
      <c r="D631" s="7">
        <v>1</v>
      </c>
      <c r="E631" s="7">
        <v>1</v>
      </c>
      <c r="F631" s="7">
        <v>0</v>
      </c>
      <c r="G631" s="7">
        <v>0</v>
      </c>
      <c r="H631" s="7">
        <v>0</v>
      </c>
      <c r="I631" s="7">
        <v>11</v>
      </c>
      <c r="J631" s="7">
        <v>0</v>
      </c>
      <c r="K631" s="7">
        <v>47</v>
      </c>
    </row>
    <row r="632" spans="1:11" x14ac:dyDescent="0.25">
      <c r="A632" s="7" t="s">
        <v>1627</v>
      </c>
      <c r="B632" s="7">
        <v>0</v>
      </c>
      <c r="C632" s="7">
        <v>31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8</v>
      </c>
      <c r="J632" s="7">
        <v>0</v>
      </c>
      <c r="K632" s="7">
        <v>39</v>
      </c>
    </row>
    <row r="633" spans="1:11" x14ac:dyDescent="0.25">
      <c r="A633" s="7" t="s">
        <v>1628</v>
      </c>
      <c r="B633" s="7">
        <v>0</v>
      </c>
      <c r="C633" s="7">
        <v>35</v>
      </c>
      <c r="D633" s="7">
        <v>1</v>
      </c>
      <c r="E633" s="7">
        <v>1</v>
      </c>
      <c r="F633" s="7">
        <v>0</v>
      </c>
      <c r="G633" s="7">
        <v>0</v>
      </c>
      <c r="H633" s="7">
        <v>0</v>
      </c>
      <c r="I633" s="7">
        <v>11</v>
      </c>
      <c r="J633" s="7">
        <v>0</v>
      </c>
      <c r="K633" s="7">
        <v>48</v>
      </c>
    </row>
    <row r="634" spans="1:11" x14ac:dyDescent="0.25">
      <c r="A634" s="7" t="s">
        <v>1629</v>
      </c>
      <c r="B634" s="7">
        <v>0</v>
      </c>
      <c r="C634" s="7">
        <v>25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16</v>
      </c>
      <c r="J634" s="7">
        <v>0</v>
      </c>
      <c r="K634" s="7">
        <v>41</v>
      </c>
    </row>
    <row r="635" spans="1:11" x14ac:dyDescent="0.25">
      <c r="A635" s="7" t="s">
        <v>1630</v>
      </c>
      <c r="B635" s="7">
        <v>0</v>
      </c>
      <c r="C635" s="7">
        <v>18</v>
      </c>
      <c r="D635" s="7">
        <v>3</v>
      </c>
      <c r="E635" s="7">
        <v>24</v>
      </c>
      <c r="F635" s="7">
        <v>0</v>
      </c>
      <c r="G635" s="7">
        <v>0</v>
      </c>
      <c r="H635" s="7">
        <v>0</v>
      </c>
      <c r="I635" s="7">
        <v>15</v>
      </c>
      <c r="J635" s="7">
        <v>0</v>
      </c>
      <c r="K635" s="7">
        <v>60</v>
      </c>
    </row>
    <row r="636" spans="1:11" x14ac:dyDescent="0.25">
      <c r="A636" s="7" t="s">
        <v>1631</v>
      </c>
      <c r="B636" s="7">
        <v>0</v>
      </c>
      <c r="C636" s="7">
        <v>93</v>
      </c>
      <c r="D636" s="7">
        <v>0</v>
      </c>
      <c r="E636" s="7">
        <v>38</v>
      </c>
      <c r="F636" s="7">
        <v>0</v>
      </c>
      <c r="G636" s="7">
        <v>0</v>
      </c>
      <c r="H636" s="7">
        <v>0</v>
      </c>
      <c r="I636" s="7">
        <v>7</v>
      </c>
      <c r="J636" s="7">
        <v>7</v>
      </c>
      <c r="K636" s="7">
        <v>145</v>
      </c>
    </row>
    <row r="637" spans="1:11" x14ac:dyDescent="0.25">
      <c r="A637" s="7" t="s">
        <v>1632</v>
      </c>
      <c r="B637" s="7">
        <v>0</v>
      </c>
      <c r="C637" s="7">
        <v>57</v>
      </c>
      <c r="D637" s="7">
        <v>1</v>
      </c>
      <c r="E637" s="7">
        <v>10</v>
      </c>
      <c r="F637" s="7">
        <v>0</v>
      </c>
      <c r="G637" s="7">
        <v>0</v>
      </c>
      <c r="H637" s="7">
        <v>0</v>
      </c>
      <c r="I637" s="7">
        <v>10</v>
      </c>
      <c r="J637" s="7">
        <v>5</v>
      </c>
      <c r="K637" s="7">
        <v>83</v>
      </c>
    </row>
    <row r="638" spans="1:11" x14ac:dyDescent="0.25">
      <c r="A638" s="7" t="s">
        <v>1633</v>
      </c>
      <c r="B638" s="7">
        <v>0</v>
      </c>
      <c r="C638" s="7">
        <v>64</v>
      </c>
      <c r="D638" s="7">
        <v>0</v>
      </c>
      <c r="E638" s="7">
        <v>3</v>
      </c>
      <c r="F638" s="7">
        <v>2</v>
      </c>
      <c r="G638" s="7">
        <v>0</v>
      </c>
      <c r="H638" s="7">
        <v>0</v>
      </c>
      <c r="I638" s="7">
        <v>1</v>
      </c>
      <c r="J638" s="7">
        <v>0</v>
      </c>
      <c r="K638" s="7">
        <v>70</v>
      </c>
    </row>
    <row r="639" spans="1:11" x14ac:dyDescent="0.25">
      <c r="A639" s="7" t="s">
        <v>1634</v>
      </c>
      <c r="B639" s="7">
        <v>0</v>
      </c>
      <c r="C639" s="7">
        <v>61</v>
      </c>
      <c r="D639" s="7">
        <v>0</v>
      </c>
      <c r="E639" s="7">
        <v>0</v>
      </c>
      <c r="F639" s="7">
        <v>1</v>
      </c>
      <c r="G639" s="7">
        <v>2</v>
      </c>
      <c r="H639" s="7">
        <v>0</v>
      </c>
      <c r="I639" s="7">
        <v>1</v>
      </c>
      <c r="J639" s="7">
        <v>0</v>
      </c>
      <c r="K639" s="7">
        <v>65</v>
      </c>
    </row>
    <row r="640" spans="1:11" x14ac:dyDescent="0.25">
      <c r="A640" s="7" t="s">
        <v>1635</v>
      </c>
      <c r="B640" s="7">
        <v>0</v>
      </c>
      <c r="C640" s="7">
        <v>43</v>
      </c>
      <c r="D640" s="7">
        <v>0</v>
      </c>
      <c r="E640" s="7">
        <v>3</v>
      </c>
      <c r="F640" s="7">
        <v>0</v>
      </c>
      <c r="G640" s="7">
        <v>1</v>
      </c>
      <c r="H640" s="7">
        <v>0</v>
      </c>
      <c r="I640" s="7">
        <v>1</v>
      </c>
      <c r="J640" s="7">
        <v>3</v>
      </c>
      <c r="K640" s="7">
        <v>51</v>
      </c>
    </row>
    <row r="641" spans="1:11" x14ac:dyDescent="0.25">
      <c r="A641" s="7" t="s">
        <v>1636</v>
      </c>
      <c r="B641" s="7">
        <v>0</v>
      </c>
      <c r="C641" s="7">
        <v>79</v>
      </c>
      <c r="D641" s="7">
        <v>0</v>
      </c>
      <c r="E641" s="7">
        <v>20</v>
      </c>
      <c r="F641" s="7">
        <v>0</v>
      </c>
      <c r="G641" s="7">
        <v>1</v>
      </c>
      <c r="H641" s="7">
        <v>0</v>
      </c>
      <c r="I641" s="7">
        <v>9</v>
      </c>
      <c r="J641" s="7">
        <v>0</v>
      </c>
      <c r="K641" s="7">
        <v>109</v>
      </c>
    </row>
    <row r="642" spans="1:11" x14ac:dyDescent="0.25">
      <c r="A642" s="7" t="s">
        <v>1637</v>
      </c>
      <c r="B642" s="7">
        <v>0</v>
      </c>
      <c r="C642" s="7">
        <v>51</v>
      </c>
      <c r="D642" s="7">
        <v>0</v>
      </c>
      <c r="E642" s="7">
        <v>20</v>
      </c>
      <c r="F642" s="7">
        <v>0</v>
      </c>
      <c r="G642" s="7">
        <v>0</v>
      </c>
      <c r="H642" s="7">
        <v>0</v>
      </c>
      <c r="I642" s="7">
        <v>0</v>
      </c>
      <c r="J642" s="7">
        <v>5</v>
      </c>
      <c r="K642" s="7">
        <v>76</v>
      </c>
    </row>
    <row r="643" spans="1:11" x14ac:dyDescent="0.25">
      <c r="A643" s="7" t="s">
        <v>1638</v>
      </c>
      <c r="B643" s="7">
        <v>0</v>
      </c>
      <c r="C643" s="7">
        <v>82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3</v>
      </c>
      <c r="J643" s="7">
        <v>0</v>
      </c>
      <c r="K643" s="7">
        <v>86</v>
      </c>
    </row>
    <row r="644" spans="1:11" x14ac:dyDescent="0.25">
      <c r="A644" s="7" t="s">
        <v>1639</v>
      </c>
      <c r="B644" s="7">
        <v>0</v>
      </c>
      <c r="C644" s="7">
        <v>83</v>
      </c>
      <c r="D644" s="7">
        <v>0</v>
      </c>
      <c r="E644" s="7">
        <v>2</v>
      </c>
      <c r="F644" s="7">
        <v>0</v>
      </c>
      <c r="G644" s="7">
        <v>1</v>
      </c>
      <c r="H644" s="7">
        <v>0</v>
      </c>
      <c r="I644" s="7">
        <v>7</v>
      </c>
      <c r="J644" s="7">
        <v>0</v>
      </c>
      <c r="K644" s="7">
        <v>93</v>
      </c>
    </row>
    <row r="645" spans="1:11" x14ac:dyDescent="0.25">
      <c r="A645" s="7" t="s">
        <v>1640</v>
      </c>
      <c r="B645" s="7">
        <v>0</v>
      </c>
      <c r="C645" s="7">
        <v>69</v>
      </c>
      <c r="D645" s="7">
        <v>3</v>
      </c>
      <c r="E645" s="7">
        <v>0</v>
      </c>
      <c r="F645" s="7">
        <v>0</v>
      </c>
      <c r="G645" s="7">
        <v>1</v>
      </c>
      <c r="H645" s="7">
        <v>0</v>
      </c>
      <c r="I645" s="7">
        <v>19</v>
      </c>
      <c r="J645" s="7">
        <v>5</v>
      </c>
      <c r="K645" s="7">
        <v>97</v>
      </c>
    </row>
    <row r="646" spans="1:11" x14ac:dyDescent="0.25">
      <c r="A646" s="7" t="s">
        <v>1641</v>
      </c>
      <c r="B646" s="7">
        <v>0</v>
      </c>
      <c r="C646" s="7">
        <v>55</v>
      </c>
      <c r="D646" s="7">
        <v>2</v>
      </c>
      <c r="E646" s="7">
        <v>1</v>
      </c>
      <c r="F646" s="7">
        <v>0</v>
      </c>
      <c r="G646" s="7">
        <v>0</v>
      </c>
      <c r="H646" s="7">
        <v>0</v>
      </c>
      <c r="I646" s="7">
        <v>44</v>
      </c>
      <c r="J646" s="7">
        <v>10</v>
      </c>
      <c r="K646" s="7">
        <v>112</v>
      </c>
    </row>
    <row r="647" spans="1:11" x14ac:dyDescent="0.25">
      <c r="A647" s="7" t="s">
        <v>1642</v>
      </c>
      <c r="B647" s="7">
        <v>0</v>
      </c>
      <c r="C647" s="7">
        <v>47</v>
      </c>
      <c r="D647" s="7">
        <v>1</v>
      </c>
      <c r="E647" s="7">
        <v>6</v>
      </c>
      <c r="F647" s="7">
        <v>0</v>
      </c>
      <c r="G647" s="7">
        <v>0</v>
      </c>
      <c r="H647" s="7">
        <v>0</v>
      </c>
      <c r="I647" s="7">
        <v>64</v>
      </c>
      <c r="J647" s="7">
        <v>8</v>
      </c>
      <c r="K647" s="7">
        <v>126</v>
      </c>
    </row>
    <row r="648" spans="1:11" x14ac:dyDescent="0.25">
      <c r="A648" s="7" t="s">
        <v>1643</v>
      </c>
      <c r="B648" s="7">
        <v>0</v>
      </c>
      <c r="C648" s="7">
        <v>46</v>
      </c>
      <c r="D648" s="7">
        <v>2</v>
      </c>
      <c r="E648" s="7">
        <v>0</v>
      </c>
      <c r="F648" s="7">
        <v>1</v>
      </c>
      <c r="G648" s="7">
        <v>0</v>
      </c>
      <c r="H648" s="7">
        <v>0</v>
      </c>
      <c r="I648" s="7">
        <v>30</v>
      </c>
      <c r="J648" s="7">
        <v>1</v>
      </c>
      <c r="K648" s="7">
        <v>80</v>
      </c>
    </row>
    <row r="649" spans="1:11" x14ac:dyDescent="0.25">
      <c r="A649" s="7" t="s">
        <v>1644</v>
      </c>
      <c r="B649" s="7">
        <v>0</v>
      </c>
      <c r="C649" s="7">
        <v>26</v>
      </c>
      <c r="D649" s="7">
        <v>3</v>
      </c>
      <c r="E649" s="7">
        <v>1</v>
      </c>
      <c r="F649" s="7">
        <v>0</v>
      </c>
      <c r="G649" s="7">
        <v>1</v>
      </c>
      <c r="H649" s="7">
        <v>0</v>
      </c>
      <c r="I649" s="7">
        <v>9</v>
      </c>
      <c r="J649" s="7">
        <v>17</v>
      </c>
      <c r="K649" s="7">
        <v>57</v>
      </c>
    </row>
    <row r="650" spans="1:11" x14ac:dyDescent="0.25">
      <c r="A650" s="7" t="s">
        <v>1645</v>
      </c>
      <c r="B650" s="7">
        <v>0</v>
      </c>
      <c r="C650" s="7">
        <v>40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6</v>
      </c>
      <c r="J650" s="7">
        <v>2</v>
      </c>
      <c r="K650" s="7">
        <v>50</v>
      </c>
    </row>
    <row r="651" spans="1:11" x14ac:dyDescent="0.25">
      <c r="A651" s="7" t="s">
        <v>1646</v>
      </c>
      <c r="B651" s="7">
        <v>0</v>
      </c>
      <c r="C651" s="7">
        <v>55</v>
      </c>
      <c r="D651" s="7">
        <v>0</v>
      </c>
      <c r="E651" s="7">
        <v>6</v>
      </c>
      <c r="F651" s="7">
        <v>0</v>
      </c>
      <c r="G651" s="7">
        <v>0</v>
      </c>
      <c r="H651" s="7">
        <v>0</v>
      </c>
      <c r="I651" s="7">
        <v>4</v>
      </c>
      <c r="J651" s="7">
        <v>4</v>
      </c>
      <c r="K651" s="7">
        <v>69</v>
      </c>
    </row>
    <row r="652" spans="1:11" x14ac:dyDescent="0.25">
      <c r="A652" s="7" t="s">
        <v>1647</v>
      </c>
      <c r="B652" s="7">
        <v>0</v>
      </c>
      <c r="C652" s="7">
        <v>52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3</v>
      </c>
      <c r="J652" s="7">
        <v>2</v>
      </c>
      <c r="K652" s="7">
        <v>60</v>
      </c>
    </row>
    <row r="653" spans="1:11" x14ac:dyDescent="0.25">
      <c r="A653" s="7" t="s">
        <v>1648</v>
      </c>
      <c r="B653" s="7">
        <v>0</v>
      </c>
      <c r="C653" s="7">
        <v>49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3</v>
      </c>
      <c r="J653" s="7">
        <v>0</v>
      </c>
      <c r="K653" s="7">
        <v>52</v>
      </c>
    </row>
    <row r="654" spans="1:11" x14ac:dyDescent="0.25">
      <c r="A654" s="7" t="s">
        <v>1649</v>
      </c>
      <c r="B654" s="7">
        <v>0</v>
      </c>
      <c r="C654" s="7">
        <v>42</v>
      </c>
      <c r="D654" s="7">
        <v>1</v>
      </c>
      <c r="E654" s="7">
        <v>0</v>
      </c>
      <c r="F654" s="7">
        <v>0</v>
      </c>
      <c r="G654" s="7">
        <v>0</v>
      </c>
      <c r="H654" s="7">
        <v>0</v>
      </c>
      <c r="I654" s="7">
        <v>4</v>
      </c>
      <c r="J654" s="7">
        <v>0</v>
      </c>
      <c r="K654" s="7">
        <v>47</v>
      </c>
    </row>
    <row r="655" spans="1:11" x14ac:dyDescent="0.25">
      <c r="A655" s="7" t="s">
        <v>1650</v>
      </c>
      <c r="B655" s="7">
        <v>0</v>
      </c>
      <c r="C655" s="7">
        <v>53</v>
      </c>
      <c r="D655" s="7">
        <v>0</v>
      </c>
      <c r="E655" s="7">
        <v>0</v>
      </c>
      <c r="F655" s="7">
        <v>0</v>
      </c>
      <c r="G655" s="7">
        <v>6</v>
      </c>
      <c r="H655" s="7">
        <v>0</v>
      </c>
      <c r="I655" s="7">
        <v>2</v>
      </c>
      <c r="J655" s="7">
        <v>0</v>
      </c>
      <c r="K655" s="7">
        <v>61</v>
      </c>
    </row>
    <row r="656" spans="1:11" x14ac:dyDescent="0.25">
      <c r="A656" s="7" t="s">
        <v>1651</v>
      </c>
      <c r="B656" s="7">
        <v>0</v>
      </c>
      <c r="C656" s="7">
        <v>75</v>
      </c>
      <c r="D656" s="7">
        <v>3</v>
      </c>
      <c r="E656" s="7">
        <v>7</v>
      </c>
      <c r="F656" s="7">
        <v>0</v>
      </c>
      <c r="G656" s="7">
        <v>13</v>
      </c>
      <c r="H656" s="7">
        <v>0</v>
      </c>
      <c r="I656" s="7">
        <v>50</v>
      </c>
      <c r="J656" s="7">
        <v>1</v>
      </c>
      <c r="K656" s="7">
        <v>149</v>
      </c>
    </row>
    <row r="657" spans="1:11" x14ac:dyDescent="0.25">
      <c r="A657" s="7" t="s">
        <v>1652</v>
      </c>
      <c r="B657" s="7">
        <v>0</v>
      </c>
      <c r="C657" s="7">
        <v>1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56</v>
      </c>
      <c r="J657" s="7">
        <v>0</v>
      </c>
      <c r="K657" s="7">
        <v>57</v>
      </c>
    </row>
    <row r="658" spans="1:11" x14ac:dyDescent="0.25">
      <c r="A658" s="7" t="s">
        <v>1653</v>
      </c>
      <c r="B658" s="7">
        <v>0</v>
      </c>
      <c r="C658" s="7">
        <v>118</v>
      </c>
      <c r="D658" s="7">
        <v>3</v>
      </c>
      <c r="E658" s="7">
        <v>48</v>
      </c>
      <c r="F658" s="7">
        <v>2</v>
      </c>
      <c r="G658" s="7">
        <v>0</v>
      </c>
      <c r="H658" s="7">
        <v>0</v>
      </c>
      <c r="I658" s="7">
        <v>17</v>
      </c>
      <c r="J658" s="7">
        <v>0</v>
      </c>
      <c r="K658" s="7">
        <v>188</v>
      </c>
    </row>
    <row r="659" spans="1:11" x14ac:dyDescent="0.25">
      <c r="A659" s="7" t="s">
        <v>1654</v>
      </c>
      <c r="B659" s="7">
        <v>0</v>
      </c>
      <c r="C659" s="7">
        <v>48</v>
      </c>
      <c r="D659" s="7">
        <v>4</v>
      </c>
      <c r="E659" s="7">
        <v>10</v>
      </c>
      <c r="F659" s="7">
        <v>0</v>
      </c>
      <c r="G659" s="7">
        <v>0</v>
      </c>
      <c r="H659" s="7">
        <v>0</v>
      </c>
      <c r="I659" s="7">
        <v>28</v>
      </c>
      <c r="J659" s="7">
        <v>0</v>
      </c>
      <c r="K659" s="7">
        <v>90</v>
      </c>
    </row>
    <row r="660" spans="1:11" x14ac:dyDescent="0.25">
      <c r="A660" s="7" t="s">
        <v>1655</v>
      </c>
      <c r="B660" s="7">
        <v>0</v>
      </c>
      <c r="C660" s="7">
        <v>17</v>
      </c>
      <c r="D660" s="7">
        <v>0</v>
      </c>
      <c r="E660" s="7">
        <v>1</v>
      </c>
      <c r="F660" s="7">
        <v>0</v>
      </c>
      <c r="G660" s="7">
        <v>0</v>
      </c>
      <c r="H660" s="7">
        <v>0</v>
      </c>
      <c r="I660" s="7">
        <v>21</v>
      </c>
      <c r="J660" s="7">
        <v>0</v>
      </c>
      <c r="K660" s="7">
        <v>39</v>
      </c>
    </row>
    <row r="661" spans="1:11" x14ac:dyDescent="0.25">
      <c r="A661" s="7" t="s">
        <v>1656</v>
      </c>
      <c r="B661" s="7">
        <v>0</v>
      </c>
      <c r="C661" s="7">
        <v>38</v>
      </c>
      <c r="D661" s="7">
        <v>2</v>
      </c>
      <c r="E661" s="7">
        <v>3</v>
      </c>
      <c r="F661" s="7">
        <v>0</v>
      </c>
      <c r="G661" s="7">
        <v>0</v>
      </c>
      <c r="H661" s="7">
        <v>0</v>
      </c>
      <c r="I661" s="7">
        <v>29</v>
      </c>
      <c r="J661" s="7">
        <v>0</v>
      </c>
      <c r="K661" s="7">
        <v>72</v>
      </c>
    </row>
    <row r="662" spans="1:11" x14ac:dyDescent="0.25">
      <c r="A662" s="7" t="s">
        <v>1657</v>
      </c>
      <c r="B662" s="7">
        <v>0</v>
      </c>
      <c r="C662" s="7">
        <v>62</v>
      </c>
      <c r="D662" s="7">
        <v>4</v>
      </c>
      <c r="E662" s="7">
        <v>5</v>
      </c>
      <c r="F662" s="7">
        <v>0</v>
      </c>
      <c r="G662" s="7">
        <v>1</v>
      </c>
      <c r="H662" s="7">
        <v>0</v>
      </c>
      <c r="I662" s="7">
        <v>21</v>
      </c>
      <c r="J662" s="7">
        <v>0</v>
      </c>
      <c r="K662" s="7">
        <v>93</v>
      </c>
    </row>
    <row r="663" spans="1:11" x14ac:dyDescent="0.25">
      <c r="A663" s="7" t="s">
        <v>1658</v>
      </c>
      <c r="B663" s="7">
        <v>0</v>
      </c>
      <c r="C663" s="7">
        <v>84</v>
      </c>
      <c r="D663" s="7">
        <v>1</v>
      </c>
      <c r="E663" s="7">
        <v>0</v>
      </c>
      <c r="F663" s="7">
        <v>0</v>
      </c>
      <c r="G663" s="7">
        <v>0</v>
      </c>
      <c r="H663" s="7">
        <v>0</v>
      </c>
      <c r="I663" s="7">
        <v>6</v>
      </c>
      <c r="J663" s="7">
        <v>0</v>
      </c>
      <c r="K663" s="7">
        <v>91</v>
      </c>
    </row>
    <row r="664" spans="1:11" x14ac:dyDescent="0.25">
      <c r="A664" s="7" t="s">
        <v>1659</v>
      </c>
      <c r="B664" s="7">
        <v>0</v>
      </c>
      <c r="C664" s="7">
        <v>151</v>
      </c>
      <c r="D664" s="7">
        <v>0</v>
      </c>
      <c r="E664" s="7">
        <v>1</v>
      </c>
      <c r="F664" s="7">
        <v>0</v>
      </c>
      <c r="G664" s="7">
        <v>3</v>
      </c>
      <c r="H664" s="7">
        <v>0</v>
      </c>
      <c r="I664" s="7">
        <v>0</v>
      </c>
      <c r="J664" s="7">
        <v>0</v>
      </c>
      <c r="K664" s="7">
        <v>155</v>
      </c>
    </row>
    <row r="665" spans="1:11" x14ac:dyDescent="0.25">
      <c r="A665" s="7" t="s">
        <v>1660</v>
      </c>
      <c r="B665" s="7">
        <v>0</v>
      </c>
      <c r="C665" s="7">
        <v>56</v>
      </c>
      <c r="D665" s="7">
        <v>0</v>
      </c>
      <c r="E665" s="7">
        <v>0</v>
      </c>
      <c r="F665" s="7">
        <v>0</v>
      </c>
      <c r="G665" s="7">
        <v>2</v>
      </c>
      <c r="H665" s="7">
        <v>0</v>
      </c>
      <c r="I665" s="7">
        <v>0</v>
      </c>
      <c r="J665" s="7">
        <v>0</v>
      </c>
      <c r="K665" s="7">
        <v>58</v>
      </c>
    </row>
    <row r="666" spans="1:11" x14ac:dyDescent="0.25">
      <c r="A666" s="7" t="s">
        <v>1661</v>
      </c>
      <c r="B666" s="7">
        <v>0</v>
      </c>
      <c r="C666" s="7">
        <v>52</v>
      </c>
      <c r="D666" s="7">
        <v>1</v>
      </c>
      <c r="E666" s="7">
        <v>0</v>
      </c>
      <c r="F666" s="7">
        <v>0</v>
      </c>
      <c r="G666" s="7">
        <v>1</v>
      </c>
      <c r="H666" s="7">
        <v>0</v>
      </c>
      <c r="I666" s="7">
        <v>0</v>
      </c>
      <c r="J666" s="7">
        <v>0</v>
      </c>
      <c r="K666" s="7">
        <v>54</v>
      </c>
    </row>
    <row r="667" spans="1:11" x14ac:dyDescent="0.25">
      <c r="A667" s="7" t="s">
        <v>1662</v>
      </c>
      <c r="B667" s="7">
        <v>0</v>
      </c>
      <c r="C667" s="7">
        <v>42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1</v>
      </c>
      <c r="J667" s="7">
        <v>0</v>
      </c>
      <c r="K667" s="7">
        <v>45</v>
      </c>
    </row>
    <row r="668" spans="1:11" x14ac:dyDescent="0.25">
      <c r="A668" s="7" t="s">
        <v>1663</v>
      </c>
      <c r="B668" s="7">
        <v>0</v>
      </c>
      <c r="C668" s="7">
        <v>32</v>
      </c>
      <c r="D668" s="7">
        <v>2</v>
      </c>
      <c r="E668" s="7">
        <v>5</v>
      </c>
      <c r="F668" s="7">
        <v>0</v>
      </c>
      <c r="G668" s="7">
        <v>0</v>
      </c>
      <c r="H668" s="7">
        <v>0</v>
      </c>
      <c r="I668" s="7">
        <v>7</v>
      </c>
      <c r="J668" s="7">
        <v>0</v>
      </c>
      <c r="K668" s="7">
        <v>46</v>
      </c>
    </row>
    <row r="669" spans="1:11" x14ac:dyDescent="0.25">
      <c r="A669" s="7" t="s">
        <v>1664</v>
      </c>
      <c r="B669" s="7">
        <v>0</v>
      </c>
      <c r="C669" s="7">
        <v>25</v>
      </c>
      <c r="D669" s="7">
        <v>12</v>
      </c>
      <c r="E669" s="7">
        <v>15</v>
      </c>
      <c r="F669" s="7">
        <v>0</v>
      </c>
      <c r="G669" s="7">
        <v>0</v>
      </c>
      <c r="H669" s="7">
        <v>0</v>
      </c>
      <c r="I669" s="7">
        <v>39</v>
      </c>
      <c r="J669" s="7">
        <v>0</v>
      </c>
      <c r="K669" s="7">
        <v>91</v>
      </c>
    </row>
    <row r="670" spans="1:11" x14ac:dyDescent="0.25">
      <c r="A670" s="7" t="s">
        <v>1665</v>
      </c>
      <c r="B670" s="7">
        <v>0</v>
      </c>
      <c r="C670" s="7">
        <v>15</v>
      </c>
      <c r="D670" s="7">
        <v>5</v>
      </c>
      <c r="E670" s="7">
        <v>8</v>
      </c>
      <c r="F670" s="7">
        <v>0</v>
      </c>
      <c r="G670" s="7">
        <v>0</v>
      </c>
      <c r="H670" s="7">
        <v>0</v>
      </c>
      <c r="I670" s="7">
        <v>43</v>
      </c>
      <c r="J670" s="7">
        <v>0</v>
      </c>
      <c r="K670" s="7">
        <v>71</v>
      </c>
    </row>
    <row r="671" spans="1:11" x14ac:dyDescent="0.25">
      <c r="A671" s="7" t="s">
        <v>1666</v>
      </c>
      <c r="B671" s="7">
        <v>0</v>
      </c>
      <c r="C671" s="7">
        <v>12</v>
      </c>
      <c r="D671" s="7">
        <v>31</v>
      </c>
      <c r="E671" s="7">
        <v>3</v>
      </c>
      <c r="F671" s="7">
        <v>0</v>
      </c>
      <c r="G671" s="7">
        <v>0</v>
      </c>
      <c r="H671" s="7">
        <v>0</v>
      </c>
      <c r="I671" s="7">
        <v>54</v>
      </c>
      <c r="J671" s="7">
        <v>0</v>
      </c>
      <c r="K671" s="7">
        <v>100</v>
      </c>
    </row>
    <row r="672" spans="1:11" x14ac:dyDescent="0.25">
      <c r="A672" s="7" t="s">
        <v>1667</v>
      </c>
      <c r="B672" s="7">
        <v>0</v>
      </c>
      <c r="C672" s="7">
        <v>20</v>
      </c>
      <c r="D672" s="7">
        <v>31</v>
      </c>
      <c r="E672" s="7">
        <v>25</v>
      </c>
      <c r="F672" s="7">
        <v>0</v>
      </c>
      <c r="G672" s="7">
        <v>0</v>
      </c>
      <c r="H672" s="7">
        <v>0</v>
      </c>
      <c r="I672" s="7">
        <v>16</v>
      </c>
      <c r="J672" s="7">
        <v>0</v>
      </c>
      <c r="K672" s="7">
        <v>92</v>
      </c>
    </row>
    <row r="673" spans="1:11" x14ac:dyDescent="0.25">
      <c r="A673" s="7" t="s">
        <v>1668</v>
      </c>
      <c r="B673" s="7">
        <v>0</v>
      </c>
      <c r="C673" s="7">
        <v>16</v>
      </c>
      <c r="D673" s="7">
        <v>7</v>
      </c>
      <c r="E673" s="7">
        <v>17</v>
      </c>
      <c r="F673" s="7">
        <v>0</v>
      </c>
      <c r="G673" s="7">
        <v>0</v>
      </c>
      <c r="H673" s="7">
        <v>0</v>
      </c>
      <c r="I673" s="7">
        <v>61</v>
      </c>
      <c r="J673" s="7">
        <v>1</v>
      </c>
      <c r="K673" s="7">
        <v>102</v>
      </c>
    </row>
    <row r="674" spans="1:11" x14ac:dyDescent="0.25">
      <c r="A674" s="7" t="s">
        <v>1669</v>
      </c>
      <c r="B674" s="7">
        <v>0</v>
      </c>
      <c r="C674" s="7">
        <v>72</v>
      </c>
      <c r="D674" s="7">
        <v>0</v>
      </c>
      <c r="E674" s="7">
        <v>0</v>
      </c>
      <c r="F674" s="7">
        <v>1</v>
      </c>
      <c r="G674" s="7">
        <v>0</v>
      </c>
      <c r="H674" s="7">
        <v>0</v>
      </c>
      <c r="I674" s="7">
        <v>10</v>
      </c>
      <c r="J674" s="7">
        <v>0</v>
      </c>
      <c r="K674" s="7">
        <v>83</v>
      </c>
    </row>
    <row r="675" spans="1:11" x14ac:dyDescent="0.25">
      <c r="A675" s="7" t="s">
        <v>1670</v>
      </c>
      <c r="B675" s="7">
        <v>0</v>
      </c>
      <c r="C675" s="7">
        <v>34</v>
      </c>
      <c r="D675" s="7">
        <v>0</v>
      </c>
      <c r="E675" s="7">
        <v>2</v>
      </c>
      <c r="F675" s="7">
        <v>0</v>
      </c>
      <c r="G675" s="7">
        <v>0</v>
      </c>
      <c r="H675" s="7">
        <v>0</v>
      </c>
      <c r="I675" s="7">
        <v>25</v>
      </c>
      <c r="J675" s="7">
        <v>6</v>
      </c>
      <c r="K675" s="7">
        <v>67</v>
      </c>
    </row>
    <row r="676" spans="1:11" x14ac:dyDescent="0.25">
      <c r="A676" s="7" t="s">
        <v>1671</v>
      </c>
      <c r="B676" s="7">
        <v>0</v>
      </c>
      <c r="C676" s="7">
        <v>25</v>
      </c>
      <c r="D676" s="7">
        <v>0</v>
      </c>
      <c r="E676" s="7">
        <v>0</v>
      </c>
      <c r="F676" s="7">
        <v>0</v>
      </c>
      <c r="G676" s="7">
        <v>0</v>
      </c>
      <c r="H676" s="7">
        <v>0</v>
      </c>
      <c r="I676" s="7">
        <v>15</v>
      </c>
      <c r="J676" s="7">
        <v>0</v>
      </c>
      <c r="K676" s="7">
        <v>40</v>
      </c>
    </row>
    <row r="677" spans="1:11" x14ac:dyDescent="0.25">
      <c r="A677" s="7" t="s">
        <v>1672</v>
      </c>
      <c r="B677" s="7">
        <v>0</v>
      </c>
      <c r="C677" s="7">
        <v>51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17</v>
      </c>
      <c r="J677" s="7">
        <v>1</v>
      </c>
      <c r="K677" s="7">
        <v>69</v>
      </c>
    </row>
    <row r="678" spans="1:11" x14ac:dyDescent="0.25">
      <c r="A678" s="7" t="s">
        <v>1673</v>
      </c>
      <c r="B678" s="7">
        <v>0</v>
      </c>
      <c r="C678" s="7">
        <v>61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15</v>
      </c>
      <c r="J678" s="7">
        <v>0</v>
      </c>
      <c r="K678" s="7">
        <v>76</v>
      </c>
    </row>
    <row r="679" spans="1:11" x14ac:dyDescent="0.25">
      <c r="A679" s="7" t="s">
        <v>1674</v>
      </c>
      <c r="B679" s="7">
        <v>0</v>
      </c>
      <c r="C679" s="7">
        <v>54</v>
      </c>
      <c r="D679" s="7">
        <v>0</v>
      </c>
      <c r="E679" s="7">
        <v>0</v>
      </c>
      <c r="F679" s="7">
        <v>1</v>
      </c>
      <c r="G679" s="7">
        <v>2</v>
      </c>
      <c r="H679" s="7">
        <v>0</v>
      </c>
      <c r="I679" s="7">
        <v>0</v>
      </c>
      <c r="J679" s="7">
        <v>0</v>
      </c>
      <c r="K679" s="7">
        <v>57</v>
      </c>
    </row>
    <row r="680" spans="1:11" x14ac:dyDescent="0.25">
      <c r="A680" s="7" t="s">
        <v>1675</v>
      </c>
      <c r="B680" s="7">
        <v>0</v>
      </c>
      <c r="C680" s="7">
        <v>50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1</v>
      </c>
      <c r="J680" s="7">
        <v>0</v>
      </c>
      <c r="K680" s="7">
        <v>51</v>
      </c>
    </row>
    <row r="681" spans="1:11" x14ac:dyDescent="0.25">
      <c r="A681" s="7" t="s">
        <v>1676</v>
      </c>
      <c r="B681" s="7">
        <v>0</v>
      </c>
      <c r="C681" s="7">
        <v>31</v>
      </c>
      <c r="D681" s="7">
        <v>0</v>
      </c>
      <c r="E681" s="7">
        <v>1</v>
      </c>
      <c r="F681" s="7">
        <v>0</v>
      </c>
      <c r="G681" s="7">
        <v>0</v>
      </c>
      <c r="H681" s="7">
        <v>0</v>
      </c>
      <c r="I681" s="7">
        <v>12</v>
      </c>
      <c r="J681" s="7">
        <v>0</v>
      </c>
      <c r="K681" s="7">
        <v>44</v>
      </c>
    </row>
    <row r="682" spans="1:11" x14ac:dyDescent="0.25">
      <c r="A682" s="7" t="s">
        <v>1677</v>
      </c>
      <c r="B682" s="7">
        <v>0</v>
      </c>
      <c r="C682" s="7">
        <v>51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2</v>
      </c>
      <c r="J682" s="7">
        <v>1</v>
      </c>
      <c r="K682" s="7">
        <v>54</v>
      </c>
    </row>
    <row r="683" spans="1:11" x14ac:dyDescent="0.25">
      <c r="A683" s="7" t="s">
        <v>1678</v>
      </c>
      <c r="B683" s="7">
        <v>0</v>
      </c>
      <c r="C683" s="7">
        <v>145</v>
      </c>
      <c r="D683" s="7">
        <v>0</v>
      </c>
      <c r="E683" s="7">
        <v>0</v>
      </c>
      <c r="F683" s="7">
        <v>1</v>
      </c>
      <c r="G683" s="7">
        <v>4</v>
      </c>
      <c r="H683" s="7">
        <v>0</v>
      </c>
      <c r="I683" s="7">
        <v>1</v>
      </c>
      <c r="J683" s="7">
        <v>0</v>
      </c>
      <c r="K683" s="7">
        <v>151</v>
      </c>
    </row>
    <row r="684" spans="1:11" x14ac:dyDescent="0.25">
      <c r="A684" s="7" t="s">
        <v>1679</v>
      </c>
      <c r="B684" s="7">
        <v>0</v>
      </c>
      <c r="C684" s="7">
        <v>1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1</v>
      </c>
      <c r="J684" s="7">
        <v>0</v>
      </c>
      <c r="K684" s="7">
        <v>2</v>
      </c>
    </row>
    <row r="685" spans="1:11" x14ac:dyDescent="0.25">
      <c r="A685" s="7" t="s">
        <v>1680</v>
      </c>
      <c r="B685" s="7">
        <v>0</v>
      </c>
      <c r="C685" s="7">
        <v>0</v>
      </c>
      <c r="D685" s="7">
        <v>4</v>
      </c>
      <c r="E685" s="7">
        <v>25</v>
      </c>
      <c r="F685" s="7">
        <v>0</v>
      </c>
      <c r="G685" s="7">
        <v>0</v>
      </c>
      <c r="H685" s="7">
        <v>0</v>
      </c>
      <c r="I685" s="7">
        <v>100</v>
      </c>
      <c r="J685" s="7">
        <v>12</v>
      </c>
      <c r="K685" s="7">
        <v>141</v>
      </c>
    </row>
    <row r="686" spans="1:11" x14ac:dyDescent="0.25">
      <c r="A686" s="7" t="s">
        <v>1681</v>
      </c>
      <c r="B686" s="7">
        <v>0</v>
      </c>
      <c r="C686" s="7">
        <v>8</v>
      </c>
      <c r="D686" s="7">
        <v>15</v>
      </c>
      <c r="E686" s="7">
        <v>36</v>
      </c>
      <c r="F686" s="7">
        <v>0</v>
      </c>
      <c r="G686" s="7">
        <v>0</v>
      </c>
      <c r="H686" s="7">
        <v>0</v>
      </c>
      <c r="I686" s="7">
        <v>11</v>
      </c>
      <c r="J686" s="7">
        <v>0</v>
      </c>
      <c r="K686" s="7">
        <v>70</v>
      </c>
    </row>
    <row r="687" spans="1:11" x14ac:dyDescent="0.25">
      <c r="A687" s="7" t="s">
        <v>1682</v>
      </c>
      <c r="B687" s="7">
        <v>0</v>
      </c>
      <c r="C687" s="7">
        <v>2</v>
      </c>
      <c r="D687" s="7">
        <v>0</v>
      </c>
      <c r="E687" s="7">
        <v>2</v>
      </c>
      <c r="F687" s="7">
        <v>0</v>
      </c>
      <c r="G687" s="7">
        <v>0</v>
      </c>
      <c r="H687" s="7">
        <v>0</v>
      </c>
      <c r="I687" s="7">
        <v>56</v>
      </c>
      <c r="J687" s="7">
        <v>0</v>
      </c>
      <c r="K687" s="7">
        <v>60</v>
      </c>
    </row>
    <row r="688" spans="1:11" x14ac:dyDescent="0.25">
      <c r="A688" s="7" t="s">
        <v>1683</v>
      </c>
      <c r="B688" s="7">
        <v>0</v>
      </c>
      <c r="C688" s="7">
        <v>8</v>
      </c>
      <c r="D688" s="7">
        <v>0</v>
      </c>
      <c r="E688" s="7">
        <v>0</v>
      </c>
      <c r="F688" s="7">
        <v>0</v>
      </c>
      <c r="G688" s="7">
        <v>2</v>
      </c>
      <c r="H688" s="7">
        <v>0</v>
      </c>
      <c r="I688" s="7">
        <v>36</v>
      </c>
      <c r="J688" s="7">
        <v>1</v>
      </c>
      <c r="K688" s="7">
        <v>47</v>
      </c>
    </row>
    <row r="689" spans="1:11" x14ac:dyDescent="0.25">
      <c r="A689" s="7" t="s">
        <v>1684</v>
      </c>
      <c r="B689" s="7">
        <v>0</v>
      </c>
      <c r="C689" s="7">
        <v>6</v>
      </c>
      <c r="D689" s="7">
        <v>17</v>
      </c>
      <c r="E689" s="7">
        <v>12</v>
      </c>
      <c r="F689" s="7">
        <v>5</v>
      </c>
      <c r="G689" s="7">
        <v>0</v>
      </c>
      <c r="H689" s="7">
        <v>0</v>
      </c>
      <c r="I689" s="7">
        <v>27</v>
      </c>
      <c r="J689" s="7">
        <v>1</v>
      </c>
      <c r="K689" s="7">
        <v>68</v>
      </c>
    </row>
    <row r="690" spans="1:11" x14ac:dyDescent="0.25">
      <c r="A690" s="7" t="s">
        <v>1685</v>
      </c>
      <c r="B690" s="7">
        <v>0</v>
      </c>
      <c r="C690" s="7">
        <v>13</v>
      </c>
      <c r="D690" s="7">
        <v>12</v>
      </c>
      <c r="E690" s="7">
        <v>17</v>
      </c>
      <c r="F690" s="7">
        <v>0</v>
      </c>
      <c r="G690" s="7">
        <v>0</v>
      </c>
      <c r="H690" s="7">
        <v>0</v>
      </c>
      <c r="I690" s="7">
        <v>6</v>
      </c>
      <c r="J690" s="7">
        <v>1</v>
      </c>
      <c r="K690" s="7">
        <v>49</v>
      </c>
    </row>
    <row r="691" spans="1:11" x14ac:dyDescent="0.25">
      <c r="A691" s="7" t="s">
        <v>1686</v>
      </c>
      <c r="B691" s="7">
        <v>0</v>
      </c>
      <c r="C691" s="7">
        <v>0</v>
      </c>
      <c r="D691" s="7">
        <v>0</v>
      </c>
      <c r="E691" s="7">
        <v>0</v>
      </c>
      <c r="F691" s="7">
        <v>0</v>
      </c>
      <c r="G691" s="7">
        <v>0</v>
      </c>
      <c r="H691" s="7">
        <v>0</v>
      </c>
      <c r="I691" s="7">
        <v>1</v>
      </c>
      <c r="J691" s="7">
        <v>21</v>
      </c>
      <c r="K691" s="7">
        <v>22</v>
      </c>
    </row>
    <row r="692" spans="1:11" x14ac:dyDescent="0.25">
      <c r="A692" s="7" t="s">
        <v>1687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33</v>
      </c>
      <c r="J692" s="7">
        <v>13</v>
      </c>
      <c r="K692" s="7">
        <v>46</v>
      </c>
    </row>
    <row r="693" spans="1:11" x14ac:dyDescent="0.25">
      <c r="A693" s="7" t="s">
        <v>1688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1</v>
      </c>
      <c r="J693" s="7">
        <v>0</v>
      </c>
      <c r="K693" s="7">
        <v>1</v>
      </c>
    </row>
    <row r="694" spans="1:11" x14ac:dyDescent="0.25">
      <c r="A694" s="7" t="s">
        <v>1689</v>
      </c>
      <c r="B694" s="7">
        <v>0</v>
      </c>
      <c r="C694" s="7">
        <v>53</v>
      </c>
      <c r="D694" s="7">
        <v>20</v>
      </c>
      <c r="E694" s="7">
        <v>4</v>
      </c>
      <c r="F694" s="7">
        <v>0</v>
      </c>
      <c r="G694" s="7">
        <v>0</v>
      </c>
      <c r="H694" s="7">
        <v>0</v>
      </c>
      <c r="I694" s="7">
        <v>17</v>
      </c>
      <c r="J694" s="7">
        <v>0</v>
      </c>
      <c r="K694" s="7">
        <v>94</v>
      </c>
    </row>
    <row r="695" spans="1:11" x14ac:dyDescent="0.25">
      <c r="A695" s="7" t="s">
        <v>1690</v>
      </c>
      <c r="B695" s="7">
        <v>0</v>
      </c>
      <c r="C695" s="7">
        <v>0</v>
      </c>
      <c r="D695" s="7">
        <v>2</v>
      </c>
      <c r="E695" s="7">
        <v>10</v>
      </c>
      <c r="F695" s="7">
        <v>0</v>
      </c>
      <c r="G695" s="7">
        <v>0</v>
      </c>
      <c r="H695" s="7">
        <v>0</v>
      </c>
      <c r="I695" s="7">
        <v>130</v>
      </c>
      <c r="J695" s="7">
        <v>2</v>
      </c>
      <c r="K695" s="7">
        <v>144</v>
      </c>
    </row>
    <row r="696" spans="1:11" x14ac:dyDescent="0.25">
      <c r="A696" s="7" t="s">
        <v>1691</v>
      </c>
      <c r="B696" s="7">
        <v>0</v>
      </c>
      <c r="C696" s="7">
        <v>78</v>
      </c>
      <c r="D696" s="7">
        <v>0</v>
      </c>
      <c r="E696" s="7">
        <v>0</v>
      </c>
      <c r="F696" s="7">
        <v>0</v>
      </c>
      <c r="G696" s="7">
        <v>3</v>
      </c>
      <c r="H696" s="7">
        <v>0</v>
      </c>
      <c r="I696" s="7">
        <v>7</v>
      </c>
      <c r="J696" s="7">
        <v>3</v>
      </c>
      <c r="K696" s="7">
        <v>91</v>
      </c>
    </row>
    <row r="697" spans="1:11" x14ac:dyDescent="0.25">
      <c r="A697" s="7" t="s">
        <v>1692</v>
      </c>
      <c r="B697" s="7">
        <v>0</v>
      </c>
      <c r="C697" s="7">
        <v>18</v>
      </c>
      <c r="D697" s="7">
        <v>0</v>
      </c>
      <c r="E697" s="7">
        <v>4</v>
      </c>
      <c r="F697" s="7">
        <v>0</v>
      </c>
      <c r="G697" s="7">
        <v>0</v>
      </c>
      <c r="H697" s="7">
        <v>0</v>
      </c>
      <c r="I697" s="7">
        <v>25</v>
      </c>
      <c r="J697" s="7">
        <v>0</v>
      </c>
      <c r="K697" s="7">
        <v>47</v>
      </c>
    </row>
    <row r="698" spans="1:11" x14ac:dyDescent="0.25">
      <c r="A698" s="7" t="s">
        <v>1693</v>
      </c>
      <c r="B698" s="7">
        <v>0</v>
      </c>
      <c r="C698" s="7">
        <v>76</v>
      </c>
      <c r="D698" s="7">
        <v>2</v>
      </c>
      <c r="E698" s="7">
        <v>0</v>
      </c>
      <c r="F698" s="7">
        <v>0</v>
      </c>
      <c r="G698" s="7">
        <v>0</v>
      </c>
      <c r="H698" s="7">
        <v>0</v>
      </c>
      <c r="I698" s="7">
        <v>29</v>
      </c>
      <c r="J698" s="7">
        <v>0</v>
      </c>
      <c r="K698" s="7">
        <v>107</v>
      </c>
    </row>
    <row r="699" spans="1:11" x14ac:dyDescent="0.25">
      <c r="A699" s="7" t="s">
        <v>1694</v>
      </c>
      <c r="B699" s="7">
        <v>0</v>
      </c>
      <c r="C699" s="7">
        <v>66</v>
      </c>
      <c r="D699" s="7">
        <v>7</v>
      </c>
      <c r="E699" s="7">
        <v>9</v>
      </c>
      <c r="F699" s="7">
        <v>0</v>
      </c>
      <c r="G699" s="7">
        <v>0</v>
      </c>
      <c r="H699" s="7">
        <v>0</v>
      </c>
      <c r="I699" s="7">
        <v>28</v>
      </c>
      <c r="J699" s="7">
        <v>0</v>
      </c>
      <c r="K699" s="7">
        <v>110</v>
      </c>
    </row>
    <row r="700" spans="1:11" x14ac:dyDescent="0.25">
      <c r="A700" s="7" t="s">
        <v>1695</v>
      </c>
      <c r="B700" s="7">
        <v>0</v>
      </c>
      <c r="C700" s="7">
        <v>110</v>
      </c>
      <c r="D700" s="7">
        <v>2</v>
      </c>
      <c r="E700" s="7">
        <v>0</v>
      </c>
      <c r="F700" s="7">
        <v>0</v>
      </c>
      <c r="G700" s="7">
        <v>4</v>
      </c>
      <c r="H700" s="7">
        <v>0</v>
      </c>
      <c r="I700" s="7">
        <v>2</v>
      </c>
      <c r="J700" s="7">
        <v>1</v>
      </c>
      <c r="K700" s="7">
        <v>119</v>
      </c>
    </row>
    <row r="701" spans="1:11" x14ac:dyDescent="0.25">
      <c r="A701" s="7" t="s">
        <v>1696</v>
      </c>
      <c r="B701" s="7">
        <v>0</v>
      </c>
      <c r="C701" s="7">
        <v>35</v>
      </c>
      <c r="D701" s="7">
        <v>4</v>
      </c>
      <c r="E701" s="7">
        <v>15</v>
      </c>
      <c r="F701" s="7">
        <v>0</v>
      </c>
      <c r="G701" s="7">
        <v>0</v>
      </c>
      <c r="H701" s="7">
        <v>0</v>
      </c>
      <c r="I701" s="7">
        <v>49</v>
      </c>
      <c r="J701" s="7">
        <v>2</v>
      </c>
      <c r="K701" s="7">
        <v>105</v>
      </c>
    </row>
    <row r="702" spans="1:11" x14ac:dyDescent="0.25">
      <c r="A702" s="7" t="s">
        <v>1697</v>
      </c>
      <c r="B702" s="7">
        <v>0</v>
      </c>
      <c r="C702" s="7">
        <v>69</v>
      </c>
      <c r="D702" s="7">
        <v>10</v>
      </c>
      <c r="E702" s="7">
        <v>1</v>
      </c>
      <c r="F702" s="7">
        <v>0</v>
      </c>
      <c r="G702" s="7">
        <v>0</v>
      </c>
      <c r="H702" s="7">
        <v>0</v>
      </c>
      <c r="I702" s="7">
        <v>27</v>
      </c>
      <c r="J702" s="7">
        <v>0</v>
      </c>
      <c r="K702" s="7">
        <v>107</v>
      </c>
    </row>
    <row r="703" spans="1:11" x14ac:dyDescent="0.25">
      <c r="A703" s="7" t="s">
        <v>1698</v>
      </c>
      <c r="B703" s="7">
        <v>0</v>
      </c>
      <c r="C703" s="7">
        <v>67</v>
      </c>
      <c r="D703" s="7">
        <v>3</v>
      </c>
      <c r="E703" s="7">
        <v>4</v>
      </c>
      <c r="F703" s="7">
        <v>0</v>
      </c>
      <c r="G703" s="7">
        <v>0</v>
      </c>
      <c r="H703" s="7">
        <v>0</v>
      </c>
      <c r="I703" s="7">
        <v>24</v>
      </c>
      <c r="J703" s="7">
        <v>1</v>
      </c>
      <c r="K703" s="7">
        <v>99</v>
      </c>
    </row>
    <row r="704" spans="1:11" x14ac:dyDescent="0.25">
      <c r="A704" s="7" t="s">
        <v>1699</v>
      </c>
      <c r="B704" s="7">
        <v>0</v>
      </c>
      <c r="C704" s="7">
        <v>39</v>
      </c>
      <c r="D704" s="7">
        <v>2</v>
      </c>
      <c r="E704" s="7">
        <v>5</v>
      </c>
      <c r="F704" s="7">
        <v>1</v>
      </c>
      <c r="G704" s="7">
        <v>2</v>
      </c>
      <c r="H704" s="7">
        <v>0</v>
      </c>
      <c r="I704" s="7">
        <v>27</v>
      </c>
      <c r="J704" s="7">
        <v>11</v>
      </c>
      <c r="K704" s="7">
        <v>87</v>
      </c>
    </row>
    <row r="705" spans="1:11" x14ac:dyDescent="0.25">
      <c r="A705" s="7" t="s">
        <v>1700</v>
      </c>
      <c r="B705" s="7">
        <v>0</v>
      </c>
      <c r="C705" s="7">
        <v>21</v>
      </c>
      <c r="D705" s="7">
        <v>2</v>
      </c>
      <c r="E705" s="7">
        <v>18</v>
      </c>
      <c r="F705" s="7">
        <v>0</v>
      </c>
      <c r="G705" s="7">
        <v>0</v>
      </c>
      <c r="H705" s="7">
        <v>0</v>
      </c>
      <c r="I705" s="7">
        <v>25</v>
      </c>
      <c r="J705" s="7">
        <v>2</v>
      </c>
      <c r="K705" s="7">
        <v>68</v>
      </c>
    </row>
    <row r="706" spans="1:11" x14ac:dyDescent="0.25">
      <c r="A706" s="7" t="s">
        <v>1701</v>
      </c>
      <c r="B706" s="7">
        <v>0</v>
      </c>
      <c r="C706" s="7">
        <v>38</v>
      </c>
      <c r="D706" s="7">
        <v>5</v>
      </c>
      <c r="E706" s="7">
        <v>14</v>
      </c>
      <c r="F706" s="7">
        <v>0</v>
      </c>
      <c r="G706" s="7">
        <v>0</v>
      </c>
      <c r="H706" s="7">
        <v>0</v>
      </c>
      <c r="I706" s="7">
        <v>58</v>
      </c>
      <c r="J706" s="7">
        <v>6</v>
      </c>
      <c r="K706" s="7">
        <v>121</v>
      </c>
    </row>
    <row r="707" spans="1:11" x14ac:dyDescent="0.25">
      <c r="A707" s="7" t="s">
        <v>1702</v>
      </c>
      <c r="B707" s="7">
        <v>0</v>
      </c>
      <c r="C707" s="7">
        <v>41</v>
      </c>
      <c r="D707" s="7">
        <v>2</v>
      </c>
      <c r="E707" s="7">
        <v>6</v>
      </c>
      <c r="F707" s="7">
        <v>1</v>
      </c>
      <c r="G707" s="7">
        <v>0</v>
      </c>
      <c r="H707" s="7">
        <v>0</v>
      </c>
      <c r="I707" s="7">
        <v>1</v>
      </c>
      <c r="J707" s="7">
        <v>1</v>
      </c>
      <c r="K707" s="7">
        <v>52</v>
      </c>
    </row>
    <row r="708" spans="1:11" x14ac:dyDescent="0.25">
      <c r="A708" s="7" t="s">
        <v>1703</v>
      </c>
      <c r="B708" s="7">
        <v>0</v>
      </c>
      <c r="C708" s="7">
        <v>35</v>
      </c>
      <c r="D708" s="7">
        <v>3</v>
      </c>
      <c r="E708" s="7">
        <v>8</v>
      </c>
      <c r="F708" s="7">
        <v>0</v>
      </c>
      <c r="G708" s="7">
        <v>0</v>
      </c>
      <c r="H708" s="7">
        <v>0</v>
      </c>
      <c r="I708" s="7">
        <v>13</v>
      </c>
      <c r="J708" s="7">
        <v>3</v>
      </c>
      <c r="K708" s="7">
        <v>62</v>
      </c>
    </row>
    <row r="709" spans="1:11" x14ac:dyDescent="0.25">
      <c r="A709" s="7" t="s">
        <v>1704</v>
      </c>
      <c r="B709" s="7">
        <v>0</v>
      </c>
      <c r="C709" s="7">
        <v>61</v>
      </c>
      <c r="D709" s="7">
        <v>1</v>
      </c>
      <c r="E709" s="7">
        <v>1</v>
      </c>
      <c r="F709" s="7">
        <v>0</v>
      </c>
      <c r="G709" s="7">
        <v>1</v>
      </c>
      <c r="H709" s="7">
        <v>0</v>
      </c>
      <c r="I709" s="7">
        <v>14</v>
      </c>
      <c r="J709" s="7">
        <v>1</v>
      </c>
      <c r="K709" s="7">
        <v>79</v>
      </c>
    </row>
    <row r="710" spans="1:11" x14ac:dyDescent="0.25">
      <c r="A710" s="7" t="s">
        <v>1705</v>
      </c>
      <c r="B710" s="7">
        <v>0</v>
      </c>
      <c r="C710" s="7">
        <v>38</v>
      </c>
      <c r="D710" s="7">
        <v>1</v>
      </c>
      <c r="E710" s="7">
        <v>8</v>
      </c>
      <c r="F710" s="7">
        <v>0</v>
      </c>
      <c r="G710" s="7">
        <v>0</v>
      </c>
      <c r="H710" s="7">
        <v>0</v>
      </c>
      <c r="I710" s="7">
        <v>26</v>
      </c>
      <c r="J710" s="7">
        <v>1</v>
      </c>
      <c r="K710" s="7">
        <v>74</v>
      </c>
    </row>
    <row r="711" spans="1:11" x14ac:dyDescent="0.25">
      <c r="A711" s="7" t="s">
        <v>1706</v>
      </c>
      <c r="B711" s="7">
        <v>0</v>
      </c>
      <c r="C711" s="7">
        <v>34</v>
      </c>
      <c r="D711" s="7">
        <v>7</v>
      </c>
      <c r="E711" s="7">
        <v>9</v>
      </c>
      <c r="F711" s="7">
        <v>0</v>
      </c>
      <c r="G711" s="7">
        <v>2</v>
      </c>
      <c r="H711" s="7">
        <v>0</v>
      </c>
      <c r="I711" s="7">
        <v>31</v>
      </c>
      <c r="J711" s="7">
        <v>0</v>
      </c>
      <c r="K711" s="7">
        <v>83</v>
      </c>
    </row>
    <row r="712" spans="1:11" x14ac:dyDescent="0.25">
      <c r="A712" s="7" t="s">
        <v>1707</v>
      </c>
      <c r="B712" s="7">
        <v>0</v>
      </c>
      <c r="C712" s="7">
        <v>16</v>
      </c>
      <c r="D712" s="7">
        <v>3</v>
      </c>
      <c r="E712" s="7">
        <v>2</v>
      </c>
      <c r="F712" s="7">
        <v>0</v>
      </c>
      <c r="G712" s="7">
        <v>6</v>
      </c>
      <c r="H712" s="7">
        <v>0</v>
      </c>
      <c r="I712" s="7">
        <v>24</v>
      </c>
      <c r="J712" s="7">
        <v>2</v>
      </c>
      <c r="K712" s="7">
        <v>53</v>
      </c>
    </row>
    <row r="713" spans="1:11" x14ac:dyDescent="0.25">
      <c r="A713" s="7" t="s">
        <v>1708</v>
      </c>
      <c r="B713" s="7">
        <v>0</v>
      </c>
      <c r="C713" s="7">
        <v>27</v>
      </c>
      <c r="D713" s="7">
        <v>9</v>
      </c>
      <c r="E713" s="7">
        <v>49</v>
      </c>
      <c r="F713" s="7">
        <v>0</v>
      </c>
      <c r="G713" s="7">
        <v>0</v>
      </c>
      <c r="H713" s="7">
        <v>0</v>
      </c>
      <c r="I713" s="7">
        <v>98</v>
      </c>
      <c r="J713" s="7">
        <v>1</v>
      </c>
      <c r="K713" s="7">
        <v>184</v>
      </c>
    </row>
    <row r="714" spans="1:11" x14ac:dyDescent="0.25">
      <c r="A714" s="7" t="s">
        <v>1709</v>
      </c>
      <c r="B714" s="7">
        <v>0</v>
      </c>
      <c r="C714" s="7">
        <v>76</v>
      </c>
      <c r="D714" s="7">
        <v>0</v>
      </c>
      <c r="E714" s="7">
        <v>3</v>
      </c>
      <c r="F714" s="7">
        <v>0</v>
      </c>
      <c r="G714" s="7">
        <v>6</v>
      </c>
      <c r="H714" s="7">
        <v>0</v>
      </c>
      <c r="I714" s="7">
        <v>3</v>
      </c>
      <c r="J714" s="7">
        <v>0</v>
      </c>
      <c r="K714" s="7">
        <v>88</v>
      </c>
    </row>
    <row r="715" spans="1:11" x14ac:dyDescent="0.25">
      <c r="A715" s="7" t="s">
        <v>1710</v>
      </c>
      <c r="B715" s="7">
        <v>0</v>
      </c>
      <c r="C715" s="7">
        <v>22</v>
      </c>
      <c r="D715" s="7">
        <v>0</v>
      </c>
      <c r="E715" s="7">
        <v>1</v>
      </c>
      <c r="F715" s="7">
        <v>0</v>
      </c>
      <c r="G715" s="7">
        <v>0</v>
      </c>
      <c r="H715" s="7">
        <v>0</v>
      </c>
      <c r="I715" s="7">
        <v>28</v>
      </c>
      <c r="J715" s="7">
        <v>2</v>
      </c>
      <c r="K715" s="7">
        <v>53</v>
      </c>
    </row>
    <row r="716" spans="1:11" x14ac:dyDescent="0.25">
      <c r="A716" s="7" t="s">
        <v>1711</v>
      </c>
      <c r="B716" s="7">
        <v>0</v>
      </c>
      <c r="C716" s="7">
        <v>35</v>
      </c>
      <c r="D716" s="7">
        <v>4</v>
      </c>
      <c r="E716" s="7">
        <v>10</v>
      </c>
      <c r="F716" s="7">
        <v>0</v>
      </c>
      <c r="G716" s="7">
        <v>1</v>
      </c>
      <c r="H716" s="7">
        <v>0</v>
      </c>
      <c r="I716" s="7">
        <v>0</v>
      </c>
      <c r="J716" s="7">
        <v>7</v>
      </c>
      <c r="K716" s="7">
        <v>57</v>
      </c>
    </row>
    <row r="717" spans="1:11" x14ac:dyDescent="0.25">
      <c r="A717" s="7" t="s">
        <v>1712</v>
      </c>
      <c r="B717" s="7">
        <v>0</v>
      </c>
      <c r="C717" s="7">
        <v>2</v>
      </c>
      <c r="D717" s="7">
        <v>47</v>
      </c>
      <c r="E717" s="7">
        <v>10</v>
      </c>
      <c r="F717" s="7">
        <v>8</v>
      </c>
      <c r="G717" s="7">
        <v>0</v>
      </c>
      <c r="H717" s="7">
        <v>0</v>
      </c>
      <c r="I717" s="7">
        <v>4</v>
      </c>
      <c r="J717" s="7">
        <v>10</v>
      </c>
      <c r="K717" s="7">
        <v>81</v>
      </c>
    </row>
    <row r="718" spans="1:11" x14ac:dyDescent="0.25">
      <c r="A718" s="7" t="s">
        <v>1713</v>
      </c>
      <c r="B718" s="7">
        <v>0</v>
      </c>
      <c r="C718" s="7">
        <v>1</v>
      </c>
      <c r="D718" s="7">
        <v>0</v>
      </c>
      <c r="E718" s="7">
        <v>5</v>
      </c>
      <c r="F718" s="7">
        <v>1</v>
      </c>
      <c r="G718" s="7">
        <v>0</v>
      </c>
      <c r="H718" s="7">
        <v>0</v>
      </c>
      <c r="I718" s="7">
        <v>96</v>
      </c>
      <c r="J718" s="7">
        <v>12</v>
      </c>
      <c r="K718" s="7">
        <v>115</v>
      </c>
    </row>
    <row r="719" spans="1:11" x14ac:dyDescent="0.25">
      <c r="A719" s="7" t="s">
        <v>1714</v>
      </c>
      <c r="B719" s="7">
        <v>0</v>
      </c>
      <c r="C719" s="7">
        <v>0</v>
      </c>
      <c r="D719" s="7">
        <v>0</v>
      </c>
      <c r="E719" s="7">
        <v>20</v>
      </c>
      <c r="F719" s="7">
        <v>0</v>
      </c>
      <c r="G719" s="7">
        <v>0</v>
      </c>
      <c r="H719" s="7">
        <v>0</v>
      </c>
      <c r="I719" s="7">
        <v>0</v>
      </c>
      <c r="J719" s="7">
        <v>14</v>
      </c>
      <c r="K719" s="7">
        <v>34</v>
      </c>
    </row>
    <row r="720" spans="1:11" x14ac:dyDescent="0.25">
      <c r="A720" s="7" t="s">
        <v>1715</v>
      </c>
      <c r="B720" s="7">
        <v>0</v>
      </c>
      <c r="C720" s="7">
        <v>0</v>
      </c>
      <c r="D720" s="7">
        <v>13</v>
      </c>
      <c r="E720" s="7">
        <v>20</v>
      </c>
      <c r="F720" s="7">
        <v>0</v>
      </c>
      <c r="G720" s="7">
        <v>0</v>
      </c>
      <c r="H720" s="7">
        <v>0</v>
      </c>
      <c r="I720" s="7">
        <v>7</v>
      </c>
      <c r="J720" s="7">
        <v>10</v>
      </c>
      <c r="K720" s="7">
        <v>50</v>
      </c>
    </row>
    <row r="721" spans="1:11" x14ac:dyDescent="0.25">
      <c r="A721" s="7" t="s">
        <v>1716</v>
      </c>
      <c r="B721" s="7">
        <v>0</v>
      </c>
      <c r="C721" s="7">
        <v>5</v>
      </c>
      <c r="D721" s="7">
        <v>10</v>
      </c>
      <c r="E721" s="7">
        <v>37</v>
      </c>
      <c r="F721" s="7">
        <v>0</v>
      </c>
      <c r="G721" s="7">
        <v>0</v>
      </c>
      <c r="H721" s="7">
        <v>0</v>
      </c>
      <c r="I721" s="7">
        <v>2</v>
      </c>
      <c r="J721" s="7">
        <v>2</v>
      </c>
      <c r="K721" s="7">
        <v>56</v>
      </c>
    </row>
    <row r="722" spans="1:11" x14ac:dyDescent="0.25">
      <c r="A722" s="7" t="s">
        <v>1717</v>
      </c>
      <c r="B722" s="7">
        <v>0</v>
      </c>
      <c r="C722" s="7">
        <v>29</v>
      </c>
      <c r="D722" s="7">
        <v>36</v>
      </c>
      <c r="E722" s="7">
        <v>23</v>
      </c>
      <c r="F722" s="7">
        <v>0</v>
      </c>
      <c r="G722" s="7">
        <v>0</v>
      </c>
      <c r="H722" s="7">
        <v>0</v>
      </c>
      <c r="I722" s="7">
        <v>20</v>
      </c>
      <c r="J722" s="7">
        <v>12</v>
      </c>
      <c r="K722" s="7">
        <v>120</v>
      </c>
    </row>
    <row r="723" spans="1:11" x14ac:dyDescent="0.25">
      <c r="A723" s="7" t="s">
        <v>1718</v>
      </c>
      <c r="B723" s="7">
        <v>0</v>
      </c>
      <c r="C723" s="7">
        <v>5</v>
      </c>
      <c r="D723" s="7">
        <v>0</v>
      </c>
      <c r="E723" s="7">
        <v>27</v>
      </c>
      <c r="F723" s="7">
        <v>0</v>
      </c>
      <c r="G723" s="7">
        <v>0</v>
      </c>
      <c r="H723" s="7">
        <v>0</v>
      </c>
      <c r="I723" s="7">
        <v>28</v>
      </c>
      <c r="J723" s="7">
        <v>2</v>
      </c>
      <c r="K723" s="7">
        <v>62</v>
      </c>
    </row>
    <row r="724" spans="1:11" x14ac:dyDescent="0.25">
      <c r="A724" s="7" t="s">
        <v>1719</v>
      </c>
      <c r="B724" s="7">
        <v>0</v>
      </c>
      <c r="C724" s="7">
        <v>10</v>
      </c>
      <c r="D724" s="7">
        <v>11</v>
      </c>
      <c r="E724" s="7">
        <v>1</v>
      </c>
      <c r="F724" s="7">
        <v>0</v>
      </c>
      <c r="G724" s="7">
        <v>0</v>
      </c>
      <c r="H724" s="7">
        <v>0</v>
      </c>
      <c r="I724" s="7">
        <v>55</v>
      </c>
      <c r="J724" s="7">
        <v>3</v>
      </c>
      <c r="K724" s="7">
        <v>80</v>
      </c>
    </row>
    <row r="725" spans="1:11" x14ac:dyDescent="0.25">
      <c r="A725" s="7" t="s">
        <v>1720</v>
      </c>
      <c r="B725" s="7">
        <v>0</v>
      </c>
      <c r="C725" s="7">
        <v>113</v>
      </c>
      <c r="D725" s="7">
        <v>0</v>
      </c>
      <c r="E725" s="7">
        <v>10</v>
      </c>
      <c r="F725" s="7">
        <v>0</v>
      </c>
      <c r="G725" s="7">
        <v>1</v>
      </c>
      <c r="H725" s="7">
        <v>0</v>
      </c>
      <c r="I725" s="7">
        <v>8</v>
      </c>
      <c r="J725" s="7">
        <v>5</v>
      </c>
      <c r="K725" s="7">
        <v>137</v>
      </c>
    </row>
    <row r="726" spans="1:11" x14ac:dyDescent="0.25">
      <c r="A726" s="7" t="s">
        <v>1721</v>
      </c>
      <c r="B726" s="7">
        <v>0</v>
      </c>
      <c r="C726" s="7">
        <v>5</v>
      </c>
      <c r="D726" s="7">
        <v>0</v>
      </c>
      <c r="E726" s="7">
        <v>4</v>
      </c>
      <c r="F726" s="7">
        <v>0</v>
      </c>
      <c r="G726" s="7">
        <v>0</v>
      </c>
      <c r="H726" s="7">
        <v>0</v>
      </c>
      <c r="I726" s="7">
        <v>75</v>
      </c>
      <c r="J726" s="7">
        <v>1</v>
      </c>
      <c r="K726" s="7">
        <v>85</v>
      </c>
    </row>
    <row r="727" spans="1:11" x14ac:dyDescent="0.25">
      <c r="A727" s="7" t="s">
        <v>1722</v>
      </c>
      <c r="B727" s="7">
        <v>0</v>
      </c>
      <c r="C727" s="7">
        <v>46</v>
      </c>
      <c r="D727" s="7">
        <v>0</v>
      </c>
      <c r="E727" s="7">
        <v>5</v>
      </c>
      <c r="F727" s="7">
        <v>1</v>
      </c>
      <c r="G727" s="7">
        <v>1</v>
      </c>
      <c r="H727" s="7">
        <v>0</v>
      </c>
      <c r="I727" s="7">
        <v>92</v>
      </c>
      <c r="J727" s="7">
        <v>2</v>
      </c>
      <c r="K727" s="7">
        <v>147</v>
      </c>
    </row>
    <row r="728" spans="1:11" x14ac:dyDescent="0.25">
      <c r="A728" s="7" t="s">
        <v>1723</v>
      </c>
      <c r="B728" s="7">
        <v>0</v>
      </c>
      <c r="C728" s="7">
        <v>11</v>
      </c>
      <c r="D728" s="7">
        <v>0</v>
      </c>
      <c r="E728" s="7">
        <v>14</v>
      </c>
      <c r="F728" s="7">
        <v>0</v>
      </c>
      <c r="G728" s="7">
        <v>0</v>
      </c>
      <c r="H728" s="7">
        <v>0</v>
      </c>
      <c r="I728" s="7">
        <v>85</v>
      </c>
      <c r="J728" s="7">
        <v>0</v>
      </c>
      <c r="K728" s="7">
        <v>110</v>
      </c>
    </row>
    <row r="729" spans="1:11" x14ac:dyDescent="0.25">
      <c r="A729" s="7" t="s">
        <v>1724</v>
      </c>
      <c r="B729" s="7">
        <v>0</v>
      </c>
      <c r="C729" s="7">
        <v>20</v>
      </c>
      <c r="D729" s="7">
        <v>0</v>
      </c>
      <c r="E729" s="7">
        <v>11</v>
      </c>
      <c r="F729" s="7">
        <v>0</v>
      </c>
      <c r="G729" s="7">
        <v>0</v>
      </c>
      <c r="H729" s="7">
        <v>0</v>
      </c>
      <c r="I729" s="7">
        <v>53</v>
      </c>
      <c r="J729" s="7">
        <v>2</v>
      </c>
      <c r="K729" s="7">
        <v>86</v>
      </c>
    </row>
    <row r="730" spans="1:11" x14ac:dyDescent="0.25">
      <c r="A730" s="7" t="s">
        <v>1725</v>
      </c>
      <c r="B730" s="7">
        <v>0</v>
      </c>
      <c r="C730" s="7">
        <v>56</v>
      </c>
      <c r="D730" s="7">
        <v>0</v>
      </c>
      <c r="E730" s="7">
        <v>0</v>
      </c>
      <c r="F730" s="7">
        <v>0</v>
      </c>
      <c r="G730" s="7">
        <v>1</v>
      </c>
      <c r="H730" s="7">
        <v>0</v>
      </c>
      <c r="I730" s="7">
        <v>3</v>
      </c>
      <c r="J730" s="7">
        <v>0</v>
      </c>
      <c r="K730" s="7">
        <v>60</v>
      </c>
    </row>
    <row r="731" spans="1:11" x14ac:dyDescent="0.25">
      <c r="A731" s="7" t="s">
        <v>1726</v>
      </c>
      <c r="B731" s="7">
        <v>0</v>
      </c>
      <c r="C731" s="7">
        <v>92</v>
      </c>
      <c r="D731" s="7">
        <v>0</v>
      </c>
      <c r="E731" s="7">
        <v>1</v>
      </c>
      <c r="F731" s="7">
        <v>0</v>
      </c>
      <c r="G731" s="7">
        <v>0</v>
      </c>
      <c r="H731" s="7">
        <v>0</v>
      </c>
      <c r="I731" s="7">
        <v>6</v>
      </c>
      <c r="J731" s="7">
        <v>0</v>
      </c>
      <c r="K731" s="7">
        <v>99</v>
      </c>
    </row>
    <row r="732" spans="1:11" x14ac:dyDescent="0.25">
      <c r="A732" s="7" t="s">
        <v>1727</v>
      </c>
      <c r="B732" s="7">
        <v>0</v>
      </c>
      <c r="C732" s="7">
        <v>59</v>
      </c>
      <c r="D732" s="7">
        <v>2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62</v>
      </c>
    </row>
    <row r="733" spans="1:11" x14ac:dyDescent="0.25">
      <c r="A733" s="7" t="s">
        <v>1728</v>
      </c>
      <c r="B733" s="7">
        <v>0</v>
      </c>
      <c r="C733" s="7">
        <v>60</v>
      </c>
      <c r="D733" s="7">
        <v>10</v>
      </c>
      <c r="E733" s="7">
        <v>8</v>
      </c>
      <c r="F733" s="7">
        <v>0</v>
      </c>
      <c r="G733" s="7">
        <v>2</v>
      </c>
      <c r="H733" s="7">
        <v>0</v>
      </c>
      <c r="I733" s="7">
        <v>64</v>
      </c>
      <c r="J733" s="7">
        <v>1</v>
      </c>
      <c r="K733" s="7">
        <v>145</v>
      </c>
    </row>
    <row r="734" spans="1:11" x14ac:dyDescent="0.25">
      <c r="A734" s="7" t="s">
        <v>1729</v>
      </c>
      <c r="B734" s="7">
        <v>0</v>
      </c>
      <c r="C734" s="7">
        <v>13</v>
      </c>
      <c r="D734" s="7">
        <v>0</v>
      </c>
      <c r="E734" s="7">
        <v>8</v>
      </c>
      <c r="F734" s="7">
        <v>0</v>
      </c>
      <c r="G734" s="7">
        <v>0</v>
      </c>
      <c r="H734" s="7">
        <v>0</v>
      </c>
      <c r="I734" s="7">
        <v>90</v>
      </c>
      <c r="J734" s="7">
        <v>0</v>
      </c>
      <c r="K734" s="7">
        <v>111</v>
      </c>
    </row>
    <row r="735" spans="1:11" x14ac:dyDescent="0.25">
      <c r="A735" s="7" t="s">
        <v>1730</v>
      </c>
      <c r="B735" s="7">
        <v>0</v>
      </c>
      <c r="C735" s="7">
        <v>20</v>
      </c>
      <c r="D735" s="7">
        <v>2</v>
      </c>
      <c r="E735" s="7">
        <v>2</v>
      </c>
      <c r="F735" s="7">
        <v>0</v>
      </c>
      <c r="G735" s="7">
        <v>0</v>
      </c>
      <c r="H735" s="7">
        <v>0</v>
      </c>
      <c r="I735" s="7">
        <v>84</v>
      </c>
      <c r="J735" s="7">
        <v>0</v>
      </c>
      <c r="K735" s="7">
        <v>108</v>
      </c>
    </row>
    <row r="736" spans="1:11" x14ac:dyDescent="0.25">
      <c r="A736" s="7" t="s">
        <v>1731</v>
      </c>
      <c r="B736" s="7">
        <v>0</v>
      </c>
      <c r="C736" s="7">
        <v>36</v>
      </c>
      <c r="D736" s="7">
        <v>2</v>
      </c>
      <c r="E736" s="7">
        <v>1</v>
      </c>
      <c r="F736" s="7">
        <v>0</v>
      </c>
      <c r="G736" s="7">
        <v>0</v>
      </c>
      <c r="H736" s="7">
        <v>0</v>
      </c>
      <c r="I736" s="7">
        <v>40</v>
      </c>
      <c r="J736" s="7">
        <v>0</v>
      </c>
      <c r="K736" s="7">
        <v>79</v>
      </c>
    </row>
    <row r="737" spans="1:11" x14ac:dyDescent="0.25">
      <c r="A737" s="7" t="s">
        <v>1732</v>
      </c>
      <c r="B737" s="7">
        <v>0</v>
      </c>
      <c r="C737" s="7">
        <v>47</v>
      </c>
      <c r="D737" s="7">
        <v>2</v>
      </c>
      <c r="E737" s="7">
        <v>1</v>
      </c>
      <c r="F737" s="7">
        <v>0</v>
      </c>
      <c r="G737" s="7">
        <v>0</v>
      </c>
      <c r="H737" s="7">
        <v>0</v>
      </c>
      <c r="I737" s="7">
        <v>89</v>
      </c>
      <c r="J737" s="7">
        <v>0</v>
      </c>
      <c r="K737" s="7">
        <v>139</v>
      </c>
    </row>
    <row r="738" spans="1:11" x14ac:dyDescent="0.25">
      <c r="A738" s="7" t="s">
        <v>1733</v>
      </c>
      <c r="B738" s="7">
        <v>0</v>
      </c>
      <c r="C738" s="7">
        <v>138</v>
      </c>
      <c r="D738" s="7">
        <v>0</v>
      </c>
      <c r="E738" s="7">
        <v>0</v>
      </c>
      <c r="F738" s="7">
        <v>0</v>
      </c>
      <c r="G738" s="7">
        <v>18</v>
      </c>
      <c r="H738" s="7">
        <v>0</v>
      </c>
      <c r="I738" s="7">
        <v>0</v>
      </c>
      <c r="J738" s="7">
        <v>0</v>
      </c>
      <c r="K738" s="7">
        <v>156</v>
      </c>
    </row>
    <row r="739" spans="1:11" x14ac:dyDescent="0.25">
      <c r="A739" s="7" t="s">
        <v>1734</v>
      </c>
      <c r="B739" s="7">
        <v>0</v>
      </c>
      <c r="C739" s="7">
        <v>251</v>
      </c>
      <c r="D739" s="7">
        <v>0</v>
      </c>
      <c r="E739" s="7">
        <v>0</v>
      </c>
      <c r="F739" s="7">
        <v>2</v>
      </c>
      <c r="G739" s="7">
        <v>4</v>
      </c>
      <c r="H739" s="7">
        <v>0</v>
      </c>
      <c r="I739" s="7">
        <v>0</v>
      </c>
      <c r="J739" s="7">
        <v>0</v>
      </c>
      <c r="K739" s="7">
        <v>257</v>
      </c>
    </row>
    <row r="740" spans="1:11" x14ac:dyDescent="0.25">
      <c r="A740" s="7" t="s">
        <v>1735</v>
      </c>
      <c r="B740" s="7">
        <v>0</v>
      </c>
      <c r="C740" s="7">
        <v>244</v>
      </c>
      <c r="D740" s="7">
        <v>0</v>
      </c>
      <c r="E740" s="7">
        <v>0</v>
      </c>
      <c r="F740" s="7">
        <v>1</v>
      </c>
      <c r="G740" s="7">
        <v>2</v>
      </c>
      <c r="H740" s="7">
        <v>0</v>
      </c>
      <c r="I740" s="7">
        <v>0</v>
      </c>
      <c r="J740" s="7">
        <v>2</v>
      </c>
      <c r="K740" s="7">
        <v>249</v>
      </c>
    </row>
    <row r="741" spans="1:11" x14ac:dyDescent="0.25">
      <c r="A741" s="7" t="s">
        <v>1736</v>
      </c>
      <c r="B741" s="7">
        <v>0</v>
      </c>
      <c r="C741" s="7">
        <v>84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3</v>
      </c>
      <c r="J741" s="7">
        <v>1</v>
      </c>
      <c r="K741" s="7">
        <v>88</v>
      </c>
    </row>
    <row r="742" spans="1:11" x14ac:dyDescent="0.25">
      <c r="A742" s="7" t="s">
        <v>1737</v>
      </c>
      <c r="B742" s="7">
        <v>0</v>
      </c>
      <c r="C742" s="7">
        <v>83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1</v>
      </c>
      <c r="K742" s="7">
        <v>84</v>
      </c>
    </row>
    <row r="743" spans="1:11" x14ac:dyDescent="0.25">
      <c r="A743" s="7" t="s">
        <v>1738</v>
      </c>
      <c r="B743" s="7">
        <v>0</v>
      </c>
      <c r="C743" s="7">
        <v>121</v>
      </c>
      <c r="D743" s="7">
        <v>1</v>
      </c>
      <c r="E743" s="7">
        <v>0</v>
      </c>
      <c r="F743" s="7">
        <v>0</v>
      </c>
      <c r="G743" s="7">
        <v>1</v>
      </c>
      <c r="H743" s="7">
        <v>0</v>
      </c>
      <c r="I743" s="7">
        <v>1</v>
      </c>
      <c r="J743" s="7">
        <v>1</v>
      </c>
      <c r="K743" s="7">
        <v>125</v>
      </c>
    </row>
    <row r="744" spans="1:11" x14ac:dyDescent="0.25">
      <c r="A744" s="7" t="s">
        <v>1739</v>
      </c>
      <c r="B744" s="7">
        <v>0</v>
      </c>
      <c r="C744" s="7">
        <v>88</v>
      </c>
      <c r="D744" s="7">
        <v>0</v>
      </c>
      <c r="E744" s="7">
        <v>0</v>
      </c>
      <c r="F744" s="7">
        <v>0</v>
      </c>
      <c r="G744" s="7">
        <v>0</v>
      </c>
      <c r="H744" s="7">
        <v>0</v>
      </c>
      <c r="I744" s="7">
        <v>4</v>
      </c>
      <c r="J744" s="7">
        <v>2</v>
      </c>
      <c r="K744" s="7">
        <v>94</v>
      </c>
    </row>
    <row r="745" spans="1:11" x14ac:dyDescent="0.25">
      <c r="A745" s="7" t="s">
        <v>1740</v>
      </c>
      <c r="B745" s="7">
        <v>0</v>
      </c>
      <c r="C745" s="7">
        <v>63</v>
      </c>
      <c r="D745" s="7">
        <v>1</v>
      </c>
      <c r="E745" s="7">
        <v>0</v>
      </c>
      <c r="F745" s="7">
        <v>0</v>
      </c>
      <c r="G745" s="7">
        <v>0</v>
      </c>
      <c r="H745" s="7">
        <v>0</v>
      </c>
      <c r="I745" s="7">
        <v>9</v>
      </c>
      <c r="J745" s="7">
        <v>0</v>
      </c>
      <c r="K745" s="7">
        <v>73</v>
      </c>
    </row>
    <row r="746" spans="1:11" x14ac:dyDescent="0.25">
      <c r="A746" s="7" t="s">
        <v>1741</v>
      </c>
      <c r="B746" s="7">
        <v>0</v>
      </c>
      <c r="C746" s="7">
        <v>45</v>
      </c>
      <c r="D746" s="7">
        <v>1</v>
      </c>
      <c r="E746" s="7">
        <v>0</v>
      </c>
      <c r="F746" s="7">
        <v>0</v>
      </c>
      <c r="G746" s="7">
        <v>0</v>
      </c>
      <c r="H746" s="7">
        <v>0</v>
      </c>
      <c r="I746" s="7">
        <v>6</v>
      </c>
      <c r="J746" s="7">
        <v>1</v>
      </c>
      <c r="K746" s="7">
        <v>53</v>
      </c>
    </row>
    <row r="747" spans="1:11" x14ac:dyDescent="0.25">
      <c r="A747" s="7" t="s">
        <v>1742</v>
      </c>
      <c r="B747" s="7">
        <v>0</v>
      </c>
      <c r="C747" s="7">
        <v>55</v>
      </c>
      <c r="D747" s="7">
        <v>0</v>
      </c>
      <c r="E747" s="7">
        <v>0</v>
      </c>
      <c r="F747" s="7">
        <v>0</v>
      </c>
      <c r="G747" s="7">
        <v>2</v>
      </c>
      <c r="H747" s="7">
        <v>0</v>
      </c>
      <c r="I747" s="7">
        <v>7</v>
      </c>
      <c r="J747" s="7">
        <v>1</v>
      </c>
      <c r="K747" s="7">
        <v>65</v>
      </c>
    </row>
    <row r="748" spans="1:11" x14ac:dyDescent="0.25">
      <c r="A748" s="7" t="s">
        <v>1743</v>
      </c>
      <c r="B748" s="7">
        <v>0</v>
      </c>
      <c r="C748" s="7">
        <v>98</v>
      </c>
      <c r="D748" s="7">
        <v>1</v>
      </c>
      <c r="E748" s="7">
        <v>33</v>
      </c>
      <c r="F748" s="7">
        <v>0</v>
      </c>
      <c r="G748" s="7">
        <v>2</v>
      </c>
      <c r="H748" s="7">
        <v>0</v>
      </c>
      <c r="I748" s="7">
        <v>110</v>
      </c>
      <c r="J748" s="7">
        <v>2</v>
      </c>
      <c r="K748" s="7">
        <v>246</v>
      </c>
    </row>
    <row r="749" spans="1:11" x14ac:dyDescent="0.25">
      <c r="A749" s="7" t="s">
        <v>1744</v>
      </c>
      <c r="B749" s="7">
        <v>0</v>
      </c>
      <c r="C749" s="7">
        <v>28</v>
      </c>
      <c r="D749" s="7">
        <v>1</v>
      </c>
      <c r="E749" s="7">
        <v>0</v>
      </c>
      <c r="F749" s="7">
        <v>0</v>
      </c>
      <c r="G749" s="7">
        <v>1</v>
      </c>
      <c r="H749" s="7">
        <v>0</v>
      </c>
      <c r="I749" s="7">
        <v>4</v>
      </c>
      <c r="J749" s="7">
        <v>2</v>
      </c>
      <c r="K749" s="7">
        <v>36</v>
      </c>
    </row>
    <row r="750" spans="1:11" x14ac:dyDescent="0.25">
      <c r="A750" s="7" t="s">
        <v>1745</v>
      </c>
      <c r="B750" s="7">
        <v>0</v>
      </c>
      <c r="C750" s="7">
        <v>82</v>
      </c>
      <c r="D750" s="7">
        <v>0</v>
      </c>
      <c r="E750" s="7">
        <v>0</v>
      </c>
      <c r="F750" s="7">
        <v>1</v>
      </c>
      <c r="G750" s="7">
        <v>0</v>
      </c>
      <c r="H750" s="7">
        <v>0</v>
      </c>
      <c r="I750" s="7">
        <v>1</v>
      </c>
      <c r="J750" s="7">
        <v>0</v>
      </c>
      <c r="K750" s="7">
        <v>84</v>
      </c>
    </row>
    <row r="751" spans="1:11" x14ac:dyDescent="0.25">
      <c r="A751" s="7" t="s">
        <v>1746</v>
      </c>
      <c r="B751" s="7">
        <v>0</v>
      </c>
      <c r="C751" s="7">
        <v>53</v>
      </c>
      <c r="D751" s="7">
        <v>0</v>
      </c>
      <c r="E751" s="7">
        <v>0</v>
      </c>
      <c r="F751" s="7">
        <v>5</v>
      </c>
      <c r="G751" s="7">
        <v>1</v>
      </c>
      <c r="H751" s="7">
        <v>0</v>
      </c>
      <c r="I751" s="7">
        <v>3</v>
      </c>
      <c r="J751" s="7">
        <v>0</v>
      </c>
      <c r="K751" s="7">
        <v>62</v>
      </c>
    </row>
    <row r="752" spans="1:11" x14ac:dyDescent="0.25">
      <c r="A752" s="7" t="s">
        <v>1747</v>
      </c>
      <c r="B752" s="7">
        <v>0</v>
      </c>
      <c r="C752" s="7">
        <v>67</v>
      </c>
      <c r="D752" s="7">
        <v>0</v>
      </c>
      <c r="E752" s="7">
        <v>0</v>
      </c>
      <c r="F752" s="7">
        <v>0</v>
      </c>
      <c r="G752" s="7">
        <v>0</v>
      </c>
      <c r="H752" s="7">
        <v>0</v>
      </c>
      <c r="I752" s="7">
        <v>2</v>
      </c>
      <c r="J752" s="7">
        <v>0</v>
      </c>
      <c r="K752" s="7">
        <v>69</v>
      </c>
    </row>
    <row r="753" spans="1:11" x14ac:dyDescent="0.25">
      <c r="A753" s="7" t="s">
        <v>1748</v>
      </c>
      <c r="B753" s="7">
        <v>0</v>
      </c>
      <c r="C753" s="7">
        <v>75</v>
      </c>
      <c r="D753" s="7">
        <v>1</v>
      </c>
      <c r="E753" s="7">
        <v>0</v>
      </c>
      <c r="F753" s="7">
        <v>0</v>
      </c>
      <c r="G753" s="7">
        <v>1</v>
      </c>
      <c r="H753" s="7">
        <v>0</v>
      </c>
      <c r="I753" s="7">
        <v>21</v>
      </c>
      <c r="J753" s="7">
        <v>0</v>
      </c>
      <c r="K753" s="7">
        <v>98</v>
      </c>
    </row>
    <row r="754" spans="1:11" x14ac:dyDescent="0.25">
      <c r="A754" s="7" t="s">
        <v>1749</v>
      </c>
      <c r="B754" s="7">
        <v>0</v>
      </c>
      <c r="C754" s="7">
        <v>56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56</v>
      </c>
    </row>
    <row r="755" spans="1:11" x14ac:dyDescent="0.25">
      <c r="A755" s="7" t="s">
        <v>1750</v>
      </c>
      <c r="B755" s="7">
        <v>0</v>
      </c>
      <c r="C755" s="7">
        <v>215</v>
      </c>
      <c r="D755" s="7">
        <v>0</v>
      </c>
      <c r="E755" s="7">
        <v>0</v>
      </c>
      <c r="F755" s="7">
        <v>0</v>
      </c>
      <c r="G755" s="7">
        <v>4</v>
      </c>
      <c r="H755" s="7">
        <v>0</v>
      </c>
      <c r="I755" s="7">
        <v>4</v>
      </c>
      <c r="J755" s="7">
        <v>0</v>
      </c>
      <c r="K755" s="7">
        <v>223</v>
      </c>
    </row>
    <row r="756" spans="1:11" x14ac:dyDescent="0.25">
      <c r="A756" s="7" t="s">
        <v>1751</v>
      </c>
      <c r="B756" s="7">
        <v>0</v>
      </c>
      <c r="C756" s="7">
        <v>3</v>
      </c>
      <c r="D756" s="7">
        <v>1</v>
      </c>
      <c r="E756" s="7">
        <v>0</v>
      </c>
      <c r="F756" s="7">
        <v>0</v>
      </c>
      <c r="G756" s="7">
        <v>0</v>
      </c>
      <c r="H756" s="7">
        <v>0</v>
      </c>
      <c r="I756" s="7">
        <v>113</v>
      </c>
      <c r="J756" s="7">
        <v>1</v>
      </c>
      <c r="K756" s="7">
        <v>118</v>
      </c>
    </row>
    <row r="757" spans="1:11" x14ac:dyDescent="0.25">
      <c r="A757" s="7" t="s">
        <v>1752</v>
      </c>
      <c r="B757" s="7">
        <v>0</v>
      </c>
      <c r="C757" s="7">
        <v>64</v>
      </c>
      <c r="D757" s="7">
        <v>4</v>
      </c>
      <c r="E757" s="7">
        <v>2</v>
      </c>
      <c r="F757" s="7">
        <v>0</v>
      </c>
      <c r="G757" s="7">
        <v>0</v>
      </c>
      <c r="H757" s="7">
        <v>0</v>
      </c>
      <c r="I757" s="7">
        <v>71</v>
      </c>
      <c r="J757" s="7">
        <v>0</v>
      </c>
      <c r="K757" s="7">
        <v>141</v>
      </c>
    </row>
    <row r="758" spans="1:11" x14ac:dyDescent="0.25">
      <c r="A758" s="7" t="s">
        <v>1753</v>
      </c>
      <c r="B758" s="7">
        <v>0</v>
      </c>
      <c r="C758" s="7">
        <v>8</v>
      </c>
      <c r="D758" s="7">
        <v>54</v>
      </c>
      <c r="E758" s="7">
        <v>101</v>
      </c>
      <c r="F758" s="7">
        <v>0</v>
      </c>
      <c r="G758" s="7">
        <v>0</v>
      </c>
      <c r="H758" s="7">
        <v>0</v>
      </c>
      <c r="I758" s="7">
        <v>124</v>
      </c>
      <c r="J758" s="7">
        <v>0</v>
      </c>
      <c r="K758" s="7">
        <v>287</v>
      </c>
    </row>
    <row r="759" spans="1:11" x14ac:dyDescent="0.25">
      <c r="A759" s="7" t="s">
        <v>1754</v>
      </c>
      <c r="B759" s="7">
        <v>0</v>
      </c>
      <c r="C759" s="7">
        <v>33</v>
      </c>
      <c r="D759" s="7">
        <v>2</v>
      </c>
      <c r="E759" s="7">
        <v>0</v>
      </c>
      <c r="F759" s="7">
        <v>0</v>
      </c>
      <c r="G759" s="7">
        <v>0</v>
      </c>
      <c r="H759" s="7">
        <v>0</v>
      </c>
      <c r="I759" s="7">
        <v>65</v>
      </c>
      <c r="J759" s="7">
        <v>0</v>
      </c>
      <c r="K759" s="7">
        <v>100</v>
      </c>
    </row>
    <row r="760" spans="1:11" x14ac:dyDescent="0.25">
      <c r="A760" s="7" t="s">
        <v>1755</v>
      </c>
      <c r="B760" s="7">
        <v>0</v>
      </c>
      <c r="C760" s="7">
        <v>0</v>
      </c>
      <c r="D760" s="7">
        <v>7</v>
      </c>
      <c r="E760" s="7">
        <v>0</v>
      </c>
      <c r="F760" s="7">
        <v>0</v>
      </c>
      <c r="G760" s="7">
        <v>0</v>
      </c>
      <c r="H760" s="7">
        <v>0</v>
      </c>
      <c r="I760" s="7">
        <v>164</v>
      </c>
      <c r="J760" s="7">
        <v>0</v>
      </c>
      <c r="K760" s="7">
        <v>171</v>
      </c>
    </row>
    <row r="761" spans="1:11" x14ac:dyDescent="0.25">
      <c r="A761" s="7" t="s">
        <v>1756</v>
      </c>
      <c r="B761" s="7">
        <v>0</v>
      </c>
      <c r="C761" s="7">
        <v>3</v>
      </c>
      <c r="D761" s="7">
        <v>16</v>
      </c>
      <c r="E761" s="7">
        <v>9</v>
      </c>
      <c r="F761" s="7">
        <v>0</v>
      </c>
      <c r="G761" s="7">
        <v>0</v>
      </c>
      <c r="H761" s="7">
        <v>0</v>
      </c>
      <c r="I761" s="7">
        <v>31</v>
      </c>
      <c r="J761" s="7">
        <v>1</v>
      </c>
      <c r="K761" s="7">
        <v>60</v>
      </c>
    </row>
    <row r="762" spans="1:11" x14ac:dyDescent="0.25">
      <c r="A762" s="7" t="s">
        <v>1757</v>
      </c>
      <c r="B762" s="7">
        <v>0</v>
      </c>
      <c r="C762" s="7">
        <v>16</v>
      </c>
      <c r="D762" s="7">
        <v>0</v>
      </c>
      <c r="E762" s="7">
        <v>4</v>
      </c>
      <c r="F762" s="7">
        <v>0</v>
      </c>
      <c r="G762" s="7">
        <v>1</v>
      </c>
      <c r="H762" s="7">
        <v>0</v>
      </c>
      <c r="I762" s="7">
        <v>27</v>
      </c>
      <c r="J762" s="7">
        <v>0</v>
      </c>
      <c r="K762" s="7">
        <v>48</v>
      </c>
    </row>
    <row r="763" spans="1:11" x14ac:dyDescent="0.25">
      <c r="A763" s="7" t="s">
        <v>1758</v>
      </c>
      <c r="B763" s="7">
        <v>0</v>
      </c>
      <c r="C763" s="7">
        <v>30</v>
      </c>
      <c r="D763" s="7">
        <v>0</v>
      </c>
      <c r="E763" s="7">
        <v>11</v>
      </c>
      <c r="F763" s="7">
        <v>0</v>
      </c>
      <c r="G763" s="7">
        <v>6</v>
      </c>
      <c r="H763" s="7">
        <v>0</v>
      </c>
      <c r="I763" s="7">
        <v>16</v>
      </c>
      <c r="J763" s="7">
        <v>0</v>
      </c>
      <c r="K763" s="7">
        <v>63</v>
      </c>
    </row>
    <row r="764" spans="1:11" x14ac:dyDescent="0.25">
      <c r="A764" s="7" t="s">
        <v>1759</v>
      </c>
      <c r="B764" s="7">
        <v>0</v>
      </c>
      <c r="C764" s="7">
        <v>8</v>
      </c>
      <c r="D764" s="7">
        <v>0</v>
      </c>
      <c r="E764" s="7">
        <v>22</v>
      </c>
      <c r="F764" s="7">
        <v>0</v>
      </c>
      <c r="G764" s="7">
        <v>0</v>
      </c>
      <c r="H764" s="7">
        <v>0</v>
      </c>
      <c r="I764" s="7">
        <v>30</v>
      </c>
      <c r="J764" s="7">
        <v>1</v>
      </c>
      <c r="K764" s="7">
        <v>61</v>
      </c>
    </row>
    <row r="765" spans="1:11" x14ac:dyDescent="0.25">
      <c r="A765" s="7" t="s">
        <v>1760</v>
      </c>
      <c r="B765" s="7">
        <v>0</v>
      </c>
      <c r="C765" s="7">
        <v>2</v>
      </c>
      <c r="D765" s="7">
        <v>0</v>
      </c>
      <c r="E765" s="7">
        <v>3</v>
      </c>
      <c r="F765" s="7">
        <v>0</v>
      </c>
      <c r="G765" s="7">
        <v>0</v>
      </c>
      <c r="H765" s="7">
        <v>0</v>
      </c>
      <c r="I765" s="7">
        <v>37</v>
      </c>
      <c r="J765" s="7">
        <v>0</v>
      </c>
      <c r="K765" s="7">
        <v>42</v>
      </c>
    </row>
    <row r="766" spans="1:11" x14ac:dyDescent="0.25">
      <c r="A766" s="7" t="s">
        <v>1761</v>
      </c>
      <c r="B766" s="7">
        <v>0</v>
      </c>
      <c r="C766" s="7">
        <v>5</v>
      </c>
      <c r="D766" s="7">
        <v>0</v>
      </c>
      <c r="E766" s="7">
        <v>40</v>
      </c>
      <c r="F766" s="7">
        <v>0</v>
      </c>
      <c r="G766" s="7">
        <v>0</v>
      </c>
      <c r="H766" s="7">
        <v>0</v>
      </c>
      <c r="I766" s="7">
        <v>21</v>
      </c>
      <c r="J766" s="7">
        <v>1</v>
      </c>
      <c r="K766" s="7">
        <v>67</v>
      </c>
    </row>
    <row r="767" spans="1:11" x14ac:dyDescent="0.25">
      <c r="A767" s="7" t="s">
        <v>1762</v>
      </c>
      <c r="B767" s="7">
        <v>0</v>
      </c>
      <c r="C767" s="7">
        <v>2</v>
      </c>
      <c r="D767" s="7">
        <v>5</v>
      </c>
      <c r="E767" s="7">
        <v>14</v>
      </c>
      <c r="F767" s="7">
        <v>0</v>
      </c>
      <c r="G767" s="7">
        <v>0</v>
      </c>
      <c r="H767" s="7">
        <v>0</v>
      </c>
      <c r="I767" s="7">
        <v>31</v>
      </c>
      <c r="J767" s="7">
        <v>7</v>
      </c>
      <c r="K767" s="7">
        <v>59</v>
      </c>
    </row>
    <row r="768" spans="1:11" x14ac:dyDescent="0.25">
      <c r="A768" s="7" t="s">
        <v>1763</v>
      </c>
      <c r="B768" s="7">
        <v>0</v>
      </c>
      <c r="C768" s="7">
        <v>7</v>
      </c>
      <c r="D768" s="7">
        <v>20</v>
      </c>
      <c r="E768" s="7">
        <v>23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50</v>
      </c>
    </row>
    <row r="769" spans="1:11" x14ac:dyDescent="0.25">
      <c r="A769" s="7" t="s">
        <v>1764</v>
      </c>
      <c r="B769" s="7">
        <v>0</v>
      </c>
      <c r="C769" s="7">
        <v>2</v>
      </c>
      <c r="D769" s="7">
        <v>0</v>
      </c>
      <c r="E769" s="7">
        <v>6</v>
      </c>
      <c r="F769" s="7">
        <v>0</v>
      </c>
      <c r="G769" s="7">
        <v>0</v>
      </c>
      <c r="H769" s="7">
        <v>0</v>
      </c>
      <c r="I769" s="7">
        <v>86</v>
      </c>
      <c r="J769" s="7">
        <v>1</v>
      </c>
      <c r="K769" s="7">
        <v>95</v>
      </c>
    </row>
    <row r="770" spans="1:11" x14ac:dyDescent="0.25">
      <c r="A770" s="7" t="s">
        <v>1765</v>
      </c>
      <c r="B770" s="7">
        <v>0</v>
      </c>
      <c r="C770" s="7">
        <v>39</v>
      </c>
      <c r="D770" s="7">
        <v>20</v>
      </c>
      <c r="E770" s="7">
        <v>0</v>
      </c>
      <c r="F770" s="7">
        <v>3</v>
      </c>
      <c r="G770" s="7">
        <v>8</v>
      </c>
      <c r="H770" s="7">
        <v>0</v>
      </c>
      <c r="I770" s="7">
        <v>12</v>
      </c>
      <c r="J770" s="7">
        <v>0</v>
      </c>
      <c r="K770" s="7">
        <v>82</v>
      </c>
    </row>
    <row r="771" spans="1:11" x14ac:dyDescent="0.25">
      <c r="A771" s="7" t="s">
        <v>1766</v>
      </c>
      <c r="B771" s="7">
        <v>0</v>
      </c>
      <c r="C771" s="7">
        <v>0</v>
      </c>
      <c r="D771" s="7">
        <v>18</v>
      </c>
      <c r="E771" s="7">
        <v>0</v>
      </c>
      <c r="F771" s="7">
        <v>0</v>
      </c>
      <c r="G771" s="7">
        <v>0</v>
      </c>
      <c r="H771" s="7">
        <v>0</v>
      </c>
      <c r="I771" s="7">
        <v>4</v>
      </c>
      <c r="J771" s="7">
        <v>16</v>
      </c>
      <c r="K771" s="7">
        <v>38</v>
      </c>
    </row>
    <row r="772" spans="1:11" x14ac:dyDescent="0.25">
      <c r="A772" s="7" t="s">
        <v>1767</v>
      </c>
      <c r="B772" s="7">
        <v>0</v>
      </c>
      <c r="C772" s="7">
        <v>0</v>
      </c>
      <c r="D772" s="7">
        <v>4</v>
      </c>
      <c r="E772" s="7">
        <v>1</v>
      </c>
      <c r="F772" s="7">
        <v>0</v>
      </c>
      <c r="G772" s="7">
        <v>0</v>
      </c>
      <c r="H772" s="7">
        <v>0</v>
      </c>
      <c r="I772" s="7">
        <v>1</v>
      </c>
      <c r="J772" s="7">
        <v>27</v>
      </c>
      <c r="K772" s="7">
        <v>33</v>
      </c>
    </row>
    <row r="773" spans="1:11" x14ac:dyDescent="0.25">
      <c r="A773" s="7" t="s">
        <v>1768</v>
      </c>
      <c r="B773" s="7">
        <v>0</v>
      </c>
      <c r="C773" s="7">
        <v>66</v>
      </c>
      <c r="D773" s="7">
        <v>3</v>
      </c>
      <c r="E773" s="7">
        <v>43</v>
      </c>
      <c r="F773" s="7">
        <v>0</v>
      </c>
      <c r="G773" s="7">
        <v>2</v>
      </c>
      <c r="H773" s="7">
        <v>0</v>
      </c>
      <c r="I773" s="7">
        <v>12</v>
      </c>
      <c r="J773" s="7">
        <v>4</v>
      </c>
      <c r="K773" s="7">
        <v>130</v>
      </c>
    </row>
    <row r="774" spans="1:11" x14ac:dyDescent="0.25">
      <c r="A774" s="7" t="s">
        <v>1769</v>
      </c>
      <c r="B774" s="7">
        <v>0</v>
      </c>
      <c r="C774" s="7">
        <v>61</v>
      </c>
      <c r="D774" s="7">
        <v>2</v>
      </c>
      <c r="E774" s="7">
        <v>0</v>
      </c>
      <c r="F774" s="7">
        <v>0</v>
      </c>
      <c r="G774" s="7">
        <v>17</v>
      </c>
      <c r="H774" s="7">
        <v>0</v>
      </c>
      <c r="I774" s="7">
        <v>8</v>
      </c>
      <c r="J774" s="7">
        <v>0</v>
      </c>
      <c r="K774" s="7">
        <v>88</v>
      </c>
    </row>
    <row r="775" spans="1:11" x14ac:dyDescent="0.25">
      <c r="A775" s="7" t="s">
        <v>1770</v>
      </c>
      <c r="B775" s="7">
        <v>0</v>
      </c>
      <c r="C775" s="7">
        <v>45</v>
      </c>
      <c r="D775" s="7">
        <v>7</v>
      </c>
      <c r="E775" s="7">
        <v>25</v>
      </c>
      <c r="F775" s="7">
        <v>0</v>
      </c>
      <c r="G775" s="7">
        <v>0</v>
      </c>
      <c r="H775" s="7">
        <v>0</v>
      </c>
      <c r="I775" s="7">
        <v>25</v>
      </c>
      <c r="J775" s="7">
        <v>1</v>
      </c>
      <c r="K775" s="7">
        <v>103</v>
      </c>
    </row>
    <row r="776" spans="1:11" x14ac:dyDescent="0.25">
      <c r="A776" s="7" t="s">
        <v>1771</v>
      </c>
      <c r="B776" s="7">
        <v>0</v>
      </c>
      <c r="C776" s="7">
        <v>85</v>
      </c>
      <c r="D776" s="7">
        <v>6</v>
      </c>
      <c r="E776" s="7">
        <v>12</v>
      </c>
      <c r="F776" s="7">
        <v>0</v>
      </c>
      <c r="G776" s="7">
        <v>2</v>
      </c>
      <c r="H776" s="7">
        <v>0</v>
      </c>
      <c r="I776" s="7">
        <v>5</v>
      </c>
      <c r="J776" s="7">
        <v>8</v>
      </c>
      <c r="K776" s="7">
        <v>118</v>
      </c>
    </row>
    <row r="777" spans="1:11" x14ac:dyDescent="0.25">
      <c r="A777" s="7" t="s">
        <v>1772</v>
      </c>
      <c r="B777" s="7">
        <v>0</v>
      </c>
      <c r="C777" s="7">
        <v>35</v>
      </c>
      <c r="D777" s="7">
        <v>6</v>
      </c>
      <c r="E777" s="7">
        <v>4</v>
      </c>
      <c r="F777" s="7">
        <v>0</v>
      </c>
      <c r="G777" s="7">
        <v>0</v>
      </c>
      <c r="H777" s="7">
        <v>0</v>
      </c>
      <c r="I777" s="7">
        <v>7</v>
      </c>
      <c r="J777" s="7">
        <v>1</v>
      </c>
      <c r="K777" s="7">
        <v>53</v>
      </c>
    </row>
    <row r="778" spans="1:11" x14ac:dyDescent="0.25">
      <c r="A778" s="7" t="s">
        <v>1773</v>
      </c>
      <c r="B778" s="7">
        <v>0</v>
      </c>
      <c r="C778" s="7">
        <v>17</v>
      </c>
      <c r="D778" s="7">
        <v>3</v>
      </c>
      <c r="E778" s="7">
        <v>14</v>
      </c>
      <c r="F778" s="7">
        <v>0</v>
      </c>
      <c r="G778" s="7">
        <v>0</v>
      </c>
      <c r="H778" s="7">
        <v>0</v>
      </c>
      <c r="I778" s="7">
        <v>19</v>
      </c>
      <c r="J778" s="7">
        <v>1</v>
      </c>
      <c r="K778" s="7">
        <v>54</v>
      </c>
    </row>
    <row r="779" spans="1:11" x14ac:dyDescent="0.25">
      <c r="A779" s="7" t="s">
        <v>1774</v>
      </c>
      <c r="B779" s="7">
        <v>0</v>
      </c>
      <c r="C779" s="7">
        <v>15</v>
      </c>
      <c r="D779" s="7">
        <v>1</v>
      </c>
      <c r="E779" s="7">
        <v>31</v>
      </c>
      <c r="F779" s="7">
        <v>0</v>
      </c>
      <c r="G779" s="7">
        <v>0</v>
      </c>
      <c r="H779" s="7">
        <v>0</v>
      </c>
      <c r="I779" s="7">
        <v>8</v>
      </c>
      <c r="J779" s="7">
        <v>1</v>
      </c>
      <c r="K779" s="7">
        <v>56</v>
      </c>
    </row>
    <row r="780" spans="1:11" x14ac:dyDescent="0.25">
      <c r="A780" s="7" t="s">
        <v>1775</v>
      </c>
      <c r="B780" s="7">
        <v>0</v>
      </c>
      <c r="C780" s="7">
        <v>13</v>
      </c>
      <c r="D780" s="7">
        <v>3</v>
      </c>
      <c r="E780" s="7">
        <v>18</v>
      </c>
      <c r="F780" s="7">
        <v>0</v>
      </c>
      <c r="G780" s="7">
        <v>0</v>
      </c>
      <c r="H780" s="7">
        <v>0</v>
      </c>
      <c r="I780" s="7">
        <v>12</v>
      </c>
      <c r="J780" s="7">
        <v>2</v>
      </c>
      <c r="K780" s="7">
        <v>48</v>
      </c>
    </row>
    <row r="781" spans="1:11" x14ac:dyDescent="0.25">
      <c r="A781" s="7" t="s">
        <v>1776</v>
      </c>
      <c r="B781" s="7">
        <v>0</v>
      </c>
      <c r="C781" s="7">
        <v>29</v>
      </c>
      <c r="D781" s="7">
        <v>6</v>
      </c>
      <c r="E781" s="7">
        <v>4</v>
      </c>
      <c r="F781" s="7">
        <v>0</v>
      </c>
      <c r="G781" s="7">
        <v>0</v>
      </c>
      <c r="H781" s="7">
        <v>0</v>
      </c>
      <c r="I781" s="7">
        <v>10</v>
      </c>
      <c r="J781" s="7">
        <v>0</v>
      </c>
      <c r="K781" s="7">
        <v>49</v>
      </c>
    </row>
    <row r="782" spans="1:11" x14ac:dyDescent="0.25">
      <c r="A782" s="7" t="s">
        <v>1777</v>
      </c>
      <c r="B782" s="7">
        <v>0</v>
      </c>
      <c r="C782" s="7">
        <v>34</v>
      </c>
      <c r="D782" s="7">
        <v>3</v>
      </c>
      <c r="E782" s="7">
        <v>0</v>
      </c>
      <c r="F782" s="7">
        <v>0</v>
      </c>
      <c r="G782" s="7">
        <v>1</v>
      </c>
      <c r="H782" s="7">
        <v>0</v>
      </c>
      <c r="I782" s="7">
        <v>1</v>
      </c>
      <c r="J782" s="7">
        <v>2</v>
      </c>
      <c r="K782" s="7">
        <v>41</v>
      </c>
    </row>
    <row r="783" spans="1:11" x14ac:dyDescent="0.25">
      <c r="A783" s="7" t="s">
        <v>1778</v>
      </c>
      <c r="B783" s="7">
        <v>0</v>
      </c>
      <c r="C783" s="7">
        <v>68</v>
      </c>
      <c r="D783" s="7">
        <v>7</v>
      </c>
      <c r="E783" s="7">
        <v>0</v>
      </c>
      <c r="F783" s="7">
        <v>0</v>
      </c>
      <c r="G783" s="7">
        <v>0</v>
      </c>
      <c r="H783" s="7">
        <v>0</v>
      </c>
      <c r="I783" s="7">
        <v>13</v>
      </c>
      <c r="J783" s="7">
        <v>0</v>
      </c>
      <c r="K783" s="7">
        <v>88</v>
      </c>
    </row>
    <row r="784" spans="1:11" x14ac:dyDescent="0.25">
      <c r="A784" s="7" t="s">
        <v>1779</v>
      </c>
      <c r="B784" s="7">
        <v>0</v>
      </c>
      <c r="C784" s="7">
        <v>28</v>
      </c>
      <c r="D784" s="7">
        <v>1</v>
      </c>
      <c r="E784" s="7">
        <v>0</v>
      </c>
      <c r="F784" s="7">
        <v>0</v>
      </c>
      <c r="G784" s="7">
        <v>1</v>
      </c>
      <c r="H784" s="7">
        <v>0</v>
      </c>
      <c r="I784" s="7">
        <v>17</v>
      </c>
      <c r="J784" s="7">
        <v>1</v>
      </c>
      <c r="K784" s="7">
        <v>48</v>
      </c>
    </row>
    <row r="785" spans="1:11" x14ac:dyDescent="0.25">
      <c r="A785" s="7" t="s">
        <v>1780</v>
      </c>
      <c r="B785" s="7">
        <v>0</v>
      </c>
      <c r="C785" s="7">
        <v>30</v>
      </c>
      <c r="D785" s="7">
        <v>6</v>
      </c>
      <c r="E785" s="7">
        <v>3</v>
      </c>
      <c r="F785" s="7">
        <v>1</v>
      </c>
      <c r="G785" s="7">
        <v>0</v>
      </c>
      <c r="H785" s="7">
        <v>0</v>
      </c>
      <c r="I785" s="7">
        <v>32</v>
      </c>
      <c r="J785" s="7">
        <v>0</v>
      </c>
      <c r="K785" s="7">
        <v>72</v>
      </c>
    </row>
    <row r="786" spans="1:11" x14ac:dyDescent="0.25">
      <c r="A786" s="7" t="s">
        <v>1781</v>
      </c>
      <c r="B786" s="7">
        <v>0</v>
      </c>
      <c r="C786" s="7">
        <v>18</v>
      </c>
      <c r="D786" s="7">
        <v>11</v>
      </c>
      <c r="E786" s="7">
        <v>12</v>
      </c>
      <c r="F786" s="7">
        <v>0</v>
      </c>
      <c r="G786" s="7">
        <v>0</v>
      </c>
      <c r="H786" s="7">
        <v>0</v>
      </c>
      <c r="I786" s="7">
        <v>102</v>
      </c>
      <c r="J786" s="7">
        <v>0</v>
      </c>
      <c r="K786" s="7">
        <v>143</v>
      </c>
    </row>
    <row r="787" spans="1:11" x14ac:dyDescent="0.25">
      <c r="A787" s="7" t="s">
        <v>1782</v>
      </c>
      <c r="B787" s="7">
        <v>0</v>
      </c>
      <c r="C787" s="7">
        <v>62</v>
      </c>
      <c r="D787" s="7">
        <v>25</v>
      </c>
      <c r="E787" s="7">
        <v>14</v>
      </c>
      <c r="F787" s="7">
        <v>0</v>
      </c>
      <c r="G787" s="7">
        <v>0</v>
      </c>
      <c r="H787" s="7">
        <v>0</v>
      </c>
      <c r="I787" s="7">
        <v>31</v>
      </c>
      <c r="J787" s="7">
        <v>1</v>
      </c>
      <c r="K787" s="7">
        <v>133</v>
      </c>
    </row>
    <row r="788" spans="1:11" x14ac:dyDescent="0.25">
      <c r="A788" s="7" t="s">
        <v>1783</v>
      </c>
      <c r="B788" s="7">
        <v>0</v>
      </c>
      <c r="C788" s="7">
        <v>78</v>
      </c>
      <c r="D788" s="7">
        <v>6</v>
      </c>
      <c r="E788" s="7">
        <v>47</v>
      </c>
      <c r="F788" s="7">
        <v>0</v>
      </c>
      <c r="G788" s="7">
        <v>1</v>
      </c>
      <c r="H788" s="7">
        <v>0</v>
      </c>
      <c r="I788" s="7">
        <v>1</v>
      </c>
      <c r="J788" s="7">
        <v>0</v>
      </c>
      <c r="K788" s="7">
        <v>133</v>
      </c>
    </row>
    <row r="789" spans="1:11" x14ac:dyDescent="0.25">
      <c r="A789" s="7" t="s">
        <v>1784</v>
      </c>
      <c r="B789" s="7">
        <v>0</v>
      </c>
      <c r="C789" s="7">
        <v>56</v>
      </c>
      <c r="D789" s="7">
        <v>5</v>
      </c>
      <c r="E789" s="7">
        <v>57</v>
      </c>
      <c r="F789" s="7">
        <v>0</v>
      </c>
      <c r="G789" s="7">
        <v>0</v>
      </c>
      <c r="H789" s="7">
        <v>0</v>
      </c>
      <c r="I789" s="7">
        <v>0</v>
      </c>
      <c r="J789" s="7">
        <v>1</v>
      </c>
      <c r="K789" s="7">
        <v>119</v>
      </c>
    </row>
    <row r="790" spans="1:11" x14ac:dyDescent="0.25">
      <c r="A790" s="7" t="s">
        <v>1785</v>
      </c>
      <c r="B790" s="7">
        <v>0</v>
      </c>
      <c r="C790" s="7">
        <v>88</v>
      </c>
      <c r="D790" s="7">
        <v>5</v>
      </c>
      <c r="E790" s="7">
        <v>39</v>
      </c>
      <c r="F790" s="7">
        <v>0</v>
      </c>
      <c r="G790" s="7">
        <v>0</v>
      </c>
      <c r="H790" s="7">
        <v>0</v>
      </c>
      <c r="I790" s="7">
        <v>3</v>
      </c>
      <c r="J790" s="7">
        <v>1</v>
      </c>
      <c r="K790" s="7">
        <v>136</v>
      </c>
    </row>
    <row r="791" spans="1:11" x14ac:dyDescent="0.25">
      <c r="A791" s="7" t="s">
        <v>1786</v>
      </c>
      <c r="B791" s="7">
        <v>0</v>
      </c>
      <c r="C791" s="7">
        <v>29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2</v>
      </c>
      <c r="K791" s="7">
        <v>33</v>
      </c>
    </row>
    <row r="792" spans="1:11" x14ac:dyDescent="0.25">
      <c r="A792" s="7" t="s">
        <v>1787</v>
      </c>
      <c r="B792" s="7">
        <v>0</v>
      </c>
      <c r="C792" s="7">
        <v>43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45</v>
      </c>
    </row>
    <row r="793" spans="1:11" x14ac:dyDescent="0.25">
      <c r="A793" s="7" t="s">
        <v>1788</v>
      </c>
      <c r="B793" s="7">
        <v>0</v>
      </c>
      <c r="C793" s="7">
        <v>37</v>
      </c>
      <c r="D793" s="7">
        <v>3</v>
      </c>
      <c r="E793" s="7">
        <v>0</v>
      </c>
      <c r="F793" s="7">
        <v>0</v>
      </c>
      <c r="G793" s="7">
        <v>0</v>
      </c>
      <c r="H793" s="7">
        <v>0</v>
      </c>
      <c r="I793" s="7">
        <v>4</v>
      </c>
      <c r="J793" s="7">
        <v>0</v>
      </c>
      <c r="K793" s="7">
        <v>44</v>
      </c>
    </row>
    <row r="794" spans="1:11" x14ac:dyDescent="0.25">
      <c r="A794" s="7" t="s">
        <v>1789</v>
      </c>
      <c r="B794" s="7">
        <v>0</v>
      </c>
      <c r="C794" s="7">
        <v>40</v>
      </c>
      <c r="D794" s="7">
        <v>7</v>
      </c>
      <c r="E794" s="7">
        <v>0</v>
      </c>
      <c r="F794" s="7">
        <v>0</v>
      </c>
      <c r="G794" s="7">
        <v>0</v>
      </c>
      <c r="H794" s="7">
        <v>0</v>
      </c>
      <c r="I794" s="7">
        <v>9</v>
      </c>
      <c r="J794" s="7">
        <v>0</v>
      </c>
      <c r="K794" s="7">
        <v>56</v>
      </c>
    </row>
    <row r="795" spans="1:11" x14ac:dyDescent="0.25">
      <c r="A795" s="7" t="s">
        <v>1790</v>
      </c>
      <c r="B795" s="7">
        <v>0</v>
      </c>
      <c r="C795" s="7">
        <v>37</v>
      </c>
      <c r="D795" s="7">
        <v>6</v>
      </c>
      <c r="E795" s="7">
        <v>0</v>
      </c>
      <c r="F795" s="7">
        <v>1</v>
      </c>
      <c r="G795" s="7">
        <v>0</v>
      </c>
      <c r="H795" s="7">
        <v>0</v>
      </c>
      <c r="I795" s="7">
        <v>2</v>
      </c>
      <c r="J795" s="7">
        <v>4</v>
      </c>
      <c r="K795" s="7">
        <v>50</v>
      </c>
    </row>
    <row r="796" spans="1:11" x14ac:dyDescent="0.25">
      <c r="A796" s="7" t="s">
        <v>1791</v>
      </c>
      <c r="B796" s="7">
        <v>0</v>
      </c>
      <c r="C796" s="7">
        <v>35</v>
      </c>
      <c r="D796" s="7">
        <v>1</v>
      </c>
      <c r="E796" s="7">
        <v>0</v>
      </c>
      <c r="F796" s="7">
        <v>0</v>
      </c>
      <c r="G796" s="7">
        <v>0</v>
      </c>
      <c r="H796" s="7">
        <v>0</v>
      </c>
      <c r="I796" s="7">
        <v>9</v>
      </c>
      <c r="J796" s="7">
        <v>5</v>
      </c>
      <c r="K796" s="7">
        <v>50</v>
      </c>
    </row>
    <row r="797" spans="1:11" x14ac:dyDescent="0.25">
      <c r="A797" s="7" t="s">
        <v>1792</v>
      </c>
      <c r="B797" s="7">
        <v>0</v>
      </c>
      <c r="C797" s="7">
        <v>77</v>
      </c>
      <c r="D797" s="7">
        <v>13</v>
      </c>
      <c r="E797" s="7">
        <v>1</v>
      </c>
      <c r="F797" s="7">
        <v>0</v>
      </c>
      <c r="G797" s="7">
        <v>0</v>
      </c>
      <c r="H797" s="7">
        <v>0</v>
      </c>
      <c r="I797" s="7">
        <v>15</v>
      </c>
      <c r="J797" s="7">
        <v>1</v>
      </c>
      <c r="K797" s="7">
        <v>107</v>
      </c>
    </row>
    <row r="798" spans="1:11" x14ac:dyDescent="0.25">
      <c r="A798" s="7" t="s">
        <v>1793</v>
      </c>
      <c r="B798" s="7">
        <v>0</v>
      </c>
      <c r="C798" s="7">
        <v>53</v>
      </c>
      <c r="D798" s="7">
        <v>3</v>
      </c>
      <c r="E798" s="7">
        <v>0</v>
      </c>
      <c r="F798" s="7">
        <v>0</v>
      </c>
      <c r="G798" s="7">
        <v>0</v>
      </c>
      <c r="H798" s="7">
        <v>0</v>
      </c>
      <c r="I798" s="7">
        <v>4</v>
      </c>
      <c r="J798" s="7">
        <v>2</v>
      </c>
      <c r="K798" s="7">
        <v>62</v>
      </c>
    </row>
    <row r="799" spans="1:11" x14ac:dyDescent="0.25">
      <c r="A799" s="7" t="s">
        <v>1794</v>
      </c>
      <c r="B799" s="7">
        <v>0</v>
      </c>
      <c r="C799" s="7">
        <v>29</v>
      </c>
      <c r="D799" s="7">
        <v>2</v>
      </c>
      <c r="E799" s="7">
        <v>0</v>
      </c>
      <c r="F799" s="7">
        <v>0</v>
      </c>
      <c r="G799" s="7">
        <v>1</v>
      </c>
      <c r="H799" s="7">
        <v>0</v>
      </c>
      <c r="I799" s="7">
        <v>1</v>
      </c>
      <c r="J799" s="7">
        <v>1</v>
      </c>
      <c r="K799" s="7">
        <v>34</v>
      </c>
    </row>
    <row r="800" spans="1:11" x14ac:dyDescent="0.25">
      <c r="A800" s="7" t="s">
        <v>1795</v>
      </c>
      <c r="B800" s="7">
        <v>0</v>
      </c>
      <c r="C800" s="7">
        <v>35</v>
      </c>
      <c r="D800" s="7">
        <v>5</v>
      </c>
      <c r="E800" s="7">
        <v>0</v>
      </c>
      <c r="F800" s="7">
        <v>0</v>
      </c>
      <c r="G800" s="7">
        <v>0</v>
      </c>
      <c r="H800" s="7">
        <v>0</v>
      </c>
      <c r="I800" s="7">
        <v>1</v>
      </c>
      <c r="J800" s="7">
        <v>0</v>
      </c>
      <c r="K800" s="7">
        <v>41</v>
      </c>
    </row>
    <row r="801" spans="1:11" x14ac:dyDescent="0.25">
      <c r="A801" s="7" t="s">
        <v>1796</v>
      </c>
      <c r="B801" s="7">
        <v>0</v>
      </c>
      <c r="C801" s="7">
        <v>49</v>
      </c>
      <c r="D801" s="7">
        <v>10</v>
      </c>
      <c r="E801" s="7">
        <v>2</v>
      </c>
      <c r="F801" s="7">
        <v>0</v>
      </c>
      <c r="G801" s="7">
        <v>0</v>
      </c>
      <c r="H801" s="7">
        <v>0</v>
      </c>
      <c r="I801" s="7">
        <v>6</v>
      </c>
      <c r="J801" s="7">
        <v>1</v>
      </c>
      <c r="K801" s="7">
        <v>68</v>
      </c>
    </row>
    <row r="802" spans="1:11" x14ac:dyDescent="0.25">
      <c r="A802" s="7" t="s">
        <v>1797</v>
      </c>
      <c r="B802" s="7">
        <v>0</v>
      </c>
      <c r="C802" s="7">
        <v>52</v>
      </c>
      <c r="D802" s="7">
        <v>8</v>
      </c>
      <c r="E802" s="7">
        <v>0</v>
      </c>
      <c r="F802" s="7">
        <v>0</v>
      </c>
      <c r="G802" s="7">
        <v>0</v>
      </c>
      <c r="H802" s="7">
        <v>0</v>
      </c>
      <c r="I802" s="7">
        <v>11</v>
      </c>
      <c r="J802" s="7">
        <v>2</v>
      </c>
      <c r="K802" s="7">
        <v>73</v>
      </c>
    </row>
    <row r="803" spans="1:11" x14ac:dyDescent="0.25">
      <c r="A803" s="7" t="s">
        <v>1798</v>
      </c>
      <c r="B803" s="7">
        <v>0</v>
      </c>
      <c r="C803" s="7">
        <v>43</v>
      </c>
      <c r="D803" s="7">
        <v>3</v>
      </c>
      <c r="E803" s="7">
        <v>0</v>
      </c>
      <c r="F803" s="7">
        <v>0</v>
      </c>
      <c r="G803" s="7">
        <v>1</v>
      </c>
      <c r="H803" s="7">
        <v>0</v>
      </c>
      <c r="I803" s="7">
        <v>0</v>
      </c>
      <c r="J803" s="7">
        <v>0</v>
      </c>
      <c r="K803" s="7">
        <v>47</v>
      </c>
    </row>
    <row r="804" spans="1:11" x14ac:dyDescent="0.25">
      <c r="A804" s="7" t="s">
        <v>1799</v>
      </c>
      <c r="B804" s="7">
        <v>0</v>
      </c>
      <c r="C804" s="7">
        <v>49</v>
      </c>
      <c r="D804" s="7">
        <v>5</v>
      </c>
      <c r="E804" s="7">
        <v>0</v>
      </c>
      <c r="F804" s="7">
        <v>0</v>
      </c>
      <c r="G804" s="7">
        <v>0</v>
      </c>
      <c r="H804" s="7">
        <v>0</v>
      </c>
      <c r="I804" s="7">
        <v>2</v>
      </c>
      <c r="J804" s="7">
        <v>0</v>
      </c>
      <c r="K804" s="7">
        <v>56</v>
      </c>
    </row>
    <row r="805" spans="1:11" x14ac:dyDescent="0.25">
      <c r="A805" s="7" t="s">
        <v>1800</v>
      </c>
      <c r="B805" s="7">
        <v>0</v>
      </c>
      <c r="C805" s="7">
        <v>88</v>
      </c>
      <c r="D805" s="7">
        <v>1</v>
      </c>
      <c r="E805" s="7">
        <v>0</v>
      </c>
      <c r="F805" s="7">
        <v>0</v>
      </c>
      <c r="G805" s="7">
        <v>0</v>
      </c>
      <c r="H805" s="7">
        <v>0</v>
      </c>
      <c r="I805" s="7">
        <v>5</v>
      </c>
      <c r="J805" s="7">
        <v>1</v>
      </c>
      <c r="K805" s="7">
        <v>95</v>
      </c>
    </row>
    <row r="806" spans="1:11" x14ac:dyDescent="0.25">
      <c r="A806" s="7" t="s">
        <v>1801</v>
      </c>
      <c r="B806" s="7">
        <v>0</v>
      </c>
      <c r="C806" s="7">
        <v>216</v>
      </c>
      <c r="D806" s="7">
        <v>8</v>
      </c>
      <c r="E806" s="7">
        <v>0</v>
      </c>
      <c r="F806" s="7">
        <v>0</v>
      </c>
      <c r="G806" s="7">
        <v>0</v>
      </c>
      <c r="H806" s="7">
        <v>0</v>
      </c>
      <c r="I806" s="7">
        <v>15</v>
      </c>
      <c r="J806" s="7">
        <v>0</v>
      </c>
      <c r="K806" s="7">
        <v>239</v>
      </c>
    </row>
    <row r="807" spans="1:11" x14ac:dyDescent="0.25">
      <c r="A807" s="7" t="s">
        <v>1802</v>
      </c>
      <c r="B807" s="7">
        <v>0</v>
      </c>
      <c r="C807" s="7">
        <v>190</v>
      </c>
      <c r="D807" s="7">
        <v>4</v>
      </c>
      <c r="E807" s="7">
        <v>2</v>
      </c>
      <c r="F807" s="7">
        <v>0</v>
      </c>
      <c r="G807" s="7">
        <v>0</v>
      </c>
      <c r="H807" s="7">
        <v>0</v>
      </c>
      <c r="I807" s="7">
        <v>3</v>
      </c>
      <c r="J807" s="7">
        <v>0</v>
      </c>
      <c r="K807" s="7">
        <v>199</v>
      </c>
    </row>
    <row r="808" spans="1:11" x14ac:dyDescent="0.25">
      <c r="A808" s="7" t="s">
        <v>1803</v>
      </c>
      <c r="B808" s="7">
        <v>0</v>
      </c>
      <c r="C808" s="7">
        <v>136</v>
      </c>
      <c r="D808" s="7">
        <v>5</v>
      </c>
      <c r="E808" s="7">
        <v>1</v>
      </c>
      <c r="F808" s="7">
        <v>0</v>
      </c>
      <c r="G808" s="7">
        <v>0</v>
      </c>
      <c r="H808" s="7">
        <v>0</v>
      </c>
      <c r="I808" s="7">
        <v>11</v>
      </c>
      <c r="J808" s="7">
        <v>1</v>
      </c>
      <c r="K808" s="7">
        <v>154</v>
      </c>
    </row>
    <row r="809" spans="1:11" x14ac:dyDescent="0.25">
      <c r="A809" s="7" t="s">
        <v>1804</v>
      </c>
      <c r="B809" s="7">
        <v>0</v>
      </c>
      <c r="C809" s="7">
        <v>101</v>
      </c>
      <c r="D809" s="7">
        <v>1</v>
      </c>
      <c r="E809" s="7">
        <v>0</v>
      </c>
      <c r="F809" s="7">
        <v>0</v>
      </c>
      <c r="G809" s="7">
        <v>2</v>
      </c>
      <c r="H809" s="7">
        <v>0</v>
      </c>
      <c r="I809" s="7">
        <v>0</v>
      </c>
      <c r="J809" s="7">
        <v>0</v>
      </c>
      <c r="K809" s="7">
        <v>104</v>
      </c>
    </row>
    <row r="810" spans="1:11" x14ac:dyDescent="0.25">
      <c r="A810" s="7" t="s">
        <v>1805</v>
      </c>
      <c r="B810" s="7">
        <v>0</v>
      </c>
      <c r="C810" s="7">
        <v>156</v>
      </c>
      <c r="D810" s="7">
        <v>3</v>
      </c>
      <c r="E810" s="7">
        <v>0</v>
      </c>
      <c r="F810" s="7">
        <v>0</v>
      </c>
      <c r="G810" s="7">
        <v>0</v>
      </c>
      <c r="H810" s="7">
        <v>0</v>
      </c>
      <c r="I810" s="7">
        <v>13</v>
      </c>
      <c r="J810" s="7">
        <v>1</v>
      </c>
      <c r="K810" s="7">
        <v>173</v>
      </c>
    </row>
    <row r="811" spans="1:11" x14ac:dyDescent="0.25">
      <c r="A811" s="7" t="s">
        <v>1806</v>
      </c>
      <c r="B811" s="7">
        <v>0</v>
      </c>
      <c r="C811" s="7">
        <v>79</v>
      </c>
      <c r="D811" s="7">
        <v>11</v>
      </c>
      <c r="E811" s="7">
        <v>0</v>
      </c>
      <c r="F811" s="7">
        <v>0</v>
      </c>
      <c r="G811" s="7">
        <v>0</v>
      </c>
      <c r="H811" s="7">
        <v>0</v>
      </c>
      <c r="I811" s="7">
        <v>6</v>
      </c>
      <c r="J811" s="7">
        <v>1</v>
      </c>
      <c r="K811" s="7">
        <v>97</v>
      </c>
    </row>
    <row r="812" spans="1:11" x14ac:dyDescent="0.25">
      <c r="A812" s="7" t="s">
        <v>1807</v>
      </c>
      <c r="B812" s="7">
        <v>0</v>
      </c>
      <c r="C812" s="7">
        <v>96</v>
      </c>
      <c r="D812" s="7">
        <v>16</v>
      </c>
      <c r="E812" s="7">
        <v>0</v>
      </c>
      <c r="F812" s="7">
        <v>0</v>
      </c>
      <c r="G812" s="7">
        <v>1</v>
      </c>
      <c r="H812" s="7">
        <v>0</v>
      </c>
      <c r="I812" s="7">
        <v>2</v>
      </c>
      <c r="J812" s="7">
        <v>0</v>
      </c>
      <c r="K812" s="7">
        <v>115</v>
      </c>
    </row>
    <row r="813" spans="1:11" x14ac:dyDescent="0.25">
      <c r="A813" s="7" t="s">
        <v>1808</v>
      </c>
      <c r="B813" s="7">
        <v>0</v>
      </c>
      <c r="C813" s="7">
        <v>101</v>
      </c>
      <c r="D813" s="7">
        <v>4</v>
      </c>
      <c r="E813" s="7">
        <v>0</v>
      </c>
      <c r="F813" s="7">
        <v>0</v>
      </c>
      <c r="G813" s="7">
        <v>0</v>
      </c>
      <c r="H813" s="7">
        <v>0</v>
      </c>
      <c r="I813" s="7">
        <v>1</v>
      </c>
      <c r="J813" s="7">
        <v>0</v>
      </c>
      <c r="K813" s="7">
        <v>106</v>
      </c>
    </row>
    <row r="814" spans="1:11" x14ac:dyDescent="0.25">
      <c r="A814" s="7" t="s">
        <v>1809</v>
      </c>
      <c r="B814" s="7">
        <v>0</v>
      </c>
      <c r="C814" s="7">
        <v>75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75</v>
      </c>
    </row>
    <row r="815" spans="1:11" x14ac:dyDescent="0.25">
      <c r="A815" s="7" t="s">
        <v>1810</v>
      </c>
      <c r="B815" s="7">
        <v>0</v>
      </c>
      <c r="C815" s="7">
        <v>137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137</v>
      </c>
    </row>
    <row r="816" spans="1:11" x14ac:dyDescent="0.25">
      <c r="A816" s="7" t="s">
        <v>1811</v>
      </c>
      <c r="B816" s="7">
        <v>0</v>
      </c>
      <c r="C816" s="7">
        <v>120</v>
      </c>
      <c r="D816" s="7">
        <v>16</v>
      </c>
      <c r="E816" s="7">
        <v>0</v>
      </c>
      <c r="F816" s="7">
        <v>0</v>
      </c>
      <c r="G816" s="7">
        <v>0</v>
      </c>
      <c r="H816" s="7">
        <v>0</v>
      </c>
      <c r="I816" s="7">
        <v>5</v>
      </c>
      <c r="J816" s="7">
        <v>15</v>
      </c>
      <c r="K816" s="7">
        <v>156</v>
      </c>
    </row>
    <row r="817" spans="1:11" x14ac:dyDescent="0.25">
      <c r="A817" s="7" t="s">
        <v>1812</v>
      </c>
      <c r="B817" s="7">
        <v>0</v>
      </c>
      <c r="C817" s="7">
        <v>170</v>
      </c>
      <c r="D817" s="7">
        <v>5</v>
      </c>
      <c r="E817" s="7">
        <v>1</v>
      </c>
      <c r="F817" s="7">
        <v>1</v>
      </c>
      <c r="G817" s="7">
        <v>0</v>
      </c>
      <c r="H817" s="7">
        <v>0</v>
      </c>
      <c r="I817" s="7">
        <v>2</v>
      </c>
      <c r="J817" s="7">
        <v>4</v>
      </c>
      <c r="K817" s="7">
        <v>183</v>
      </c>
    </row>
    <row r="818" spans="1:11" x14ac:dyDescent="0.25">
      <c r="A818" s="7" t="s">
        <v>1813</v>
      </c>
      <c r="B818" s="7">
        <v>0</v>
      </c>
      <c r="C818" s="7">
        <v>29</v>
      </c>
      <c r="D818" s="7">
        <v>20</v>
      </c>
      <c r="E818" s="7">
        <v>42</v>
      </c>
      <c r="F818" s="7">
        <v>0</v>
      </c>
      <c r="G818" s="7">
        <v>0</v>
      </c>
      <c r="H818" s="7">
        <v>0</v>
      </c>
      <c r="I818" s="7">
        <v>23</v>
      </c>
      <c r="J818" s="7">
        <v>2</v>
      </c>
      <c r="K818" s="7">
        <v>116</v>
      </c>
    </row>
    <row r="819" spans="1:11" x14ac:dyDescent="0.25">
      <c r="A819" s="7" t="s">
        <v>1814</v>
      </c>
      <c r="B819" s="7">
        <v>0</v>
      </c>
      <c r="C819" s="7">
        <v>92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92</v>
      </c>
    </row>
    <row r="820" spans="1:11" x14ac:dyDescent="0.25">
      <c r="A820" s="7" t="s">
        <v>1815</v>
      </c>
      <c r="B820" s="7">
        <v>0</v>
      </c>
      <c r="C820" s="7">
        <v>2</v>
      </c>
      <c r="D820" s="7">
        <v>42</v>
      </c>
      <c r="E820" s="7">
        <v>26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70</v>
      </c>
    </row>
    <row r="821" spans="1:11" x14ac:dyDescent="0.25">
      <c r="A821" s="7" t="s">
        <v>1816</v>
      </c>
      <c r="B821" s="7">
        <v>0</v>
      </c>
      <c r="C821" s="7">
        <v>25</v>
      </c>
      <c r="D821" s="7">
        <v>53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2</v>
      </c>
      <c r="K821" s="7">
        <v>80</v>
      </c>
    </row>
    <row r="822" spans="1:11" x14ac:dyDescent="0.25">
      <c r="A822" s="7" t="s">
        <v>2057</v>
      </c>
      <c r="B822" s="7">
        <v>0</v>
      </c>
      <c r="C822" s="7">
        <v>0</v>
      </c>
      <c r="D822" s="7">
        <v>0</v>
      </c>
      <c r="E822" s="7">
        <v>0</v>
      </c>
      <c r="F822" s="7">
        <v>0</v>
      </c>
      <c r="G822" s="7">
        <v>0</v>
      </c>
      <c r="H822" s="7">
        <v>1</v>
      </c>
      <c r="I822" s="7">
        <v>0</v>
      </c>
      <c r="J822" s="7">
        <v>0</v>
      </c>
      <c r="K822" s="7">
        <v>1</v>
      </c>
    </row>
    <row r="823" spans="1:11" x14ac:dyDescent="0.25">
      <c r="A823" s="7" t="s">
        <v>1817</v>
      </c>
      <c r="B823" s="7">
        <v>0</v>
      </c>
      <c r="C823" s="7">
        <v>59</v>
      </c>
      <c r="D823" s="7">
        <v>7</v>
      </c>
      <c r="E823" s="7">
        <v>0</v>
      </c>
      <c r="F823" s="7">
        <v>0</v>
      </c>
      <c r="G823" s="7">
        <v>0</v>
      </c>
      <c r="H823" s="7">
        <v>0</v>
      </c>
      <c r="I823" s="7">
        <v>3</v>
      </c>
      <c r="J823" s="7">
        <v>1</v>
      </c>
      <c r="K823" s="7">
        <v>70</v>
      </c>
    </row>
    <row r="824" spans="1:11" x14ac:dyDescent="0.25">
      <c r="A824" s="7" t="s">
        <v>1818</v>
      </c>
      <c r="B824" s="7">
        <v>0</v>
      </c>
      <c r="C824" s="7">
        <v>41</v>
      </c>
      <c r="D824" s="7">
        <v>21</v>
      </c>
      <c r="E824" s="7">
        <v>2</v>
      </c>
      <c r="F824" s="7">
        <v>0</v>
      </c>
      <c r="G824" s="7">
        <v>0</v>
      </c>
      <c r="H824" s="7">
        <v>0</v>
      </c>
      <c r="I824" s="7">
        <v>5</v>
      </c>
      <c r="J824" s="7">
        <v>0</v>
      </c>
      <c r="K824" s="7">
        <v>69</v>
      </c>
    </row>
    <row r="825" spans="1:11" x14ac:dyDescent="0.25">
      <c r="A825" s="7" t="s">
        <v>1819</v>
      </c>
      <c r="B825" s="7">
        <v>0</v>
      </c>
      <c r="C825" s="7">
        <v>50</v>
      </c>
      <c r="D825" s="7">
        <v>5</v>
      </c>
      <c r="E825" s="7">
        <v>0</v>
      </c>
      <c r="F825" s="7">
        <v>0</v>
      </c>
      <c r="G825" s="7">
        <v>0</v>
      </c>
      <c r="H825" s="7">
        <v>0</v>
      </c>
      <c r="I825" s="7">
        <v>0</v>
      </c>
      <c r="J825" s="7">
        <v>0</v>
      </c>
      <c r="K825" s="7">
        <v>55</v>
      </c>
    </row>
    <row r="826" spans="1:11" x14ac:dyDescent="0.25">
      <c r="A826" s="7" t="s">
        <v>1820</v>
      </c>
      <c r="B826" s="7">
        <v>0</v>
      </c>
      <c r="C826" s="7">
        <v>22</v>
      </c>
      <c r="D826" s="7">
        <v>5</v>
      </c>
      <c r="E826" s="7">
        <v>12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39</v>
      </c>
    </row>
    <row r="827" spans="1:11" x14ac:dyDescent="0.25">
      <c r="A827" s="7" t="s">
        <v>1821</v>
      </c>
      <c r="B827" s="7">
        <v>0</v>
      </c>
      <c r="C827" s="7">
        <v>72</v>
      </c>
      <c r="D827" s="7">
        <v>5</v>
      </c>
      <c r="E827" s="7">
        <v>0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77</v>
      </c>
    </row>
    <row r="828" spans="1:11" x14ac:dyDescent="0.25">
      <c r="A828" s="7" t="s">
        <v>1822</v>
      </c>
      <c r="B828" s="7">
        <v>0</v>
      </c>
      <c r="C828" s="7">
        <v>40</v>
      </c>
      <c r="D828" s="7">
        <v>1</v>
      </c>
      <c r="E828" s="7">
        <v>6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47</v>
      </c>
    </row>
    <row r="829" spans="1:11" x14ac:dyDescent="0.25">
      <c r="A829" s="7" t="s">
        <v>1823</v>
      </c>
      <c r="B829" s="7">
        <v>0</v>
      </c>
      <c r="C829" s="7">
        <v>36</v>
      </c>
      <c r="D829" s="7">
        <v>2</v>
      </c>
      <c r="E829" s="7">
        <v>7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45</v>
      </c>
    </row>
    <row r="830" spans="1:11" x14ac:dyDescent="0.25">
      <c r="A830" s="7" t="s">
        <v>1824</v>
      </c>
      <c r="B830" s="7">
        <v>0</v>
      </c>
      <c r="C830" s="7">
        <v>29</v>
      </c>
      <c r="D830" s="7">
        <v>6</v>
      </c>
      <c r="E830" s="7">
        <v>21</v>
      </c>
      <c r="F830" s="7">
        <v>0</v>
      </c>
      <c r="G830" s="7">
        <v>0</v>
      </c>
      <c r="H830" s="7">
        <v>0</v>
      </c>
      <c r="I830" s="7">
        <v>7</v>
      </c>
      <c r="J830" s="7">
        <v>0</v>
      </c>
      <c r="K830" s="7">
        <v>63</v>
      </c>
    </row>
    <row r="831" spans="1:11" x14ac:dyDescent="0.25">
      <c r="A831" s="7" t="s">
        <v>1825</v>
      </c>
      <c r="B831" s="7">
        <v>0</v>
      </c>
      <c r="C831" s="7">
        <v>49</v>
      </c>
      <c r="D831" s="7">
        <v>0</v>
      </c>
      <c r="E831" s="7">
        <v>0</v>
      </c>
      <c r="F831" s="7">
        <v>0</v>
      </c>
      <c r="G831" s="7">
        <v>10</v>
      </c>
      <c r="H831" s="7">
        <v>0</v>
      </c>
      <c r="I831" s="7">
        <v>0</v>
      </c>
      <c r="J831" s="7">
        <v>0</v>
      </c>
      <c r="K831" s="7">
        <v>59</v>
      </c>
    </row>
    <row r="832" spans="1:11" x14ac:dyDescent="0.25">
      <c r="A832" s="7" t="s">
        <v>1826</v>
      </c>
      <c r="B832" s="7">
        <v>0</v>
      </c>
      <c r="C832" s="7">
        <v>58</v>
      </c>
      <c r="D832" s="7">
        <v>2</v>
      </c>
      <c r="E832" s="7">
        <v>1</v>
      </c>
      <c r="F832" s="7">
        <v>1</v>
      </c>
      <c r="G832" s="7">
        <v>11</v>
      </c>
      <c r="H832" s="7">
        <v>0</v>
      </c>
      <c r="I832" s="7">
        <v>0</v>
      </c>
      <c r="J832" s="7">
        <v>0</v>
      </c>
      <c r="K832" s="7">
        <v>73</v>
      </c>
    </row>
    <row r="833" spans="1:11" x14ac:dyDescent="0.25">
      <c r="A833" s="7" t="s">
        <v>1827</v>
      </c>
      <c r="B833" s="7">
        <v>0</v>
      </c>
      <c r="C833" s="7">
        <v>33</v>
      </c>
      <c r="D833" s="7">
        <v>2</v>
      </c>
      <c r="E833" s="7">
        <v>2</v>
      </c>
      <c r="F833" s="7">
        <v>0</v>
      </c>
      <c r="G833" s="7">
        <v>3</v>
      </c>
      <c r="H833" s="7">
        <v>0</v>
      </c>
      <c r="I833" s="7">
        <v>0</v>
      </c>
      <c r="J833" s="7">
        <v>0</v>
      </c>
      <c r="K833" s="7">
        <v>40</v>
      </c>
    </row>
    <row r="834" spans="1:11" x14ac:dyDescent="0.25">
      <c r="A834" s="7" t="s">
        <v>1828</v>
      </c>
      <c r="B834" s="7">
        <v>0</v>
      </c>
      <c r="C834" s="7">
        <v>37</v>
      </c>
      <c r="D834" s="7">
        <v>0</v>
      </c>
      <c r="E834" s="7">
        <v>1</v>
      </c>
      <c r="F834" s="7">
        <v>0</v>
      </c>
      <c r="G834" s="7">
        <v>0</v>
      </c>
      <c r="H834" s="7">
        <v>0</v>
      </c>
      <c r="I834" s="7">
        <v>0</v>
      </c>
      <c r="J834" s="7">
        <v>0</v>
      </c>
      <c r="K834" s="7">
        <v>38</v>
      </c>
    </row>
    <row r="835" spans="1:11" x14ac:dyDescent="0.25">
      <c r="A835" s="7" t="s">
        <v>1829</v>
      </c>
      <c r="B835" s="7">
        <v>0</v>
      </c>
      <c r="C835" s="7">
        <v>79</v>
      </c>
      <c r="D835" s="7">
        <v>1</v>
      </c>
      <c r="E835" s="7">
        <v>0</v>
      </c>
      <c r="F835" s="7">
        <v>0</v>
      </c>
      <c r="G835" s="7">
        <v>5</v>
      </c>
      <c r="H835" s="7">
        <v>0</v>
      </c>
      <c r="I835" s="7">
        <v>0</v>
      </c>
      <c r="J835" s="7">
        <v>0</v>
      </c>
      <c r="K835" s="7">
        <v>85</v>
      </c>
    </row>
    <row r="836" spans="1:11" x14ac:dyDescent="0.25">
      <c r="A836" s="7" t="s">
        <v>1830</v>
      </c>
      <c r="B836" s="7">
        <v>0</v>
      </c>
      <c r="C836" s="7">
        <v>52</v>
      </c>
      <c r="D836" s="7">
        <v>3</v>
      </c>
      <c r="E836" s="7">
        <v>1</v>
      </c>
      <c r="F836" s="7">
        <v>0</v>
      </c>
      <c r="G836" s="7">
        <v>0</v>
      </c>
      <c r="H836" s="7">
        <v>0</v>
      </c>
      <c r="I836" s="7">
        <v>0</v>
      </c>
      <c r="J836" s="7">
        <v>1</v>
      </c>
      <c r="K836" s="7">
        <v>57</v>
      </c>
    </row>
    <row r="837" spans="1:11" x14ac:dyDescent="0.25">
      <c r="A837" s="7" t="s">
        <v>1831</v>
      </c>
      <c r="B837" s="7">
        <v>0</v>
      </c>
      <c r="C837" s="7">
        <v>48</v>
      </c>
      <c r="D837" s="7">
        <v>0</v>
      </c>
      <c r="E837" s="7">
        <v>1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49</v>
      </c>
    </row>
    <row r="838" spans="1:11" x14ac:dyDescent="0.25">
      <c r="A838" s="7" t="s">
        <v>1832</v>
      </c>
      <c r="B838" s="7">
        <v>0</v>
      </c>
      <c r="C838" s="7">
        <v>66</v>
      </c>
      <c r="D838" s="7">
        <v>9</v>
      </c>
      <c r="E838" s="7">
        <v>2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77</v>
      </c>
    </row>
    <row r="839" spans="1:11" x14ac:dyDescent="0.25">
      <c r="A839" s="7" t="s">
        <v>1833</v>
      </c>
      <c r="B839" s="7">
        <v>0</v>
      </c>
      <c r="C839" s="7">
        <v>84</v>
      </c>
      <c r="D839" s="7">
        <v>10</v>
      </c>
      <c r="E839" s="7">
        <v>28</v>
      </c>
      <c r="F839" s="7">
        <v>0</v>
      </c>
      <c r="G839" s="7">
        <v>0</v>
      </c>
      <c r="H839" s="7">
        <v>0</v>
      </c>
      <c r="I839" s="7">
        <v>16</v>
      </c>
      <c r="J839" s="7">
        <v>3</v>
      </c>
      <c r="K839" s="7">
        <v>141</v>
      </c>
    </row>
    <row r="840" spans="1:11" x14ac:dyDescent="0.25">
      <c r="A840" s="7" t="s">
        <v>1834</v>
      </c>
      <c r="B840" s="7">
        <v>0</v>
      </c>
      <c r="C840" s="7">
        <v>138</v>
      </c>
      <c r="D840" s="7">
        <v>1</v>
      </c>
      <c r="E840" s="7">
        <v>0</v>
      </c>
      <c r="F840" s="7">
        <v>0</v>
      </c>
      <c r="G840" s="7">
        <v>23</v>
      </c>
      <c r="H840" s="7">
        <v>0</v>
      </c>
      <c r="I840" s="7">
        <v>0</v>
      </c>
      <c r="J840" s="7">
        <v>0</v>
      </c>
      <c r="K840" s="7">
        <v>162</v>
      </c>
    </row>
    <row r="841" spans="1:11" x14ac:dyDescent="0.25">
      <c r="A841" s="7" t="s">
        <v>1835</v>
      </c>
      <c r="B841" s="7">
        <v>0</v>
      </c>
      <c r="C841" s="7">
        <v>68</v>
      </c>
      <c r="D841" s="7">
        <v>1</v>
      </c>
      <c r="E841" s="7">
        <v>0</v>
      </c>
      <c r="F841" s="7">
        <v>0</v>
      </c>
      <c r="G841" s="7">
        <v>1</v>
      </c>
      <c r="H841" s="7">
        <v>0</v>
      </c>
      <c r="I841" s="7">
        <v>0</v>
      </c>
      <c r="J841" s="7">
        <v>2</v>
      </c>
      <c r="K841" s="7">
        <v>72</v>
      </c>
    </row>
    <row r="842" spans="1:11" x14ac:dyDescent="0.25">
      <c r="A842" s="7" t="s">
        <v>1836</v>
      </c>
      <c r="B842" s="7">
        <v>0</v>
      </c>
      <c r="C842" s="7">
        <v>140</v>
      </c>
      <c r="D842" s="7">
        <v>3</v>
      </c>
      <c r="E842" s="7">
        <v>6</v>
      </c>
      <c r="F842" s="7">
        <v>0</v>
      </c>
      <c r="G842" s="7">
        <v>44</v>
      </c>
      <c r="H842" s="7">
        <v>0</v>
      </c>
      <c r="I842" s="7">
        <v>0</v>
      </c>
      <c r="J842" s="7">
        <v>5</v>
      </c>
      <c r="K842" s="7">
        <v>198</v>
      </c>
    </row>
    <row r="843" spans="1:11" x14ac:dyDescent="0.25">
      <c r="A843" s="7" t="s">
        <v>1837</v>
      </c>
      <c r="B843" s="7">
        <v>0</v>
      </c>
      <c r="C843" s="7">
        <v>99</v>
      </c>
      <c r="D843" s="7">
        <v>8</v>
      </c>
      <c r="E843" s="7">
        <v>37</v>
      </c>
      <c r="F843" s="7">
        <v>0</v>
      </c>
      <c r="G843" s="7">
        <v>0</v>
      </c>
      <c r="H843" s="7">
        <v>0</v>
      </c>
      <c r="I843" s="7">
        <v>3</v>
      </c>
      <c r="J843" s="7">
        <v>2</v>
      </c>
      <c r="K843" s="7">
        <v>149</v>
      </c>
    </row>
    <row r="844" spans="1:11" x14ac:dyDescent="0.25">
      <c r="A844" s="7" t="s">
        <v>1838</v>
      </c>
      <c r="B844" s="7">
        <v>0</v>
      </c>
      <c r="C844" s="7">
        <v>70</v>
      </c>
      <c r="D844" s="7">
        <v>4</v>
      </c>
      <c r="E844" s="7">
        <v>1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75</v>
      </c>
    </row>
    <row r="845" spans="1:11" x14ac:dyDescent="0.25">
      <c r="A845" s="7" t="s">
        <v>1839</v>
      </c>
      <c r="B845" s="7">
        <v>0</v>
      </c>
      <c r="C845" s="7">
        <v>99</v>
      </c>
      <c r="D845" s="7">
        <v>1</v>
      </c>
      <c r="E845" s="7">
        <v>0</v>
      </c>
      <c r="F845" s="7">
        <v>1</v>
      </c>
      <c r="G845" s="7">
        <v>0</v>
      </c>
      <c r="H845" s="7">
        <v>0</v>
      </c>
      <c r="I845" s="7">
        <v>0</v>
      </c>
      <c r="J845" s="7">
        <v>0</v>
      </c>
      <c r="K845" s="7">
        <v>101</v>
      </c>
    </row>
    <row r="846" spans="1:11" x14ac:dyDescent="0.25">
      <c r="A846" s="7" t="s">
        <v>1840</v>
      </c>
      <c r="B846" s="7">
        <v>0</v>
      </c>
      <c r="C846" s="7">
        <v>52</v>
      </c>
      <c r="D846" s="7">
        <v>0</v>
      </c>
      <c r="E846" s="7">
        <v>0</v>
      </c>
      <c r="F846" s="7">
        <v>0</v>
      </c>
      <c r="G846" s="7">
        <v>11</v>
      </c>
      <c r="H846" s="7">
        <v>0</v>
      </c>
      <c r="I846" s="7">
        <v>0</v>
      </c>
      <c r="J846" s="7">
        <v>0</v>
      </c>
      <c r="K846" s="7">
        <v>63</v>
      </c>
    </row>
    <row r="847" spans="1:11" x14ac:dyDescent="0.25">
      <c r="A847" s="7" t="s">
        <v>1841</v>
      </c>
      <c r="B847" s="7">
        <v>0</v>
      </c>
      <c r="C847" s="7">
        <v>102</v>
      </c>
      <c r="D847" s="7">
        <v>1</v>
      </c>
      <c r="E847" s="7">
        <v>0</v>
      </c>
      <c r="F847" s="7">
        <v>0</v>
      </c>
      <c r="G847" s="7">
        <v>22</v>
      </c>
      <c r="H847" s="7">
        <v>0</v>
      </c>
      <c r="I847" s="7">
        <v>0</v>
      </c>
      <c r="J847" s="7">
        <v>0</v>
      </c>
      <c r="K847" s="7">
        <v>125</v>
      </c>
    </row>
    <row r="848" spans="1:11" x14ac:dyDescent="0.25">
      <c r="A848" s="7" t="s">
        <v>1842</v>
      </c>
      <c r="B848" s="7">
        <v>0</v>
      </c>
      <c r="C848" s="7">
        <v>76</v>
      </c>
      <c r="D848" s="7">
        <v>1</v>
      </c>
      <c r="E848" s="7">
        <v>0</v>
      </c>
      <c r="F848" s="7">
        <v>0</v>
      </c>
      <c r="G848" s="7">
        <v>5</v>
      </c>
      <c r="H848" s="7">
        <v>0</v>
      </c>
      <c r="I848" s="7">
        <v>0</v>
      </c>
      <c r="J848" s="7">
        <v>0</v>
      </c>
      <c r="K848" s="7">
        <v>82</v>
      </c>
    </row>
    <row r="849" spans="1:11" x14ac:dyDescent="0.25">
      <c r="A849" s="7" t="s">
        <v>1843</v>
      </c>
      <c r="B849" s="7">
        <v>0</v>
      </c>
      <c r="C849" s="7">
        <v>141</v>
      </c>
      <c r="D849" s="7">
        <v>8</v>
      </c>
      <c r="E849" s="7">
        <v>0</v>
      </c>
      <c r="F849" s="7">
        <v>0</v>
      </c>
      <c r="G849" s="7">
        <v>2</v>
      </c>
      <c r="H849" s="7">
        <v>0</v>
      </c>
      <c r="I849" s="7">
        <v>0</v>
      </c>
      <c r="J849" s="7">
        <v>0</v>
      </c>
      <c r="K849" s="7">
        <v>151</v>
      </c>
    </row>
    <row r="850" spans="1:11" x14ac:dyDescent="0.25">
      <c r="A850" s="7" t="s">
        <v>1844</v>
      </c>
      <c r="B850" s="7">
        <v>0</v>
      </c>
      <c r="C850" s="7">
        <v>42</v>
      </c>
      <c r="D850" s="7">
        <v>3</v>
      </c>
      <c r="E850" s="7">
        <v>0</v>
      </c>
      <c r="F850" s="7">
        <v>0</v>
      </c>
      <c r="G850" s="7">
        <v>0</v>
      </c>
      <c r="H850" s="7">
        <v>0</v>
      </c>
      <c r="I850" s="7">
        <v>13</v>
      </c>
      <c r="J850" s="7">
        <v>0</v>
      </c>
      <c r="K850" s="7">
        <v>58</v>
      </c>
    </row>
    <row r="851" spans="1:11" x14ac:dyDescent="0.25">
      <c r="A851" s="7" t="s">
        <v>1845</v>
      </c>
      <c r="B851" s="7">
        <v>0</v>
      </c>
      <c r="C851" s="7">
        <v>53</v>
      </c>
      <c r="D851" s="7">
        <v>1</v>
      </c>
      <c r="E851" s="7">
        <v>2</v>
      </c>
      <c r="F851" s="7">
        <v>0</v>
      </c>
      <c r="G851" s="7">
        <v>0</v>
      </c>
      <c r="H851" s="7">
        <v>0</v>
      </c>
      <c r="I851" s="7">
        <v>6</v>
      </c>
      <c r="J851" s="7">
        <v>0</v>
      </c>
      <c r="K851" s="7">
        <v>62</v>
      </c>
    </row>
    <row r="852" spans="1:11" x14ac:dyDescent="0.25">
      <c r="A852" s="7" t="s">
        <v>1846</v>
      </c>
      <c r="B852" s="7">
        <v>0</v>
      </c>
      <c r="C852" s="7">
        <v>48</v>
      </c>
      <c r="D852" s="7">
        <v>14</v>
      </c>
      <c r="E852" s="7">
        <v>4</v>
      </c>
      <c r="F852" s="7">
        <v>0</v>
      </c>
      <c r="G852" s="7">
        <v>0</v>
      </c>
      <c r="H852" s="7">
        <v>0</v>
      </c>
      <c r="I852" s="7">
        <v>2</v>
      </c>
      <c r="J852" s="7">
        <v>0</v>
      </c>
      <c r="K852" s="7">
        <v>68</v>
      </c>
    </row>
    <row r="853" spans="1:11" x14ac:dyDescent="0.25">
      <c r="A853" s="7" t="s">
        <v>1847</v>
      </c>
      <c r="B853" s="7">
        <v>0</v>
      </c>
      <c r="C853" s="7">
        <v>12</v>
      </c>
      <c r="D853" s="7">
        <v>12</v>
      </c>
      <c r="E853" s="7">
        <v>1</v>
      </c>
      <c r="F853" s="7">
        <v>0</v>
      </c>
      <c r="G853" s="7">
        <v>0</v>
      </c>
      <c r="H853" s="7">
        <v>0</v>
      </c>
      <c r="I853" s="7">
        <v>8</v>
      </c>
      <c r="J853" s="7">
        <v>0</v>
      </c>
      <c r="K853" s="7">
        <v>33</v>
      </c>
    </row>
    <row r="854" spans="1:11" x14ac:dyDescent="0.25">
      <c r="A854" s="7" t="s">
        <v>1848</v>
      </c>
      <c r="B854" s="7">
        <v>0</v>
      </c>
      <c r="C854" s="7">
        <v>40</v>
      </c>
      <c r="D854" s="7">
        <v>1</v>
      </c>
      <c r="E854" s="7">
        <v>0</v>
      </c>
      <c r="F854" s="7">
        <v>1</v>
      </c>
      <c r="G854" s="7">
        <v>6</v>
      </c>
      <c r="H854" s="7">
        <v>0</v>
      </c>
      <c r="I854" s="7">
        <v>0</v>
      </c>
      <c r="J854" s="7">
        <v>0</v>
      </c>
      <c r="K854" s="7">
        <v>48</v>
      </c>
    </row>
    <row r="855" spans="1:11" x14ac:dyDescent="0.25">
      <c r="A855" s="7" t="s">
        <v>1849</v>
      </c>
      <c r="B855" s="7">
        <v>0</v>
      </c>
      <c r="C855" s="7">
        <v>45</v>
      </c>
      <c r="D855" s="7">
        <v>1</v>
      </c>
      <c r="E855" s="7">
        <v>0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46</v>
      </c>
    </row>
    <row r="856" spans="1:11" x14ac:dyDescent="0.25">
      <c r="A856" s="7" t="s">
        <v>1850</v>
      </c>
      <c r="B856" s="7">
        <v>0</v>
      </c>
      <c r="C856" s="7">
        <v>21</v>
      </c>
      <c r="D856" s="7">
        <v>25</v>
      </c>
      <c r="E856" s="7">
        <v>7</v>
      </c>
      <c r="F856" s="7">
        <v>0</v>
      </c>
      <c r="G856" s="7">
        <v>0</v>
      </c>
      <c r="H856" s="7">
        <v>0</v>
      </c>
      <c r="I856" s="7">
        <v>1</v>
      </c>
      <c r="J856" s="7">
        <v>0</v>
      </c>
      <c r="K856" s="7">
        <v>54</v>
      </c>
    </row>
    <row r="857" spans="1:11" x14ac:dyDescent="0.25">
      <c r="A857" s="7" t="s">
        <v>1851</v>
      </c>
      <c r="B857" s="7">
        <v>0</v>
      </c>
      <c r="C857" s="7">
        <v>90</v>
      </c>
      <c r="D857" s="7">
        <v>48</v>
      </c>
      <c r="E857" s="7">
        <v>11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149</v>
      </c>
    </row>
    <row r="858" spans="1:11" x14ac:dyDescent="0.25">
      <c r="A858" s="7" t="s">
        <v>1852</v>
      </c>
      <c r="B858" s="7">
        <v>0</v>
      </c>
      <c r="C858" s="7">
        <v>63</v>
      </c>
      <c r="D858" s="7">
        <v>3</v>
      </c>
      <c r="E858" s="7">
        <v>0</v>
      </c>
      <c r="F858" s="7">
        <v>0</v>
      </c>
      <c r="G858" s="7">
        <v>13</v>
      </c>
      <c r="H858" s="7">
        <v>0</v>
      </c>
      <c r="I858" s="7">
        <v>0</v>
      </c>
      <c r="J858" s="7">
        <v>0</v>
      </c>
      <c r="K858" s="7">
        <v>79</v>
      </c>
    </row>
    <row r="859" spans="1:11" x14ac:dyDescent="0.25">
      <c r="A859" s="7" t="s">
        <v>1853</v>
      </c>
      <c r="B859" s="7">
        <v>0</v>
      </c>
      <c r="C859" s="7">
        <v>51</v>
      </c>
      <c r="D859" s="7">
        <v>1</v>
      </c>
      <c r="E859" s="7">
        <v>0</v>
      </c>
      <c r="F859" s="7">
        <v>0</v>
      </c>
      <c r="G859" s="7">
        <v>2</v>
      </c>
      <c r="H859" s="7">
        <v>0</v>
      </c>
      <c r="I859" s="7">
        <v>0</v>
      </c>
      <c r="J859" s="7">
        <v>0</v>
      </c>
      <c r="K859" s="7">
        <v>54</v>
      </c>
    </row>
    <row r="860" spans="1:11" x14ac:dyDescent="0.25">
      <c r="A860" s="7" t="s">
        <v>1854</v>
      </c>
      <c r="B860" s="7">
        <v>0</v>
      </c>
      <c r="C860" s="7">
        <v>30</v>
      </c>
      <c r="D860" s="7">
        <v>25</v>
      </c>
      <c r="E860" s="7">
        <v>4</v>
      </c>
      <c r="F860" s="7">
        <v>0</v>
      </c>
      <c r="G860" s="7">
        <v>0</v>
      </c>
      <c r="H860" s="7">
        <v>0</v>
      </c>
      <c r="I860" s="7">
        <v>2</v>
      </c>
      <c r="J860" s="7">
        <v>0</v>
      </c>
      <c r="K860" s="7">
        <v>61</v>
      </c>
    </row>
    <row r="861" spans="1:11" x14ac:dyDescent="0.25">
      <c r="A861" s="7" t="s">
        <v>1855</v>
      </c>
      <c r="B861" s="7">
        <v>0</v>
      </c>
      <c r="C861" s="7">
        <v>41</v>
      </c>
      <c r="D861" s="7">
        <v>0</v>
      </c>
      <c r="E861" s="7">
        <v>0</v>
      </c>
      <c r="F861" s="7">
        <v>0</v>
      </c>
      <c r="G861" s="7">
        <v>17</v>
      </c>
      <c r="H861" s="7">
        <v>0</v>
      </c>
      <c r="I861" s="7">
        <v>0</v>
      </c>
      <c r="J861" s="7">
        <v>0</v>
      </c>
      <c r="K861" s="7">
        <v>58</v>
      </c>
    </row>
    <row r="862" spans="1:11" x14ac:dyDescent="0.25">
      <c r="A862" s="7" t="s">
        <v>1856</v>
      </c>
      <c r="B862" s="7">
        <v>0</v>
      </c>
      <c r="C862" s="7">
        <v>65</v>
      </c>
      <c r="D862" s="7">
        <v>0</v>
      </c>
      <c r="E862" s="7">
        <v>0</v>
      </c>
      <c r="F862" s="7">
        <v>0</v>
      </c>
      <c r="G862" s="7">
        <v>6</v>
      </c>
      <c r="H862" s="7">
        <v>0</v>
      </c>
      <c r="I862" s="7">
        <v>1</v>
      </c>
      <c r="J862" s="7">
        <v>0</v>
      </c>
      <c r="K862" s="7">
        <v>72</v>
      </c>
    </row>
    <row r="863" spans="1:11" x14ac:dyDescent="0.25">
      <c r="A863" s="7" t="s">
        <v>1857</v>
      </c>
      <c r="B863" s="7">
        <v>0</v>
      </c>
      <c r="C863" s="7">
        <v>67</v>
      </c>
      <c r="D863" s="7">
        <v>24</v>
      </c>
      <c r="E863" s="7">
        <v>40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137</v>
      </c>
    </row>
    <row r="864" spans="1:11" x14ac:dyDescent="0.25">
      <c r="A864" s="7" t="s">
        <v>1858</v>
      </c>
      <c r="B864" s="7">
        <v>0</v>
      </c>
      <c r="C864" s="7">
        <v>50</v>
      </c>
      <c r="D864" s="7">
        <v>3</v>
      </c>
      <c r="E864" s="7">
        <v>0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53</v>
      </c>
    </row>
    <row r="865" spans="1:11" x14ac:dyDescent="0.25">
      <c r="A865" s="7" t="s">
        <v>1859</v>
      </c>
      <c r="B865" s="7">
        <v>0</v>
      </c>
      <c r="C865" s="7">
        <v>48</v>
      </c>
      <c r="D865" s="7">
        <v>2</v>
      </c>
      <c r="E865" s="7">
        <v>11</v>
      </c>
      <c r="F865" s="7">
        <v>0</v>
      </c>
      <c r="G865" s="7">
        <v>0</v>
      </c>
      <c r="H865" s="7">
        <v>0</v>
      </c>
      <c r="I865" s="7">
        <v>0</v>
      </c>
      <c r="J865" s="7">
        <v>1</v>
      </c>
      <c r="K865" s="7">
        <v>62</v>
      </c>
    </row>
    <row r="866" spans="1:11" x14ac:dyDescent="0.25">
      <c r="A866" s="7" t="s">
        <v>1860</v>
      </c>
      <c r="B866" s="7">
        <v>0</v>
      </c>
      <c r="C866" s="7">
        <v>155</v>
      </c>
      <c r="D866" s="7">
        <v>7</v>
      </c>
      <c r="E866" s="7">
        <v>19</v>
      </c>
      <c r="F866" s="7">
        <v>0</v>
      </c>
      <c r="G866" s="7">
        <v>0</v>
      </c>
      <c r="H866" s="7">
        <v>0</v>
      </c>
      <c r="I866" s="7">
        <v>1</v>
      </c>
      <c r="J866" s="7">
        <v>0</v>
      </c>
      <c r="K866" s="7">
        <v>182</v>
      </c>
    </row>
    <row r="867" spans="1:11" x14ac:dyDescent="0.25">
      <c r="A867" s="7" t="s">
        <v>1861</v>
      </c>
      <c r="B867" s="7">
        <v>0</v>
      </c>
      <c r="C867" s="7">
        <v>35</v>
      </c>
      <c r="D867" s="7">
        <v>0</v>
      </c>
      <c r="E867" s="7">
        <v>55</v>
      </c>
      <c r="F867" s="7">
        <v>0</v>
      </c>
      <c r="G867" s="7">
        <v>0</v>
      </c>
      <c r="H867" s="7">
        <v>0</v>
      </c>
      <c r="I867" s="7">
        <v>0</v>
      </c>
      <c r="J867" s="7">
        <v>1</v>
      </c>
      <c r="K867" s="7">
        <v>91</v>
      </c>
    </row>
    <row r="868" spans="1:11" x14ac:dyDescent="0.25">
      <c r="A868" s="7" t="s">
        <v>1862</v>
      </c>
      <c r="B868" s="7">
        <v>0</v>
      </c>
      <c r="C868" s="7">
        <v>0</v>
      </c>
      <c r="D868" s="7">
        <v>0</v>
      </c>
      <c r="E868" s="7">
        <v>2</v>
      </c>
      <c r="F868" s="7">
        <v>0</v>
      </c>
      <c r="G868" s="7">
        <v>0</v>
      </c>
      <c r="H868" s="7">
        <v>0</v>
      </c>
      <c r="I868" s="7">
        <v>0</v>
      </c>
      <c r="J868" s="7">
        <v>0</v>
      </c>
      <c r="K868" s="7">
        <v>2</v>
      </c>
    </row>
    <row r="869" spans="1:11" x14ac:dyDescent="0.25">
      <c r="A869" s="7" t="s">
        <v>1863</v>
      </c>
      <c r="B869" s="7">
        <v>0</v>
      </c>
      <c r="C869" s="7">
        <v>25</v>
      </c>
      <c r="D869" s="7">
        <v>0</v>
      </c>
      <c r="E869" s="7">
        <v>0</v>
      </c>
      <c r="F869" s="7">
        <v>0</v>
      </c>
      <c r="G869" s="7">
        <v>7</v>
      </c>
      <c r="H869" s="7">
        <v>0</v>
      </c>
      <c r="I869" s="7">
        <v>0</v>
      </c>
      <c r="J869" s="7">
        <v>0</v>
      </c>
      <c r="K869" s="7">
        <v>32</v>
      </c>
    </row>
    <row r="870" spans="1:11" x14ac:dyDescent="0.25">
      <c r="A870" s="7" t="s">
        <v>1864</v>
      </c>
      <c r="B870" s="7">
        <v>0</v>
      </c>
      <c r="C870" s="7">
        <v>42</v>
      </c>
      <c r="D870" s="7">
        <v>0</v>
      </c>
      <c r="E870" s="7">
        <v>0</v>
      </c>
      <c r="F870" s="7">
        <v>0</v>
      </c>
      <c r="G870" s="7">
        <v>5</v>
      </c>
      <c r="H870" s="7">
        <v>0</v>
      </c>
      <c r="I870" s="7">
        <v>0</v>
      </c>
      <c r="J870" s="7">
        <v>1</v>
      </c>
      <c r="K870" s="7">
        <v>48</v>
      </c>
    </row>
    <row r="871" spans="1:11" x14ac:dyDescent="0.25">
      <c r="A871" s="7" t="s">
        <v>1865</v>
      </c>
      <c r="B871" s="7">
        <v>0</v>
      </c>
      <c r="C871" s="7">
        <v>36</v>
      </c>
      <c r="D871" s="7">
        <v>3</v>
      </c>
      <c r="E871" s="7">
        <v>3</v>
      </c>
      <c r="F871" s="7">
        <v>0</v>
      </c>
      <c r="G871" s="7">
        <v>10</v>
      </c>
      <c r="H871" s="7">
        <v>0</v>
      </c>
      <c r="I871" s="7">
        <v>0</v>
      </c>
      <c r="J871" s="7">
        <v>1</v>
      </c>
      <c r="K871" s="7">
        <v>53</v>
      </c>
    </row>
    <row r="872" spans="1:11" x14ac:dyDescent="0.25">
      <c r="A872" s="7" t="s">
        <v>1866</v>
      </c>
      <c r="B872" s="7">
        <v>0</v>
      </c>
      <c r="C872" s="7">
        <v>76</v>
      </c>
      <c r="D872" s="7">
        <v>2</v>
      </c>
      <c r="E872" s="7">
        <v>0</v>
      </c>
      <c r="F872" s="7">
        <v>0</v>
      </c>
      <c r="G872" s="7">
        <v>7</v>
      </c>
      <c r="H872" s="7">
        <v>0</v>
      </c>
      <c r="I872" s="7">
        <v>0</v>
      </c>
      <c r="J872" s="7">
        <v>1</v>
      </c>
      <c r="K872" s="7">
        <v>86</v>
      </c>
    </row>
    <row r="873" spans="1:11" x14ac:dyDescent="0.25">
      <c r="A873" s="7" t="s">
        <v>1867</v>
      </c>
      <c r="B873" s="7">
        <v>0</v>
      </c>
      <c r="C873" s="7">
        <v>83</v>
      </c>
      <c r="D873" s="7">
        <v>0</v>
      </c>
      <c r="E873" s="7">
        <v>0</v>
      </c>
      <c r="F873" s="7">
        <v>0</v>
      </c>
      <c r="G873" s="7">
        <v>2</v>
      </c>
      <c r="H873" s="7">
        <v>0</v>
      </c>
      <c r="I873" s="7">
        <v>0</v>
      </c>
      <c r="J873" s="7">
        <v>0</v>
      </c>
      <c r="K873" s="7">
        <v>85</v>
      </c>
    </row>
    <row r="874" spans="1:11" x14ac:dyDescent="0.25">
      <c r="A874" s="7" t="s">
        <v>1868</v>
      </c>
      <c r="B874" s="7">
        <v>0</v>
      </c>
      <c r="C874" s="7">
        <v>37</v>
      </c>
      <c r="D874" s="7">
        <v>4</v>
      </c>
      <c r="E874" s="7">
        <v>1</v>
      </c>
      <c r="F874" s="7">
        <v>0</v>
      </c>
      <c r="G874" s="7">
        <v>6</v>
      </c>
      <c r="H874" s="7">
        <v>0</v>
      </c>
      <c r="I874" s="7">
        <v>0</v>
      </c>
      <c r="J874" s="7">
        <v>0</v>
      </c>
      <c r="K874" s="7">
        <v>48</v>
      </c>
    </row>
    <row r="875" spans="1:11" x14ac:dyDescent="0.25">
      <c r="A875" s="7" t="s">
        <v>1869</v>
      </c>
      <c r="B875" s="7">
        <v>0</v>
      </c>
      <c r="C875" s="7">
        <v>36</v>
      </c>
      <c r="D875" s="7">
        <v>13</v>
      </c>
      <c r="E875" s="7">
        <v>0</v>
      </c>
      <c r="F875" s="7">
        <v>0</v>
      </c>
      <c r="G875" s="7">
        <v>1</v>
      </c>
      <c r="H875" s="7">
        <v>0</v>
      </c>
      <c r="I875" s="7">
        <v>0</v>
      </c>
      <c r="J875" s="7">
        <v>0</v>
      </c>
      <c r="K875" s="7">
        <v>50</v>
      </c>
    </row>
    <row r="876" spans="1:11" x14ac:dyDescent="0.25">
      <c r="A876" s="7" t="s">
        <v>1870</v>
      </c>
      <c r="B876" s="7">
        <v>0</v>
      </c>
      <c r="C876" s="7">
        <v>89</v>
      </c>
      <c r="D876" s="7">
        <v>9</v>
      </c>
      <c r="E876" s="7">
        <v>0</v>
      </c>
      <c r="F876" s="7">
        <v>0</v>
      </c>
      <c r="G876" s="7">
        <v>1</v>
      </c>
      <c r="H876" s="7">
        <v>0</v>
      </c>
      <c r="I876" s="7">
        <v>2</v>
      </c>
      <c r="J876" s="7">
        <v>0</v>
      </c>
      <c r="K876" s="7">
        <v>101</v>
      </c>
    </row>
    <row r="877" spans="1:11" x14ac:dyDescent="0.25">
      <c r="A877" s="7" t="s">
        <v>1871</v>
      </c>
      <c r="B877" s="7">
        <v>0</v>
      </c>
      <c r="C877" s="7">
        <v>58</v>
      </c>
      <c r="D877" s="7">
        <v>2</v>
      </c>
      <c r="E877" s="7">
        <v>1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61</v>
      </c>
    </row>
    <row r="878" spans="1:11" x14ac:dyDescent="0.25">
      <c r="A878" s="7" t="s">
        <v>1872</v>
      </c>
      <c r="B878" s="7">
        <v>0</v>
      </c>
      <c r="C878" s="7">
        <v>21</v>
      </c>
      <c r="D878" s="7">
        <v>9</v>
      </c>
      <c r="E878" s="7">
        <v>13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43</v>
      </c>
    </row>
    <row r="879" spans="1:11" x14ac:dyDescent="0.25">
      <c r="A879" s="7" t="s">
        <v>1873</v>
      </c>
      <c r="B879" s="7">
        <v>0</v>
      </c>
      <c r="C879" s="7">
        <v>14</v>
      </c>
      <c r="D879" s="7">
        <v>7</v>
      </c>
      <c r="E879" s="7">
        <v>10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31</v>
      </c>
    </row>
    <row r="880" spans="1:11" x14ac:dyDescent="0.25">
      <c r="A880" s="7" t="s">
        <v>1874</v>
      </c>
      <c r="B880" s="7">
        <v>0</v>
      </c>
      <c r="C880" s="7">
        <v>17</v>
      </c>
      <c r="D880" s="7">
        <v>29</v>
      </c>
      <c r="E880" s="7">
        <v>21</v>
      </c>
      <c r="F880" s="7">
        <v>0</v>
      </c>
      <c r="G880" s="7">
        <v>0</v>
      </c>
      <c r="H880" s="7">
        <v>0</v>
      </c>
      <c r="I880" s="7">
        <v>4</v>
      </c>
      <c r="J880" s="7">
        <v>1</v>
      </c>
      <c r="K880" s="7">
        <v>72</v>
      </c>
    </row>
    <row r="881" spans="1:11" x14ac:dyDescent="0.25">
      <c r="A881" s="7" t="s">
        <v>1875</v>
      </c>
      <c r="B881" s="7">
        <v>0</v>
      </c>
      <c r="C881" s="7">
        <v>60</v>
      </c>
      <c r="D881" s="7">
        <v>39</v>
      </c>
      <c r="E881" s="7">
        <v>1</v>
      </c>
      <c r="F881" s="7">
        <v>0</v>
      </c>
      <c r="G881" s="7">
        <v>0</v>
      </c>
      <c r="H881" s="7">
        <v>0</v>
      </c>
      <c r="I881" s="7">
        <v>6</v>
      </c>
      <c r="J881" s="7">
        <v>0</v>
      </c>
      <c r="K881" s="7">
        <v>106</v>
      </c>
    </row>
    <row r="882" spans="1:11" x14ac:dyDescent="0.25">
      <c r="A882" s="7" t="s">
        <v>1876</v>
      </c>
      <c r="B882" s="7">
        <v>0</v>
      </c>
      <c r="C882" s="7">
        <v>69</v>
      </c>
      <c r="D882" s="7">
        <v>0</v>
      </c>
      <c r="E882" s="7">
        <v>0</v>
      </c>
      <c r="F882" s="7">
        <v>0</v>
      </c>
      <c r="G882" s="7">
        <v>1</v>
      </c>
      <c r="H882" s="7">
        <v>0</v>
      </c>
      <c r="I882" s="7">
        <v>0</v>
      </c>
      <c r="J882" s="7">
        <v>0</v>
      </c>
      <c r="K882" s="7">
        <v>70</v>
      </c>
    </row>
    <row r="883" spans="1:11" x14ac:dyDescent="0.25">
      <c r="A883" s="7" t="s">
        <v>1877</v>
      </c>
      <c r="B883" s="7">
        <v>0</v>
      </c>
      <c r="C883" s="7">
        <v>83</v>
      </c>
      <c r="D883" s="7">
        <v>1</v>
      </c>
      <c r="E883" s="7">
        <v>0</v>
      </c>
      <c r="F883" s="7">
        <v>0</v>
      </c>
      <c r="G883" s="7">
        <v>0</v>
      </c>
      <c r="H883" s="7">
        <v>0</v>
      </c>
      <c r="I883" s="7">
        <v>0</v>
      </c>
      <c r="J883" s="7">
        <v>0</v>
      </c>
      <c r="K883" s="7">
        <v>84</v>
      </c>
    </row>
    <row r="884" spans="1:11" x14ac:dyDescent="0.25">
      <c r="A884" s="7" t="s">
        <v>1878</v>
      </c>
      <c r="B884" s="7">
        <v>0</v>
      </c>
      <c r="C884" s="7">
        <v>73</v>
      </c>
      <c r="D884" s="7">
        <v>6</v>
      </c>
      <c r="E884" s="7">
        <v>0</v>
      </c>
      <c r="F884" s="7">
        <v>0</v>
      </c>
      <c r="G884" s="7">
        <v>1</v>
      </c>
      <c r="H884" s="7">
        <v>0</v>
      </c>
      <c r="I884" s="7">
        <v>0</v>
      </c>
      <c r="J884" s="7">
        <v>0</v>
      </c>
      <c r="K884" s="7">
        <v>80</v>
      </c>
    </row>
    <row r="885" spans="1:11" x14ac:dyDescent="0.25">
      <c r="A885" s="7" t="s">
        <v>1879</v>
      </c>
      <c r="B885" s="7">
        <v>0</v>
      </c>
      <c r="C885" s="7">
        <v>60</v>
      </c>
      <c r="D885" s="7">
        <v>0</v>
      </c>
      <c r="E885" s="7">
        <v>0</v>
      </c>
      <c r="F885" s="7">
        <v>0</v>
      </c>
      <c r="G885" s="7">
        <v>0</v>
      </c>
      <c r="H885" s="7">
        <v>0</v>
      </c>
      <c r="I885" s="7">
        <v>0</v>
      </c>
      <c r="J885" s="7">
        <v>0</v>
      </c>
      <c r="K885" s="7">
        <v>60</v>
      </c>
    </row>
    <row r="886" spans="1:11" x14ac:dyDescent="0.25">
      <c r="A886" s="7" t="s">
        <v>1880</v>
      </c>
      <c r="B886" s="7">
        <v>0</v>
      </c>
      <c r="C886" s="7">
        <v>151</v>
      </c>
      <c r="D886" s="7">
        <v>11</v>
      </c>
      <c r="E886" s="7">
        <v>1</v>
      </c>
      <c r="F886" s="7">
        <v>1</v>
      </c>
      <c r="G886" s="7">
        <v>1</v>
      </c>
      <c r="H886" s="7">
        <v>0</v>
      </c>
      <c r="I886" s="7">
        <v>0</v>
      </c>
      <c r="J886" s="7">
        <v>0</v>
      </c>
      <c r="K886" s="7">
        <v>165</v>
      </c>
    </row>
    <row r="887" spans="1:11" x14ac:dyDescent="0.25">
      <c r="A887" s="7" t="s">
        <v>1881</v>
      </c>
      <c r="B887" s="7">
        <v>0</v>
      </c>
      <c r="C887" s="7">
        <v>223</v>
      </c>
      <c r="D887" s="7">
        <v>2</v>
      </c>
      <c r="E887" s="7">
        <v>1</v>
      </c>
      <c r="F887" s="7">
        <v>0</v>
      </c>
      <c r="G887" s="7">
        <v>2</v>
      </c>
      <c r="H887" s="7">
        <v>0</v>
      </c>
      <c r="I887" s="7">
        <v>0</v>
      </c>
      <c r="J887" s="7">
        <v>0</v>
      </c>
      <c r="K887" s="7">
        <v>228</v>
      </c>
    </row>
    <row r="888" spans="1:11" x14ac:dyDescent="0.25">
      <c r="A888" s="7" t="s">
        <v>1882</v>
      </c>
      <c r="B888" s="7">
        <v>0</v>
      </c>
      <c r="C888" s="7">
        <v>87</v>
      </c>
      <c r="D888" s="7">
        <v>1</v>
      </c>
      <c r="E888" s="7">
        <v>3</v>
      </c>
      <c r="F888" s="7">
        <v>0</v>
      </c>
      <c r="G888" s="7">
        <v>0</v>
      </c>
      <c r="H888" s="7">
        <v>0</v>
      </c>
      <c r="I888" s="7">
        <v>4</v>
      </c>
      <c r="J888" s="7">
        <v>0</v>
      </c>
      <c r="K888" s="7">
        <v>95</v>
      </c>
    </row>
    <row r="889" spans="1:11" x14ac:dyDescent="0.25">
      <c r="A889" s="7" t="s">
        <v>1883</v>
      </c>
      <c r="B889" s="7">
        <v>0</v>
      </c>
      <c r="C889" s="7">
        <v>93</v>
      </c>
      <c r="D889" s="7">
        <v>9</v>
      </c>
      <c r="E889" s="7">
        <v>2</v>
      </c>
      <c r="F889" s="7">
        <v>0</v>
      </c>
      <c r="G889" s="7">
        <v>0</v>
      </c>
      <c r="H889" s="7">
        <v>0</v>
      </c>
      <c r="I889" s="7">
        <v>38</v>
      </c>
      <c r="J889" s="7">
        <v>0</v>
      </c>
      <c r="K889" s="7">
        <v>142</v>
      </c>
    </row>
    <row r="890" spans="1:11" x14ac:dyDescent="0.25">
      <c r="A890" s="7" t="s">
        <v>1884</v>
      </c>
      <c r="B890" s="7">
        <v>0</v>
      </c>
      <c r="C890" s="7">
        <v>91</v>
      </c>
      <c r="D890" s="7">
        <v>55</v>
      </c>
      <c r="E890" s="7">
        <v>1</v>
      </c>
      <c r="F890" s="7">
        <v>0</v>
      </c>
      <c r="G890" s="7">
        <v>1</v>
      </c>
      <c r="H890" s="7">
        <v>0</v>
      </c>
      <c r="I890" s="7">
        <v>28</v>
      </c>
      <c r="J890" s="7">
        <v>2</v>
      </c>
      <c r="K890" s="7">
        <v>178</v>
      </c>
    </row>
    <row r="891" spans="1:11" x14ac:dyDescent="0.25">
      <c r="A891" s="7" t="s">
        <v>1885</v>
      </c>
      <c r="B891" s="7">
        <v>0</v>
      </c>
      <c r="C891" s="7">
        <v>122</v>
      </c>
      <c r="D891" s="7">
        <v>8</v>
      </c>
      <c r="E891" s="7">
        <v>9</v>
      </c>
      <c r="F891" s="7">
        <v>0</v>
      </c>
      <c r="G891" s="7">
        <v>0</v>
      </c>
      <c r="H891" s="7">
        <v>0</v>
      </c>
      <c r="I891" s="7">
        <v>21</v>
      </c>
      <c r="J891" s="7">
        <v>4</v>
      </c>
      <c r="K891" s="7">
        <v>164</v>
      </c>
    </row>
    <row r="892" spans="1:11" x14ac:dyDescent="0.25">
      <c r="A892" s="7" t="s">
        <v>1886</v>
      </c>
      <c r="B892" s="7">
        <v>0</v>
      </c>
      <c r="C892" s="7">
        <v>161</v>
      </c>
      <c r="D892" s="7">
        <v>6</v>
      </c>
      <c r="E892" s="7">
        <v>2</v>
      </c>
      <c r="F892" s="7">
        <v>0</v>
      </c>
      <c r="G892" s="7">
        <v>0</v>
      </c>
      <c r="H892" s="7">
        <v>0</v>
      </c>
      <c r="I892" s="7">
        <v>71</v>
      </c>
      <c r="J892" s="7">
        <v>4</v>
      </c>
      <c r="K892" s="7">
        <v>244</v>
      </c>
    </row>
    <row r="893" spans="1:11" x14ac:dyDescent="0.25">
      <c r="A893" s="7" t="s">
        <v>1887</v>
      </c>
      <c r="B893" s="7">
        <v>0</v>
      </c>
      <c r="C893" s="7">
        <v>109</v>
      </c>
      <c r="D893" s="7">
        <v>3</v>
      </c>
      <c r="E893" s="7">
        <v>0</v>
      </c>
      <c r="F893" s="7">
        <v>0</v>
      </c>
      <c r="G893" s="7">
        <v>4</v>
      </c>
      <c r="H893" s="7">
        <v>0</v>
      </c>
      <c r="I893" s="7">
        <v>13</v>
      </c>
      <c r="J893" s="7">
        <v>2</v>
      </c>
      <c r="K893" s="7">
        <v>131</v>
      </c>
    </row>
    <row r="894" spans="1:11" x14ac:dyDescent="0.25">
      <c r="A894" s="7" t="s">
        <v>1888</v>
      </c>
      <c r="B894" s="7">
        <v>0</v>
      </c>
      <c r="C894" s="7">
        <v>12</v>
      </c>
      <c r="D894" s="7">
        <v>38</v>
      </c>
      <c r="E894" s="7">
        <v>12</v>
      </c>
      <c r="F894" s="7">
        <v>0</v>
      </c>
      <c r="G894" s="7">
        <v>0</v>
      </c>
      <c r="H894" s="7">
        <v>0</v>
      </c>
      <c r="I894" s="7">
        <v>38</v>
      </c>
      <c r="J894" s="7">
        <v>2</v>
      </c>
      <c r="K894" s="7">
        <v>102</v>
      </c>
    </row>
    <row r="895" spans="1:11" x14ac:dyDescent="0.25">
      <c r="A895" s="7" t="s">
        <v>1889</v>
      </c>
      <c r="B895" s="7">
        <v>0</v>
      </c>
      <c r="C895" s="7">
        <v>189</v>
      </c>
      <c r="D895" s="7">
        <v>13</v>
      </c>
      <c r="E895" s="7">
        <v>6</v>
      </c>
      <c r="F895" s="7">
        <v>1</v>
      </c>
      <c r="G895" s="7">
        <v>2</v>
      </c>
      <c r="H895" s="7">
        <v>1</v>
      </c>
      <c r="I895" s="7">
        <v>2</v>
      </c>
      <c r="J895" s="7">
        <v>3</v>
      </c>
      <c r="K895" s="7">
        <v>217</v>
      </c>
    </row>
    <row r="896" spans="1:11" x14ac:dyDescent="0.25">
      <c r="A896" s="7" t="s">
        <v>1890</v>
      </c>
      <c r="B896" s="7">
        <v>0</v>
      </c>
      <c r="C896" s="7">
        <v>166</v>
      </c>
      <c r="D896" s="7">
        <v>20</v>
      </c>
      <c r="E896" s="7">
        <v>14</v>
      </c>
      <c r="F896" s="7">
        <v>0</v>
      </c>
      <c r="G896" s="7">
        <v>0</v>
      </c>
      <c r="H896" s="7">
        <v>0</v>
      </c>
      <c r="I896" s="7">
        <v>12</v>
      </c>
      <c r="J896" s="7">
        <v>6</v>
      </c>
      <c r="K896" s="7">
        <v>218</v>
      </c>
    </row>
    <row r="897" spans="1:11" x14ac:dyDescent="0.25">
      <c r="A897" s="7" t="s">
        <v>1891</v>
      </c>
      <c r="B897" s="7">
        <v>0</v>
      </c>
      <c r="C897" s="7">
        <v>65</v>
      </c>
      <c r="D897" s="7">
        <v>21</v>
      </c>
      <c r="E897" s="7">
        <v>19</v>
      </c>
      <c r="F897" s="7">
        <v>0</v>
      </c>
      <c r="G897" s="7">
        <v>0</v>
      </c>
      <c r="H897" s="7">
        <v>0</v>
      </c>
      <c r="I897" s="7">
        <v>18</v>
      </c>
      <c r="J897" s="7">
        <v>2</v>
      </c>
      <c r="K897" s="7">
        <v>125</v>
      </c>
    </row>
    <row r="898" spans="1:11" x14ac:dyDescent="0.25">
      <c r="A898" s="7" t="s">
        <v>1892</v>
      </c>
      <c r="B898" s="7">
        <v>0</v>
      </c>
      <c r="C898" s="7">
        <v>181</v>
      </c>
      <c r="D898" s="7">
        <v>2</v>
      </c>
      <c r="E898" s="7">
        <v>0</v>
      </c>
      <c r="F898" s="7">
        <v>1</v>
      </c>
      <c r="G898" s="7">
        <v>15</v>
      </c>
      <c r="H898" s="7">
        <v>0</v>
      </c>
      <c r="I898" s="7">
        <v>12</v>
      </c>
      <c r="J898" s="7">
        <v>0</v>
      </c>
      <c r="K898" s="7">
        <v>211</v>
      </c>
    </row>
    <row r="899" spans="1:11" x14ac:dyDescent="0.25">
      <c r="A899" s="7" t="s">
        <v>1893</v>
      </c>
      <c r="B899" s="7">
        <v>0</v>
      </c>
      <c r="C899" s="7">
        <v>85</v>
      </c>
      <c r="D899" s="7">
        <v>28</v>
      </c>
      <c r="E899" s="7">
        <v>12</v>
      </c>
      <c r="F899" s="7">
        <v>0</v>
      </c>
      <c r="G899" s="7">
        <v>0</v>
      </c>
      <c r="H899" s="7">
        <v>0</v>
      </c>
      <c r="I899" s="7">
        <v>44</v>
      </c>
      <c r="J899" s="7">
        <v>1</v>
      </c>
      <c r="K899" s="7">
        <v>170</v>
      </c>
    </row>
    <row r="900" spans="1:11" x14ac:dyDescent="0.25">
      <c r="A900" s="7" t="s">
        <v>1894</v>
      </c>
      <c r="B900" s="7">
        <v>0</v>
      </c>
      <c r="C900" s="7">
        <v>110</v>
      </c>
      <c r="D900" s="7">
        <v>4</v>
      </c>
      <c r="E900" s="7">
        <v>0</v>
      </c>
      <c r="F900" s="7">
        <v>0</v>
      </c>
      <c r="G900" s="7">
        <v>0</v>
      </c>
      <c r="H900" s="7">
        <v>0</v>
      </c>
      <c r="I900" s="7">
        <v>1</v>
      </c>
      <c r="J900" s="7">
        <v>1</v>
      </c>
      <c r="K900" s="7">
        <v>116</v>
      </c>
    </row>
    <row r="901" spans="1:11" x14ac:dyDescent="0.25">
      <c r="A901" s="7" t="s">
        <v>1895</v>
      </c>
      <c r="B901" s="7">
        <v>0</v>
      </c>
      <c r="C901" s="7">
        <v>160</v>
      </c>
      <c r="D901" s="7">
        <v>16</v>
      </c>
      <c r="E901" s="7">
        <v>0</v>
      </c>
      <c r="F901" s="7">
        <v>0</v>
      </c>
      <c r="G901" s="7">
        <v>2</v>
      </c>
      <c r="H901" s="7">
        <v>0</v>
      </c>
      <c r="I901" s="7">
        <v>0</v>
      </c>
      <c r="J901" s="7">
        <v>0</v>
      </c>
      <c r="K901" s="7">
        <v>178</v>
      </c>
    </row>
    <row r="902" spans="1:11" x14ac:dyDescent="0.25">
      <c r="A902" s="7" t="s">
        <v>1896</v>
      </c>
      <c r="B902" s="7">
        <v>0</v>
      </c>
      <c r="C902" s="7">
        <v>191</v>
      </c>
      <c r="D902" s="7">
        <v>8</v>
      </c>
      <c r="E902" s="7">
        <v>7</v>
      </c>
      <c r="F902" s="7">
        <v>0</v>
      </c>
      <c r="G902" s="7">
        <v>1</v>
      </c>
      <c r="H902" s="7">
        <v>0</v>
      </c>
      <c r="I902" s="7">
        <v>0</v>
      </c>
      <c r="J902" s="7">
        <v>2</v>
      </c>
      <c r="K902" s="7">
        <v>209</v>
      </c>
    </row>
    <row r="903" spans="1:11" x14ac:dyDescent="0.25">
      <c r="A903" s="7" t="s">
        <v>1897</v>
      </c>
      <c r="B903" s="7">
        <v>0</v>
      </c>
      <c r="C903" s="7">
        <v>98</v>
      </c>
      <c r="D903" s="7">
        <v>3</v>
      </c>
      <c r="E903" s="7">
        <v>2</v>
      </c>
      <c r="F903" s="7">
        <v>0</v>
      </c>
      <c r="G903" s="7">
        <v>0</v>
      </c>
      <c r="H903" s="7">
        <v>0</v>
      </c>
      <c r="I903" s="7">
        <v>0</v>
      </c>
      <c r="J903" s="7">
        <v>0</v>
      </c>
      <c r="K903" s="7">
        <v>103</v>
      </c>
    </row>
    <row r="904" spans="1:11" x14ac:dyDescent="0.25">
      <c r="A904" s="7" t="s">
        <v>1898</v>
      </c>
      <c r="B904" s="7">
        <v>0</v>
      </c>
      <c r="C904" s="7">
        <v>137</v>
      </c>
      <c r="D904" s="7">
        <v>2</v>
      </c>
      <c r="E904" s="7">
        <v>0</v>
      </c>
      <c r="F904" s="7">
        <v>0</v>
      </c>
      <c r="G904" s="7">
        <v>1</v>
      </c>
      <c r="H904" s="7">
        <v>0</v>
      </c>
      <c r="I904" s="7">
        <v>0</v>
      </c>
      <c r="J904" s="7">
        <v>1</v>
      </c>
      <c r="K904" s="7">
        <v>141</v>
      </c>
    </row>
    <row r="905" spans="1:11" x14ac:dyDescent="0.25">
      <c r="A905" s="7" t="s">
        <v>1899</v>
      </c>
      <c r="B905" s="7">
        <v>0</v>
      </c>
      <c r="C905" s="7">
        <v>101</v>
      </c>
      <c r="D905" s="7">
        <v>6</v>
      </c>
      <c r="E905" s="7">
        <v>7</v>
      </c>
      <c r="F905" s="7">
        <v>1</v>
      </c>
      <c r="G905" s="7">
        <v>3</v>
      </c>
      <c r="H905" s="7">
        <v>0</v>
      </c>
      <c r="I905" s="7">
        <v>4</v>
      </c>
      <c r="J905" s="7">
        <v>2</v>
      </c>
      <c r="K905" s="7">
        <v>124</v>
      </c>
    </row>
    <row r="906" spans="1:11" x14ac:dyDescent="0.25">
      <c r="A906" s="7" t="s">
        <v>1900</v>
      </c>
      <c r="B906" s="7">
        <v>0</v>
      </c>
      <c r="C906" s="7">
        <v>202</v>
      </c>
      <c r="D906" s="7">
        <v>25</v>
      </c>
      <c r="E906" s="7">
        <v>12</v>
      </c>
      <c r="F906" s="7">
        <v>2</v>
      </c>
      <c r="G906" s="7">
        <v>0</v>
      </c>
      <c r="H906" s="7">
        <v>0</v>
      </c>
      <c r="I906" s="7">
        <v>0</v>
      </c>
      <c r="J906" s="7">
        <v>3</v>
      </c>
      <c r="K906" s="7">
        <v>244</v>
      </c>
    </row>
    <row r="907" spans="1:11" x14ac:dyDescent="0.25">
      <c r="A907" s="7" t="s">
        <v>1901</v>
      </c>
      <c r="B907" s="7">
        <v>0</v>
      </c>
      <c r="C907" s="7">
        <v>162</v>
      </c>
      <c r="D907" s="7">
        <v>2</v>
      </c>
      <c r="E907" s="7">
        <v>3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167</v>
      </c>
    </row>
    <row r="908" spans="1:11" x14ac:dyDescent="0.25">
      <c r="A908" s="7" t="s">
        <v>1902</v>
      </c>
      <c r="B908" s="7">
        <v>0</v>
      </c>
      <c r="C908" s="7">
        <v>94</v>
      </c>
      <c r="D908" s="7">
        <v>1</v>
      </c>
      <c r="E908" s="7">
        <v>2</v>
      </c>
      <c r="F908" s="7">
        <v>0</v>
      </c>
      <c r="G908" s="7">
        <v>0</v>
      </c>
      <c r="H908" s="7">
        <v>0</v>
      </c>
      <c r="I908" s="7">
        <v>30</v>
      </c>
      <c r="J908" s="7">
        <v>0</v>
      </c>
      <c r="K908" s="7">
        <v>127</v>
      </c>
    </row>
    <row r="909" spans="1:11" x14ac:dyDescent="0.25">
      <c r="A909" s="7" t="s">
        <v>1903</v>
      </c>
      <c r="B909" s="7">
        <v>0</v>
      </c>
      <c r="C909" s="7">
        <v>117</v>
      </c>
      <c r="D909" s="7">
        <v>5</v>
      </c>
      <c r="E909" s="7">
        <v>1</v>
      </c>
      <c r="F909" s="7">
        <v>0</v>
      </c>
      <c r="G909" s="7">
        <v>0</v>
      </c>
      <c r="H909" s="7">
        <v>0</v>
      </c>
      <c r="I909" s="7">
        <v>0</v>
      </c>
      <c r="J909" s="7">
        <v>1</v>
      </c>
      <c r="K909" s="7">
        <v>124</v>
      </c>
    </row>
    <row r="910" spans="1:11" x14ac:dyDescent="0.25">
      <c r="A910" s="7" t="s">
        <v>1904</v>
      </c>
      <c r="B910" s="7">
        <v>0</v>
      </c>
      <c r="C910" s="7">
        <v>105</v>
      </c>
      <c r="D910" s="7">
        <v>1</v>
      </c>
      <c r="E910" s="7">
        <v>0</v>
      </c>
      <c r="F910" s="7">
        <v>0</v>
      </c>
      <c r="G910" s="7">
        <v>2</v>
      </c>
      <c r="H910" s="7">
        <v>0</v>
      </c>
      <c r="I910" s="7">
        <v>0</v>
      </c>
      <c r="J910" s="7">
        <v>0</v>
      </c>
      <c r="K910" s="7">
        <v>108</v>
      </c>
    </row>
    <row r="911" spans="1:11" x14ac:dyDescent="0.25">
      <c r="A911" s="7" t="s">
        <v>1905</v>
      </c>
      <c r="B911" s="7">
        <v>0</v>
      </c>
      <c r="C911" s="7">
        <v>182</v>
      </c>
      <c r="D911" s="7">
        <v>3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187</v>
      </c>
    </row>
    <row r="912" spans="1:11" x14ac:dyDescent="0.25">
      <c r="A912" s="7" t="s">
        <v>1906</v>
      </c>
      <c r="B912" s="7">
        <v>0</v>
      </c>
      <c r="C912" s="7">
        <v>119</v>
      </c>
      <c r="D912" s="7">
        <v>2</v>
      </c>
      <c r="E912" s="7">
        <v>2</v>
      </c>
      <c r="F912" s="7">
        <v>1</v>
      </c>
      <c r="G912" s="7">
        <v>0</v>
      </c>
      <c r="H912" s="7">
        <v>0</v>
      </c>
      <c r="I912" s="7">
        <v>0</v>
      </c>
      <c r="J912" s="7">
        <v>1</v>
      </c>
      <c r="K912" s="7">
        <v>125</v>
      </c>
    </row>
    <row r="913" spans="1:11" x14ac:dyDescent="0.25">
      <c r="A913" s="7" t="s">
        <v>1907</v>
      </c>
      <c r="B913" s="7">
        <v>0</v>
      </c>
      <c r="C913" s="7">
        <v>138</v>
      </c>
      <c r="D913" s="7">
        <v>1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2</v>
      </c>
      <c r="K913" s="7">
        <v>141</v>
      </c>
    </row>
    <row r="914" spans="1:11" x14ac:dyDescent="0.25">
      <c r="A914" s="7" t="s">
        <v>1908</v>
      </c>
      <c r="B914" s="7">
        <v>0</v>
      </c>
      <c r="C914" s="7">
        <v>114</v>
      </c>
      <c r="D914" s="7">
        <v>3</v>
      </c>
      <c r="E914" s="7">
        <v>11</v>
      </c>
      <c r="F914" s="7">
        <v>1</v>
      </c>
      <c r="G914" s="7">
        <v>0</v>
      </c>
      <c r="H914" s="7">
        <v>0</v>
      </c>
      <c r="I914" s="7">
        <v>0</v>
      </c>
      <c r="J914" s="7">
        <v>0</v>
      </c>
      <c r="K914" s="7">
        <v>129</v>
      </c>
    </row>
    <row r="915" spans="1:11" x14ac:dyDescent="0.25">
      <c r="A915" s="7" t="s">
        <v>1909</v>
      </c>
      <c r="B915" s="7">
        <v>0</v>
      </c>
      <c r="C915" s="7">
        <v>96</v>
      </c>
      <c r="D915" s="7">
        <v>2</v>
      </c>
      <c r="E915" s="7">
        <v>3</v>
      </c>
      <c r="F915" s="7">
        <v>1</v>
      </c>
      <c r="G915" s="7">
        <v>1</v>
      </c>
      <c r="H915" s="7">
        <v>0</v>
      </c>
      <c r="I915" s="7">
        <v>0</v>
      </c>
      <c r="J915" s="7">
        <v>0</v>
      </c>
      <c r="K915" s="7">
        <v>103</v>
      </c>
    </row>
    <row r="916" spans="1:11" x14ac:dyDescent="0.25">
      <c r="A916" s="7" t="s">
        <v>1910</v>
      </c>
      <c r="B916" s="7">
        <v>0</v>
      </c>
      <c r="C916" s="7">
        <v>52</v>
      </c>
      <c r="D916" s="7">
        <v>8</v>
      </c>
      <c r="E916" s="7">
        <v>7</v>
      </c>
      <c r="F916" s="7">
        <v>0</v>
      </c>
      <c r="G916" s="7">
        <v>0</v>
      </c>
      <c r="H916" s="7">
        <v>0</v>
      </c>
      <c r="I916" s="7">
        <v>0</v>
      </c>
      <c r="J916" s="7">
        <v>0</v>
      </c>
      <c r="K916" s="7">
        <v>67</v>
      </c>
    </row>
    <row r="917" spans="1:11" x14ac:dyDescent="0.25">
      <c r="A917" s="7" t="s">
        <v>1911</v>
      </c>
      <c r="B917" s="7">
        <v>0</v>
      </c>
      <c r="C917" s="7">
        <v>91</v>
      </c>
      <c r="D917" s="7">
        <v>4</v>
      </c>
      <c r="E917" s="7">
        <v>9</v>
      </c>
      <c r="F917" s="7">
        <v>1</v>
      </c>
      <c r="G917" s="7">
        <v>0</v>
      </c>
      <c r="H917" s="7">
        <v>0</v>
      </c>
      <c r="I917" s="7">
        <v>0</v>
      </c>
      <c r="J917" s="7">
        <v>2</v>
      </c>
      <c r="K917" s="7">
        <v>107</v>
      </c>
    </row>
    <row r="918" spans="1:11" x14ac:dyDescent="0.25">
      <c r="A918" s="7" t="s">
        <v>1912</v>
      </c>
      <c r="B918" s="7">
        <v>0</v>
      </c>
      <c r="C918" s="7">
        <v>0</v>
      </c>
      <c r="D918" s="7">
        <v>1</v>
      </c>
      <c r="E918" s="7">
        <v>91</v>
      </c>
      <c r="F918" s="7">
        <v>0</v>
      </c>
      <c r="G918" s="7">
        <v>0</v>
      </c>
      <c r="H918" s="7">
        <v>0</v>
      </c>
      <c r="I918" s="7">
        <v>0</v>
      </c>
      <c r="J918" s="7">
        <v>2</v>
      </c>
      <c r="K918" s="7">
        <v>94</v>
      </c>
    </row>
    <row r="919" spans="1:11" x14ac:dyDescent="0.25">
      <c r="A919" s="7" t="s">
        <v>1913</v>
      </c>
      <c r="B919" s="7">
        <v>0</v>
      </c>
      <c r="C919" s="7">
        <v>79</v>
      </c>
      <c r="D919" s="7">
        <v>16</v>
      </c>
      <c r="E919" s="7">
        <v>29</v>
      </c>
      <c r="F919" s="7">
        <v>0</v>
      </c>
      <c r="G919" s="7">
        <v>0</v>
      </c>
      <c r="H919" s="7">
        <v>0</v>
      </c>
      <c r="I919" s="7">
        <v>1</v>
      </c>
      <c r="J919" s="7">
        <v>0</v>
      </c>
      <c r="K919" s="7">
        <v>125</v>
      </c>
    </row>
    <row r="920" spans="1:11" x14ac:dyDescent="0.25">
      <c r="A920" s="7" t="s">
        <v>1914</v>
      </c>
      <c r="B920" s="7">
        <v>0</v>
      </c>
      <c r="C920" s="7">
        <v>89</v>
      </c>
      <c r="D920" s="7">
        <v>1</v>
      </c>
      <c r="E920" s="7">
        <v>0</v>
      </c>
      <c r="F920" s="7">
        <v>1</v>
      </c>
      <c r="G920" s="7">
        <v>1</v>
      </c>
      <c r="H920" s="7">
        <v>0</v>
      </c>
      <c r="I920" s="7">
        <v>0</v>
      </c>
      <c r="J920" s="7">
        <v>0</v>
      </c>
      <c r="K920" s="7">
        <v>92</v>
      </c>
    </row>
    <row r="921" spans="1:11" x14ac:dyDescent="0.25">
      <c r="A921" s="7" t="s">
        <v>1915</v>
      </c>
      <c r="B921" s="7">
        <v>0</v>
      </c>
      <c r="C921" s="7">
        <v>85</v>
      </c>
      <c r="D921" s="7">
        <v>5</v>
      </c>
      <c r="E921" s="7">
        <v>46</v>
      </c>
      <c r="F921" s="7">
        <v>0</v>
      </c>
      <c r="G921" s="7">
        <v>0</v>
      </c>
      <c r="H921" s="7">
        <v>0</v>
      </c>
      <c r="I921" s="7">
        <v>0</v>
      </c>
      <c r="J921" s="7">
        <v>3</v>
      </c>
      <c r="K921" s="7">
        <v>139</v>
      </c>
    </row>
    <row r="922" spans="1:11" x14ac:dyDescent="0.25">
      <c r="A922" s="7" t="s">
        <v>1916</v>
      </c>
      <c r="B922" s="7">
        <v>0</v>
      </c>
      <c r="C922" s="7">
        <v>77</v>
      </c>
      <c r="D922" s="7">
        <v>1</v>
      </c>
      <c r="E922" s="7">
        <v>18</v>
      </c>
      <c r="F922" s="7">
        <v>0</v>
      </c>
      <c r="G922" s="7">
        <v>1</v>
      </c>
      <c r="H922" s="7">
        <v>0</v>
      </c>
      <c r="I922" s="7">
        <v>0</v>
      </c>
      <c r="J922" s="7">
        <v>3</v>
      </c>
      <c r="K922" s="7">
        <v>100</v>
      </c>
    </row>
    <row r="923" spans="1:11" x14ac:dyDescent="0.25">
      <c r="A923" s="7" t="s">
        <v>1917</v>
      </c>
      <c r="B923" s="7">
        <v>0</v>
      </c>
      <c r="C923" s="7">
        <v>93</v>
      </c>
      <c r="D923" s="7">
        <v>2</v>
      </c>
      <c r="E923" s="7">
        <v>58</v>
      </c>
      <c r="F923" s="7">
        <v>0</v>
      </c>
      <c r="G923" s="7">
        <v>0</v>
      </c>
      <c r="H923" s="7">
        <v>0</v>
      </c>
      <c r="I923" s="7">
        <v>0</v>
      </c>
      <c r="J923" s="7">
        <v>7</v>
      </c>
      <c r="K923" s="7">
        <v>160</v>
      </c>
    </row>
    <row r="924" spans="1:11" x14ac:dyDescent="0.25">
      <c r="A924" s="7" t="s">
        <v>1918</v>
      </c>
      <c r="B924" s="7">
        <v>0</v>
      </c>
      <c r="C924" s="7">
        <v>159</v>
      </c>
      <c r="D924" s="7">
        <v>3</v>
      </c>
      <c r="E924" s="7">
        <v>1</v>
      </c>
      <c r="F924" s="7">
        <v>3</v>
      </c>
      <c r="G924" s="7">
        <v>1</v>
      </c>
      <c r="H924" s="7">
        <v>0</v>
      </c>
      <c r="I924" s="7">
        <v>0</v>
      </c>
      <c r="J924" s="7">
        <v>0</v>
      </c>
      <c r="K924" s="7">
        <v>167</v>
      </c>
    </row>
    <row r="925" spans="1:11" x14ac:dyDescent="0.25">
      <c r="A925" s="7" t="s">
        <v>1919</v>
      </c>
      <c r="B925" s="7">
        <v>0</v>
      </c>
      <c r="C925" s="7">
        <v>90</v>
      </c>
      <c r="D925" s="7">
        <v>1</v>
      </c>
      <c r="E925" s="7">
        <v>0</v>
      </c>
      <c r="F925" s="7">
        <v>0</v>
      </c>
      <c r="G925" s="7">
        <v>1</v>
      </c>
      <c r="H925" s="7">
        <v>0</v>
      </c>
      <c r="I925" s="7">
        <v>0</v>
      </c>
      <c r="J925" s="7">
        <v>2</v>
      </c>
      <c r="K925" s="7">
        <v>94</v>
      </c>
    </row>
    <row r="926" spans="1:11" x14ac:dyDescent="0.25">
      <c r="A926" s="7" t="s">
        <v>1920</v>
      </c>
      <c r="B926" s="7">
        <v>0</v>
      </c>
      <c r="C926" s="7">
        <v>97</v>
      </c>
      <c r="D926" s="7">
        <v>9</v>
      </c>
      <c r="E926" s="7">
        <v>14</v>
      </c>
      <c r="F926" s="7">
        <v>0</v>
      </c>
      <c r="G926" s="7">
        <v>0</v>
      </c>
      <c r="H926" s="7">
        <v>0</v>
      </c>
      <c r="I926" s="7">
        <v>4</v>
      </c>
      <c r="J926" s="7">
        <v>5</v>
      </c>
      <c r="K926" s="7">
        <v>129</v>
      </c>
    </row>
    <row r="927" spans="1:11" x14ac:dyDescent="0.25">
      <c r="A927" s="7" t="s">
        <v>1921</v>
      </c>
      <c r="B927" s="7">
        <v>0</v>
      </c>
      <c r="C927" s="7">
        <v>43</v>
      </c>
      <c r="D927" s="7">
        <v>60</v>
      </c>
      <c r="E927" s="7">
        <v>6</v>
      </c>
      <c r="F927" s="7">
        <v>0</v>
      </c>
      <c r="G927" s="7">
        <v>0</v>
      </c>
      <c r="H927" s="7">
        <v>0</v>
      </c>
      <c r="I927" s="7">
        <v>38</v>
      </c>
      <c r="J927" s="7">
        <v>0</v>
      </c>
      <c r="K927" s="7">
        <v>147</v>
      </c>
    </row>
    <row r="928" spans="1:11" x14ac:dyDescent="0.25">
      <c r="A928" s="7" t="s">
        <v>1922</v>
      </c>
      <c r="B928" s="7">
        <v>0</v>
      </c>
      <c r="C928" s="7">
        <v>48</v>
      </c>
      <c r="D928" s="7">
        <v>3</v>
      </c>
      <c r="E928" s="7">
        <v>10</v>
      </c>
      <c r="F928" s="7">
        <v>0</v>
      </c>
      <c r="G928" s="7">
        <v>0</v>
      </c>
      <c r="H928" s="7">
        <v>0</v>
      </c>
      <c r="I928" s="7">
        <v>24</v>
      </c>
      <c r="J928" s="7">
        <v>0</v>
      </c>
      <c r="K928" s="7">
        <v>85</v>
      </c>
    </row>
    <row r="929" spans="1:11" x14ac:dyDescent="0.25">
      <c r="A929" s="7" t="s">
        <v>1923</v>
      </c>
      <c r="B929" s="7">
        <v>0</v>
      </c>
      <c r="C929" s="7">
        <v>69</v>
      </c>
      <c r="D929" s="7">
        <v>2</v>
      </c>
      <c r="E929" s="7">
        <v>20</v>
      </c>
      <c r="F929" s="7">
        <v>0</v>
      </c>
      <c r="G929" s="7">
        <v>0</v>
      </c>
      <c r="H929" s="7">
        <v>0</v>
      </c>
      <c r="I929" s="7">
        <v>17</v>
      </c>
      <c r="J929" s="7">
        <v>2</v>
      </c>
      <c r="K929" s="7">
        <v>110</v>
      </c>
    </row>
    <row r="930" spans="1:11" x14ac:dyDescent="0.25">
      <c r="A930" s="7" t="s">
        <v>1924</v>
      </c>
      <c r="B930" s="7">
        <v>0</v>
      </c>
      <c r="C930" s="7">
        <v>86</v>
      </c>
      <c r="D930" s="7">
        <v>1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87</v>
      </c>
    </row>
    <row r="931" spans="1:11" x14ac:dyDescent="0.25">
      <c r="A931" s="7" t="s">
        <v>1925</v>
      </c>
      <c r="B931" s="7">
        <v>0</v>
      </c>
      <c r="C931" s="7">
        <v>42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53</v>
      </c>
      <c r="J931" s="7">
        <v>0</v>
      </c>
      <c r="K931" s="7">
        <v>96</v>
      </c>
    </row>
    <row r="932" spans="1:11" x14ac:dyDescent="0.25">
      <c r="A932" s="7" t="s">
        <v>1926</v>
      </c>
      <c r="B932" s="7">
        <v>0</v>
      </c>
      <c r="C932" s="7">
        <v>144</v>
      </c>
      <c r="D932" s="7">
        <v>3</v>
      </c>
      <c r="E932" s="7">
        <v>0</v>
      </c>
      <c r="F932" s="7">
        <v>0</v>
      </c>
      <c r="G932" s="7">
        <v>35</v>
      </c>
      <c r="H932" s="7">
        <v>0</v>
      </c>
      <c r="I932" s="7">
        <v>2</v>
      </c>
      <c r="J932" s="7">
        <v>0</v>
      </c>
      <c r="K932" s="7">
        <v>184</v>
      </c>
    </row>
    <row r="933" spans="1:11" x14ac:dyDescent="0.25">
      <c r="A933" s="7" t="s">
        <v>1927</v>
      </c>
      <c r="B933" s="7">
        <v>0</v>
      </c>
      <c r="C933" s="7">
        <v>80</v>
      </c>
      <c r="D933" s="7">
        <v>2</v>
      </c>
      <c r="E933" s="7">
        <v>5</v>
      </c>
      <c r="F933" s="7">
        <v>0</v>
      </c>
      <c r="G933" s="7">
        <v>1</v>
      </c>
      <c r="H933" s="7">
        <v>0</v>
      </c>
      <c r="I933" s="7">
        <v>1</v>
      </c>
      <c r="J933" s="7">
        <v>1</v>
      </c>
      <c r="K933" s="7">
        <v>90</v>
      </c>
    </row>
    <row r="934" spans="1:11" x14ac:dyDescent="0.25">
      <c r="A934" s="7" t="s">
        <v>1928</v>
      </c>
      <c r="B934" s="7">
        <v>0</v>
      </c>
      <c r="C934" s="7">
        <v>66</v>
      </c>
      <c r="D934" s="7">
        <v>1</v>
      </c>
      <c r="E934" s="7">
        <v>0</v>
      </c>
      <c r="F934" s="7">
        <v>0</v>
      </c>
      <c r="G934" s="7">
        <v>0</v>
      </c>
      <c r="H934" s="7">
        <v>0</v>
      </c>
      <c r="I934" s="7">
        <v>9</v>
      </c>
      <c r="J934" s="7">
        <v>1</v>
      </c>
      <c r="K934" s="7">
        <v>77</v>
      </c>
    </row>
    <row r="935" spans="1:11" x14ac:dyDescent="0.25">
      <c r="A935" s="7" t="s">
        <v>1929</v>
      </c>
      <c r="B935" s="7">
        <v>0</v>
      </c>
      <c r="C935" s="7">
        <v>81</v>
      </c>
      <c r="D935" s="7">
        <v>1</v>
      </c>
      <c r="E935" s="7">
        <v>0</v>
      </c>
      <c r="F935" s="7">
        <v>0</v>
      </c>
      <c r="G935" s="7">
        <v>13</v>
      </c>
      <c r="H935" s="7">
        <v>0</v>
      </c>
      <c r="I935" s="7">
        <v>3</v>
      </c>
      <c r="J935" s="7">
        <v>1</v>
      </c>
      <c r="K935" s="7">
        <v>99</v>
      </c>
    </row>
    <row r="936" spans="1:11" x14ac:dyDescent="0.25">
      <c r="A936" s="7" t="s">
        <v>1930</v>
      </c>
      <c r="B936" s="7">
        <v>0</v>
      </c>
      <c r="C936" s="7">
        <v>108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6</v>
      </c>
      <c r="J936" s="7">
        <v>0</v>
      </c>
      <c r="K936" s="7">
        <v>114</v>
      </c>
    </row>
    <row r="937" spans="1:11" x14ac:dyDescent="0.25">
      <c r="A937" s="7" t="s">
        <v>1931</v>
      </c>
      <c r="B937" s="7">
        <v>0</v>
      </c>
      <c r="C937" s="7">
        <v>94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2</v>
      </c>
      <c r="K937" s="7">
        <v>96</v>
      </c>
    </row>
    <row r="938" spans="1:11" x14ac:dyDescent="0.25">
      <c r="A938" s="7" t="s">
        <v>1932</v>
      </c>
      <c r="B938" s="7">
        <v>0</v>
      </c>
      <c r="C938" s="7">
        <v>34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34</v>
      </c>
    </row>
    <row r="939" spans="1:11" x14ac:dyDescent="0.25">
      <c r="A939" s="7" t="s">
        <v>1933</v>
      </c>
      <c r="B939" s="7">
        <v>0</v>
      </c>
      <c r="C939" s="7">
        <v>49</v>
      </c>
      <c r="D939" s="7">
        <v>1</v>
      </c>
      <c r="E939" s="7">
        <v>0</v>
      </c>
      <c r="F939" s="7">
        <v>1</v>
      </c>
      <c r="G939" s="7">
        <v>0</v>
      </c>
      <c r="H939" s="7">
        <v>0</v>
      </c>
      <c r="I939" s="7">
        <v>0</v>
      </c>
      <c r="J939" s="7">
        <v>1</v>
      </c>
      <c r="K939" s="7">
        <v>52</v>
      </c>
    </row>
    <row r="940" spans="1:11" x14ac:dyDescent="0.25">
      <c r="A940" s="7" t="s">
        <v>1934</v>
      </c>
      <c r="B940" s="7">
        <v>0</v>
      </c>
      <c r="C940" s="7">
        <v>41</v>
      </c>
      <c r="D940" s="7">
        <v>1</v>
      </c>
      <c r="E940" s="7">
        <v>0</v>
      </c>
      <c r="F940" s="7">
        <v>0</v>
      </c>
      <c r="G940" s="7">
        <v>2</v>
      </c>
      <c r="H940" s="7">
        <v>0</v>
      </c>
      <c r="I940" s="7">
        <v>0</v>
      </c>
      <c r="J940" s="7">
        <v>2</v>
      </c>
      <c r="K940" s="7">
        <v>46</v>
      </c>
    </row>
    <row r="941" spans="1:11" x14ac:dyDescent="0.25">
      <c r="A941" s="7" t="s">
        <v>1935</v>
      </c>
      <c r="B941" s="7">
        <v>0</v>
      </c>
      <c r="C941" s="7">
        <v>25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0</v>
      </c>
      <c r="J941" s="7">
        <v>0</v>
      </c>
      <c r="K941" s="7">
        <v>26</v>
      </c>
    </row>
    <row r="942" spans="1:11" x14ac:dyDescent="0.25">
      <c r="A942" s="7" t="s">
        <v>1936</v>
      </c>
      <c r="B942" s="7">
        <v>0</v>
      </c>
      <c r="C942" s="7">
        <v>56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57</v>
      </c>
    </row>
    <row r="943" spans="1:11" x14ac:dyDescent="0.25">
      <c r="A943" s="7" t="s">
        <v>1937</v>
      </c>
      <c r="B943" s="7">
        <v>0</v>
      </c>
      <c r="C943" s="7">
        <v>87</v>
      </c>
      <c r="D943" s="7">
        <v>4</v>
      </c>
      <c r="E943" s="7">
        <v>2</v>
      </c>
      <c r="F943" s="7">
        <v>0</v>
      </c>
      <c r="G943" s="7">
        <v>0</v>
      </c>
      <c r="H943" s="7">
        <v>0</v>
      </c>
      <c r="I943" s="7">
        <v>0</v>
      </c>
      <c r="J943" s="7">
        <v>0</v>
      </c>
      <c r="K943" s="7">
        <v>93</v>
      </c>
    </row>
    <row r="944" spans="1:11" x14ac:dyDescent="0.25">
      <c r="A944" s="7" t="s">
        <v>1938</v>
      </c>
      <c r="B944" s="7">
        <v>0</v>
      </c>
      <c r="C944" s="7">
        <v>24</v>
      </c>
      <c r="D944" s="7">
        <v>24</v>
      </c>
      <c r="E944" s="7">
        <v>31</v>
      </c>
      <c r="F944" s="7">
        <v>0</v>
      </c>
      <c r="G944" s="7">
        <v>0</v>
      </c>
      <c r="H944" s="7">
        <v>0</v>
      </c>
      <c r="I944" s="7">
        <v>24</v>
      </c>
      <c r="J944" s="7">
        <v>0</v>
      </c>
      <c r="K944" s="7">
        <v>103</v>
      </c>
    </row>
    <row r="945" spans="1:11" x14ac:dyDescent="0.25">
      <c r="A945" s="7" t="s">
        <v>1939</v>
      </c>
      <c r="B945" s="7">
        <v>0</v>
      </c>
      <c r="C945" s="7">
        <v>11</v>
      </c>
      <c r="D945" s="7">
        <v>16</v>
      </c>
      <c r="E945" s="7">
        <v>9</v>
      </c>
      <c r="F945" s="7">
        <v>0</v>
      </c>
      <c r="G945" s="7">
        <v>0</v>
      </c>
      <c r="H945" s="7">
        <v>0</v>
      </c>
      <c r="I945" s="7">
        <v>38</v>
      </c>
      <c r="J945" s="7">
        <v>1</v>
      </c>
      <c r="K945" s="7">
        <v>75</v>
      </c>
    </row>
    <row r="946" spans="1:11" x14ac:dyDescent="0.25">
      <c r="A946" s="7" t="s">
        <v>1940</v>
      </c>
      <c r="B946" s="7">
        <v>0</v>
      </c>
      <c r="C946" s="7">
        <v>105</v>
      </c>
      <c r="D946" s="7">
        <v>9</v>
      </c>
      <c r="E946" s="7">
        <v>0</v>
      </c>
      <c r="F946" s="7">
        <v>0</v>
      </c>
      <c r="G946" s="7">
        <v>1</v>
      </c>
      <c r="H946" s="7">
        <v>0</v>
      </c>
      <c r="I946" s="7">
        <v>0</v>
      </c>
      <c r="J946" s="7">
        <v>1</v>
      </c>
      <c r="K946" s="7">
        <v>116</v>
      </c>
    </row>
    <row r="947" spans="1:11" x14ac:dyDescent="0.25">
      <c r="A947" s="7" t="s">
        <v>1941</v>
      </c>
      <c r="B947" s="7">
        <v>0</v>
      </c>
      <c r="C947" s="7">
        <v>46</v>
      </c>
      <c r="D947" s="7">
        <v>26</v>
      </c>
      <c r="E947" s="7">
        <v>12</v>
      </c>
      <c r="F947" s="7">
        <v>0</v>
      </c>
      <c r="G947" s="7">
        <v>0</v>
      </c>
      <c r="H947" s="7">
        <v>0</v>
      </c>
      <c r="I947" s="7">
        <v>0</v>
      </c>
      <c r="J947" s="7">
        <v>0</v>
      </c>
      <c r="K947" s="7">
        <v>84</v>
      </c>
    </row>
    <row r="948" spans="1:11" x14ac:dyDescent="0.25">
      <c r="A948" s="7" t="s">
        <v>1942</v>
      </c>
      <c r="B948" s="7">
        <v>0</v>
      </c>
      <c r="C948" s="7">
        <v>88</v>
      </c>
      <c r="D948" s="7">
        <v>2</v>
      </c>
      <c r="E948" s="7">
        <v>0</v>
      </c>
      <c r="F948" s="7">
        <v>0</v>
      </c>
      <c r="G948" s="7">
        <v>0</v>
      </c>
      <c r="H948" s="7">
        <v>0</v>
      </c>
      <c r="I948" s="7">
        <v>2</v>
      </c>
      <c r="J948" s="7">
        <v>0</v>
      </c>
      <c r="K948" s="7">
        <v>92</v>
      </c>
    </row>
    <row r="949" spans="1:11" x14ac:dyDescent="0.25">
      <c r="A949" s="7" t="s">
        <v>1943</v>
      </c>
      <c r="B949" s="7">
        <v>0</v>
      </c>
      <c r="C949" s="7">
        <v>29</v>
      </c>
      <c r="D949" s="7">
        <v>0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30</v>
      </c>
    </row>
    <row r="950" spans="1:11" x14ac:dyDescent="0.25">
      <c r="A950" s="7" t="s">
        <v>1944</v>
      </c>
      <c r="B950" s="7">
        <v>0</v>
      </c>
      <c r="C950" s="7">
        <v>19</v>
      </c>
      <c r="D950" s="7">
        <v>1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21</v>
      </c>
    </row>
    <row r="951" spans="1:11" x14ac:dyDescent="0.25">
      <c r="A951" s="7" t="s">
        <v>1945</v>
      </c>
      <c r="B951" s="7">
        <v>0</v>
      </c>
      <c r="C951" s="7">
        <v>14</v>
      </c>
      <c r="D951" s="7">
        <v>44</v>
      </c>
      <c r="E951" s="7">
        <v>0</v>
      </c>
      <c r="F951" s="7">
        <v>0</v>
      </c>
      <c r="G951" s="7">
        <v>0</v>
      </c>
      <c r="H951" s="7">
        <v>0</v>
      </c>
      <c r="I951" s="7">
        <v>0</v>
      </c>
      <c r="J951" s="7">
        <v>9</v>
      </c>
      <c r="K951" s="7">
        <v>67</v>
      </c>
    </row>
    <row r="952" spans="1:11" x14ac:dyDescent="0.25">
      <c r="A952" s="7" t="s">
        <v>1946</v>
      </c>
      <c r="B952" s="7">
        <v>0</v>
      </c>
      <c r="C952" s="7">
        <v>51</v>
      </c>
      <c r="D952" s="7">
        <v>12</v>
      </c>
      <c r="E952" s="7">
        <v>6</v>
      </c>
      <c r="F952" s="7">
        <v>0</v>
      </c>
      <c r="G952" s="7">
        <v>0</v>
      </c>
      <c r="H952" s="7">
        <v>0</v>
      </c>
      <c r="I952" s="7">
        <v>0</v>
      </c>
      <c r="J952" s="7">
        <v>13</v>
      </c>
      <c r="K952" s="7">
        <v>82</v>
      </c>
    </row>
    <row r="953" spans="1:11" x14ac:dyDescent="0.25">
      <c r="A953" s="7" t="s">
        <v>1947</v>
      </c>
      <c r="B953" s="7">
        <v>0</v>
      </c>
      <c r="C953" s="7">
        <v>25</v>
      </c>
      <c r="D953" s="7">
        <v>9</v>
      </c>
      <c r="E953" s="7">
        <v>5</v>
      </c>
      <c r="F953" s="7">
        <v>0</v>
      </c>
      <c r="G953" s="7">
        <v>0</v>
      </c>
      <c r="H953" s="7">
        <v>0</v>
      </c>
      <c r="I953" s="7">
        <v>0</v>
      </c>
      <c r="J953" s="7">
        <v>5</v>
      </c>
      <c r="K953" s="7">
        <v>44</v>
      </c>
    </row>
    <row r="954" spans="1:11" x14ac:dyDescent="0.25">
      <c r="A954" s="7" t="s">
        <v>1948</v>
      </c>
      <c r="B954" s="7">
        <v>0</v>
      </c>
      <c r="C954" s="7">
        <v>45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45</v>
      </c>
    </row>
    <row r="955" spans="1:11" x14ac:dyDescent="0.25">
      <c r="A955" s="7" t="s">
        <v>1949</v>
      </c>
      <c r="B955" s="7">
        <v>0</v>
      </c>
      <c r="C955" s="7">
        <v>59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59</v>
      </c>
    </row>
    <row r="956" spans="1:11" x14ac:dyDescent="0.25">
      <c r="A956" s="7" t="s">
        <v>1950</v>
      </c>
      <c r="B956" s="7">
        <v>0</v>
      </c>
      <c r="C956" s="7">
        <v>72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72</v>
      </c>
    </row>
    <row r="957" spans="1:11" x14ac:dyDescent="0.25">
      <c r="A957" s="7" t="s">
        <v>1951</v>
      </c>
      <c r="B957" s="7">
        <v>0</v>
      </c>
      <c r="C957" s="7">
        <v>61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1</v>
      </c>
      <c r="J957" s="7">
        <v>0</v>
      </c>
      <c r="K957" s="7">
        <v>62</v>
      </c>
    </row>
    <row r="958" spans="1:11" x14ac:dyDescent="0.25">
      <c r="A958" s="7" t="s">
        <v>1952</v>
      </c>
      <c r="B958" s="7">
        <v>0</v>
      </c>
      <c r="C958" s="7">
        <v>51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1</v>
      </c>
      <c r="J958" s="7">
        <v>0</v>
      </c>
      <c r="K958" s="7">
        <v>52</v>
      </c>
    </row>
    <row r="959" spans="1:11" x14ac:dyDescent="0.25">
      <c r="A959" s="7" t="s">
        <v>1953</v>
      </c>
      <c r="B959" s="7">
        <v>0</v>
      </c>
      <c r="C959" s="7">
        <v>77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1</v>
      </c>
      <c r="J959" s="7">
        <v>0</v>
      </c>
      <c r="K959" s="7">
        <v>78</v>
      </c>
    </row>
    <row r="960" spans="1:11" x14ac:dyDescent="0.25">
      <c r="A960" s="7" t="s">
        <v>1954</v>
      </c>
      <c r="B960" s="7">
        <v>0</v>
      </c>
      <c r="C960" s="7">
        <v>98</v>
      </c>
      <c r="D960" s="7">
        <v>0</v>
      </c>
      <c r="E960" s="7">
        <v>0</v>
      </c>
      <c r="F960" s="7">
        <v>0</v>
      </c>
      <c r="G960" s="7">
        <v>1</v>
      </c>
      <c r="H960" s="7">
        <v>0</v>
      </c>
      <c r="I960" s="7">
        <v>0</v>
      </c>
      <c r="J960" s="7">
        <v>0</v>
      </c>
      <c r="K960" s="7">
        <v>99</v>
      </c>
    </row>
    <row r="961" spans="1:11" x14ac:dyDescent="0.25">
      <c r="A961" s="7" t="s">
        <v>1955</v>
      </c>
      <c r="B961" s="7">
        <v>0</v>
      </c>
      <c r="C961" s="7">
        <v>148</v>
      </c>
      <c r="D961" s="7">
        <v>0</v>
      </c>
      <c r="E961" s="7">
        <v>0</v>
      </c>
      <c r="F961" s="7">
        <v>0</v>
      </c>
      <c r="G961" s="7">
        <v>0</v>
      </c>
      <c r="H961" s="7">
        <v>0</v>
      </c>
      <c r="I961" s="7">
        <v>1</v>
      </c>
      <c r="J961" s="7">
        <v>0</v>
      </c>
      <c r="K961" s="7">
        <v>149</v>
      </c>
    </row>
    <row r="962" spans="1:11" x14ac:dyDescent="0.25">
      <c r="A962" s="7" t="s">
        <v>1956</v>
      </c>
      <c r="B962" s="7">
        <v>0</v>
      </c>
      <c r="C962" s="7">
        <v>80</v>
      </c>
      <c r="D962" s="7">
        <v>1</v>
      </c>
      <c r="E962" s="7">
        <v>27</v>
      </c>
      <c r="F962" s="7">
        <v>0</v>
      </c>
      <c r="G962" s="7">
        <v>0</v>
      </c>
      <c r="H962" s="7">
        <v>0</v>
      </c>
      <c r="I962" s="7">
        <v>0</v>
      </c>
      <c r="J962" s="7">
        <v>2</v>
      </c>
      <c r="K962" s="7">
        <v>110</v>
      </c>
    </row>
    <row r="963" spans="1:11" x14ac:dyDescent="0.25">
      <c r="A963" s="7" t="s">
        <v>1957</v>
      </c>
      <c r="B963" s="7">
        <v>0</v>
      </c>
      <c r="C963" s="7">
        <v>172</v>
      </c>
      <c r="D963" s="7">
        <v>0</v>
      </c>
      <c r="E963" s="7">
        <v>0</v>
      </c>
      <c r="F963" s="7">
        <v>2</v>
      </c>
      <c r="G963" s="7">
        <v>0</v>
      </c>
      <c r="H963" s="7">
        <v>0</v>
      </c>
      <c r="I963" s="7">
        <v>0</v>
      </c>
      <c r="J963" s="7">
        <v>0</v>
      </c>
      <c r="K963" s="7">
        <v>174</v>
      </c>
    </row>
    <row r="964" spans="1:11" x14ac:dyDescent="0.25">
      <c r="A964" s="7" t="s">
        <v>1958</v>
      </c>
      <c r="B964" s="7">
        <v>0</v>
      </c>
      <c r="C964" s="7">
        <v>60</v>
      </c>
      <c r="D964" s="7">
        <v>0</v>
      </c>
      <c r="E964" s="7">
        <v>14</v>
      </c>
      <c r="F964" s="7">
        <v>0</v>
      </c>
      <c r="G964" s="7">
        <v>0</v>
      </c>
      <c r="H964" s="7">
        <v>0</v>
      </c>
      <c r="I964" s="7">
        <v>2</v>
      </c>
      <c r="J964" s="7">
        <v>0</v>
      </c>
      <c r="K964" s="7">
        <v>76</v>
      </c>
    </row>
    <row r="965" spans="1:11" x14ac:dyDescent="0.25">
      <c r="A965" s="7" t="s">
        <v>1959</v>
      </c>
      <c r="B965" s="7">
        <v>0</v>
      </c>
      <c r="C965" s="7">
        <v>158</v>
      </c>
      <c r="D965" s="7">
        <v>8</v>
      </c>
      <c r="E965" s="7">
        <v>17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183</v>
      </c>
    </row>
    <row r="966" spans="1:11" x14ac:dyDescent="0.25">
      <c r="A966" s="7" t="s">
        <v>1960</v>
      </c>
      <c r="B966" s="7">
        <v>0</v>
      </c>
      <c r="C966" s="7">
        <v>189</v>
      </c>
      <c r="D966" s="7">
        <v>4</v>
      </c>
      <c r="E966" s="7">
        <v>1</v>
      </c>
      <c r="F966" s="7">
        <v>0</v>
      </c>
      <c r="G966" s="7">
        <v>4</v>
      </c>
      <c r="H966" s="7">
        <v>0</v>
      </c>
      <c r="I966" s="7">
        <v>0</v>
      </c>
      <c r="J966" s="7">
        <v>0</v>
      </c>
      <c r="K966" s="7">
        <v>198</v>
      </c>
    </row>
    <row r="967" spans="1:11" x14ac:dyDescent="0.25">
      <c r="A967" s="7" t="s">
        <v>1961</v>
      </c>
      <c r="B967" s="7">
        <v>0</v>
      </c>
      <c r="C967" s="7">
        <v>97</v>
      </c>
      <c r="D967" s="7">
        <v>0</v>
      </c>
      <c r="E967" s="7">
        <v>0</v>
      </c>
      <c r="F967" s="7">
        <v>0</v>
      </c>
      <c r="G967" s="7">
        <v>0</v>
      </c>
      <c r="H967" s="7">
        <v>1</v>
      </c>
      <c r="I967" s="7">
        <v>1</v>
      </c>
      <c r="J967" s="7">
        <v>0</v>
      </c>
      <c r="K967" s="7">
        <v>99</v>
      </c>
    </row>
    <row r="968" spans="1:11" x14ac:dyDescent="0.25">
      <c r="A968" s="7" t="s">
        <v>1962</v>
      </c>
      <c r="B968" s="7">
        <v>0</v>
      </c>
      <c r="C968" s="7">
        <v>84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84</v>
      </c>
    </row>
    <row r="969" spans="1:11" x14ac:dyDescent="0.25">
      <c r="A969" s="7" t="s">
        <v>1963</v>
      </c>
      <c r="B969" s="7">
        <v>0</v>
      </c>
      <c r="C969" s="7">
        <v>82</v>
      </c>
      <c r="D969" s="7">
        <v>1</v>
      </c>
      <c r="E969" s="7">
        <v>0</v>
      </c>
      <c r="F969" s="7">
        <v>0</v>
      </c>
      <c r="G969" s="7">
        <v>3</v>
      </c>
      <c r="H969" s="7">
        <v>0</v>
      </c>
      <c r="I969" s="7">
        <v>5</v>
      </c>
      <c r="J969" s="7">
        <v>0</v>
      </c>
      <c r="K969" s="7">
        <v>91</v>
      </c>
    </row>
    <row r="970" spans="1:11" x14ac:dyDescent="0.25">
      <c r="A970" s="7" t="s">
        <v>1964</v>
      </c>
      <c r="B970" s="7">
        <v>0</v>
      </c>
      <c r="C970" s="7">
        <v>51</v>
      </c>
      <c r="D970" s="7">
        <v>0</v>
      </c>
      <c r="E970" s="7">
        <v>29</v>
      </c>
      <c r="F970" s="7">
        <v>0</v>
      </c>
      <c r="G970" s="7">
        <v>0</v>
      </c>
      <c r="H970" s="7">
        <v>0</v>
      </c>
      <c r="I970" s="7">
        <v>58</v>
      </c>
      <c r="J970" s="7">
        <v>0</v>
      </c>
      <c r="K970" s="7">
        <v>138</v>
      </c>
    </row>
    <row r="971" spans="1:11" x14ac:dyDescent="0.25">
      <c r="A971" s="7" t="s">
        <v>1965</v>
      </c>
      <c r="B971" s="7">
        <v>0</v>
      </c>
      <c r="C971" s="7">
        <v>140</v>
      </c>
      <c r="D971" s="7">
        <v>0</v>
      </c>
      <c r="E971" s="7">
        <v>0</v>
      </c>
      <c r="F971" s="7">
        <v>0</v>
      </c>
      <c r="G971" s="7">
        <v>3</v>
      </c>
      <c r="H971" s="7">
        <v>0</v>
      </c>
      <c r="I971" s="7">
        <v>0</v>
      </c>
      <c r="J971" s="7">
        <v>0</v>
      </c>
      <c r="K971" s="7">
        <v>143</v>
      </c>
    </row>
    <row r="972" spans="1:11" x14ac:dyDescent="0.25">
      <c r="A972" s="7" t="s">
        <v>1966</v>
      </c>
      <c r="B972" s="7">
        <v>0</v>
      </c>
      <c r="C972" s="7">
        <v>179</v>
      </c>
      <c r="D972" s="7">
        <v>0</v>
      </c>
      <c r="E972" s="7">
        <v>0</v>
      </c>
      <c r="F972" s="7">
        <v>0</v>
      </c>
      <c r="G972" s="7">
        <v>2</v>
      </c>
      <c r="H972" s="7">
        <v>0</v>
      </c>
      <c r="I972" s="7">
        <v>0</v>
      </c>
      <c r="J972" s="7">
        <v>0</v>
      </c>
      <c r="K972" s="7">
        <v>181</v>
      </c>
    </row>
    <row r="973" spans="1:11" x14ac:dyDescent="0.25">
      <c r="A973" s="7" t="s">
        <v>1967</v>
      </c>
      <c r="B973" s="7">
        <v>0</v>
      </c>
      <c r="C973" s="7">
        <v>231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233</v>
      </c>
    </row>
    <row r="974" spans="1:11" x14ac:dyDescent="0.25">
      <c r="A974" s="7" t="s">
        <v>1968</v>
      </c>
      <c r="B974" s="7">
        <v>0</v>
      </c>
      <c r="C974" s="7">
        <v>29</v>
      </c>
      <c r="D974" s="7">
        <v>18</v>
      </c>
      <c r="E974" s="7">
        <v>59</v>
      </c>
      <c r="F974" s="7">
        <v>0</v>
      </c>
      <c r="G974" s="7">
        <v>0</v>
      </c>
      <c r="H974" s="7">
        <v>0</v>
      </c>
      <c r="I974" s="7">
        <v>49</v>
      </c>
      <c r="J974" s="7">
        <v>0</v>
      </c>
      <c r="K974" s="7">
        <v>155</v>
      </c>
    </row>
    <row r="975" spans="1:11" x14ac:dyDescent="0.25">
      <c r="A975" s="7" t="s">
        <v>1969</v>
      </c>
      <c r="B975" s="7">
        <v>0</v>
      </c>
      <c r="C975" s="7">
        <v>49</v>
      </c>
      <c r="D975" s="7">
        <v>0</v>
      </c>
      <c r="E975" s="7">
        <v>4</v>
      </c>
      <c r="F975" s="7">
        <v>0</v>
      </c>
      <c r="G975" s="7">
        <v>3</v>
      </c>
      <c r="H975" s="7">
        <v>0</v>
      </c>
      <c r="I975" s="7">
        <v>18</v>
      </c>
      <c r="J975" s="7">
        <v>0</v>
      </c>
      <c r="K975" s="7">
        <v>74</v>
      </c>
    </row>
    <row r="976" spans="1:11" x14ac:dyDescent="0.25">
      <c r="A976" s="7" t="s">
        <v>1970</v>
      </c>
      <c r="B976" s="7">
        <v>0</v>
      </c>
      <c r="C976" s="7">
        <v>105</v>
      </c>
      <c r="D976" s="7">
        <v>7</v>
      </c>
      <c r="E976" s="7">
        <v>6</v>
      </c>
      <c r="F976" s="7">
        <v>0</v>
      </c>
      <c r="G976" s="7">
        <v>0</v>
      </c>
      <c r="H976" s="7">
        <v>0</v>
      </c>
      <c r="I976" s="7">
        <v>0</v>
      </c>
      <c r="J976" s="7">
        <v>0</v>
      </c>
      <c r="K976" s="7">
        <v>118</v>
      </c>
    </row>
    <row r="977" spans="1:11" x14ac:dyDescent="0.25">
      <c r="A977" s="7" t="s">
        <v>1971</v>
      </c>
      <c r="B977" s="7">
        <v>0</v>
      </c>
      <c r="C977" s="7">
        <v>55</v>
      </c>
      <c r="D977" s="7">
        <v>114</v>
      </c>
      <c r="E977" s="7">
        <v>40</v>
      </c>
      <c r="F977" s="7">
        <v>0</v>
      </c>
      <c r="G977" s="7">
        <v>1</v>
      </c>
      <c r="H977" s="7">
        <v>0</v>
      </c>
      <c r="I977" s="7">
        <v>56</v>
      </c>
      <c r="J977" s="7">
        <v>1</v>
      </c>
      <c r="K977" s="7">
        <v>267</v>
      </c>
    </row>
    <row r="978" spans="1:11" x14ac:dyDescent="0.25">
      <c r="A978" s="7" t="s">
        <v>1972</v>
      </c>
      <c r="B978" s="7">
        <v>0</v>
      </c>
      <c r="C978" s="7">
        <v>261</v>
      </c>
      <c r="D978" s="7">
        <v>1</v>
      </c>
      <c r="E978" s="7">
        <v>0</v>
      </c>
      <c r="F978" s="7">
        <v>0</v>
      </c>
      <c r="G978" s="7">
        <v>1</v>
      </c>
      <c r="H978" s="7">
        <v>0</v>
      </c>
      <c r="I978" s="7">
        <v>2</v>
      </c>
      <c r="J978" s="7">
        <v>0</v>
      </c>
      <c r="K978" s="7">
        <v>265</v>
      </c>
    </row>
    <row r="979" spans="1:11" x14ac:dyDescent="0.25">
      <c r="A979" s="7" t="s">
        <v>1973</v>
      </c>
      <c r="B979" s="7">
        <v>0</v>
      </c>
      <c r="C979" s="7">
        <v>57</v>
      </c>
      <c r="D979" s="7">
        <v>0</v>
      </c>
      <c r="E979" s="7">
        <v>0</v>
      </c>
      <c r="F979" s="7">
        <v>0</v>
      </c>
      <c r="G979" s="7">
        <v>1</v>
      </c>
      <c r="H979" s="7">
        <v>0</v>
      </c>
      <c r="I979" s="7">
        <v>0</v>
      </c>
      <c r="J979" s="7">
        <v>0</v>
      </c>
      <c r="K979" s="7">
        <v>58</v>
      </c>
    </row>
    <row r="980" spans="1:11" x14ac:dyDescent="0.25">
      <c r="A980" s="7" t="s">
        <v>1974</v>
      </c>
      <c r="B980" s="7">
        <v>0</v>
      </c>
      <c r="C980" s="7">
        <v>65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65</v>
      </c>
    </row>
    <row r="981" spans="1:11" x14ac:dyDescent="0.25">
      <c r="A981" s="7" t="s">
        <v>1975</v>
      </c>
      <c r="B981" s="7">
        <v>0</v>
      </c>
      <c r="C981" s="7">
        <v>48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48</v>
      </c>
    </row>
    <row r="982" spans="1:11" x14ac:dyDescent="0.25">
      <c r="A982" s="7" t="s">
        <v>1976</v>
      </c>
      <c r="B982" s="7">
        <v>0</v>
      </c>
      <c r="C982" s="7">
        <v>39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6</v>
      </c>
      <c r="J982" s="7">
        <v>0</v>
      </c>
      <c r="K982" s="7">
        <v>45</v>
      </c>
    </row>
    <row r="983" spans="1:11" x14ac:dyDescent="0.25">
      <c r="A983" s="7" t="s">
        <v>1977</v>
      </c>
      <c r="B983" s="7">
        <v>0</v>
      </c>
      <c r="C983" s="7">
        <v>85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12</v>
      </c>
      <c r="J983" s="7">
        <v>0</v>
      </c>
      <c r="K983" s="7">
        <v>97</v>
      </c>
    </row>
    <row r="984" spans="1:11" x14ac:dyDescent="0.25">
      <c r="A984" s="7" t="s">
        <v>1978</v>
      </c>
      <c r="B984" s="7">
        <v>0</v>
      </c>
      <c r="C984" s="7">
        <v>122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15</v>
      </c>
      <c r="J984" s="7">
        <v>0</v>
      </c>
      <c r="K984" s="7">
        <v>137</v>
      </c>
    </row>
    <row r="985" spans="1:11" x14ac:dyDescent="0.25">
      <c r="A985" s="7" t="s">
        <v>1979</v>
      </c>
      <c r="B985" s="7">
        <v>0</v>
      </c>
      <c r="C985" s="7">
        <v>55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55</v>
      </c>
    </row>
    <row r="986" spans="1:11" x14ac:dyDescent="0.25">
      <c r="A986" s="7" t="s">
        <v>1980</v>
      </c>
      <c r="B986" s="7">
        <v>0</v>
      </c>
      <c r="C986" s="7">
        <v>152</v>
      </c>
      <c r="D986" s="7">
        <v>5</v>
      </c>
      <c r="E986" s="7">
        <v>2</v>
      </c>
      <c r="F986" s="7">
        <v>2</v>
      </c>
      <c r="G986" s="7">
        <v>1</v>
      </c>
      <c r="H986" s="7">
        <v>0</v>
      </c>
      <c r="I986" s="7">
        <v>0</v>
      </c>
      <c r="J986" s="7">
        <v>1</v>
      </c>
      <c r="K986" s="7">
        <v>163</v>
      </c>
    </row>
    <row r="987" spans="1:11" x14ac:dyDescent="0.25">
      <c r="A987" s="7" t="s">
        <v>1981</v>
      </c>
      <c r="B987" s="7">
        <v>0</v>
      </c>
      <c r="C987" s="7">
        <v>42</v>
      </c>
      <c r="D987" s="7">
        <v>1</v>
      </c>
      <c r="E987" s="7">
        <v>0</v>
      </c>
      <c r="F987" s="7">
        <v>0</v>
      </c>
      <c r="G987" s="7">
        <v>0</v>
      </c>
      <c r="H987" s="7">
        <v>0</v>
      </c>
      <c r="I987" s="7">
        <v>0</v>
      </c>
      <c r="J987" s="7">
        <v>1</v>
      </c>
      <c r="K987" s="7">
        <v>44</v>
      </c>
    </row>
    <row r="988" spans="1:11" x14ac:dyDescent="0.25">
      <c r="A988" s="7" t="s">
        <v>1982</v>
      </c>
      <c r="B988" s="7">
        <v>0</v>
      </c>
      <c r="C988" s="7">
        <v>70</v>
      </c>
      <c r="D988" s="7">
        <v>1</v>
      </c>
      <c r="E988" s="7">
        <v>2</v>
      </c>
      <c r="F988" s="7">
        <v>0</v>
      </c>
      <c r="G988" s="7">
        <v>1</v>
      </c>
      <c r="H988" s="7">
        <v>0</v>
      </c>
      <c r="I988" s="7">
        <v>0</v>
      </c>
      <c r="J988" s="7">
        <v>2</v>
      </c>
      <c r="K988" s="7">
        <v>76</v>
      </c>
    </row>
    <row r="989" spans="1:11" x14ac:dyDescent="0.25">
      <c r="A989" s="7" t="s">
        <v>1983</v>
      </c>
      <c r="B989" s="7">
        <v>0</v>
      </c>
      <c r="C989" s="7">
        <v>23</v>
      </c>
      <c r="D989" s="7">
        <v>1</v>
      </c>
      <c r="E989" s="7">
        <v>3</v>
      </c>
      <c r="F989" s="7">
        <v>0</v>
      </c>
      <c r="G989" s="7">
        <v>0</v>
      </c>
      <c r="H989" s="7">
        <v>0</v>
      </c>
      <c r="I989" s="7">
        <v>0</v>
      </c>
      <c r="J989" s="7">
        <v>0</v>
      </c>
      <c r="K989" s="7">
        <v>27</v>
      </c>
    </row>
    <row r="990" spans="1:11" x14ac:dyDescent="0.25">
      <c r="A990" s="7" t="s">
        <v>1984</v>
      </c>
      <c r="B990" s="7">
        <v>0</v>
      </c>
      <c r="C990" s="7">
        <v>34</v>
      </c>
      <c r="D990" s="7">
        <v>0</v>
      </c>
      <c r="E990" s="7">
        <v>10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44</v>
      </c>
    </row>
    <row r="991" spans="1:11" x14ac:dyDescent="0.25">
      <c r="A991" s="7" t="s">
        <v>1985</v>
      </c>
      <c r="B991" s="7">
        <v>0</v>
      </c>
      <c r="C991" s="7">
        <v>56</v>
      </c>
      <c r="D991" s="7">
        <v>0</v>
      </c>
      <c r="E991" s="7">
        <v>4</v>
      </c>
      <c r="F991" s="7">
        <v>0</v>
      </c>
      <c r="G991" s="7">
        <v>2</v>
      </c>
      <c r="H991" s="7">
        <v>0</v>
      </c>
      <c r="I991" s="7">
        <v>0</v>
      </c>
      <c r="J991" s="7">
        <v>1</v>
      </c>
      <c r="K991" s="7">
        <v>63</v>
      </c>
    </row>
    <row r="992" spans="1:11" x14ac:dyDescent="0.25">
      <c r="A992" s="7" t="s">
        <v>1986</v>
      </c>
      <c r="B992" s="7">
        <v>0</v>
      </c>
      <c r="C992" s="7">
        <v>35</v>
      </c>
      <c r="D992" s="7">
        <v>2</v>
      </c>
      <c r="E992" s="7">
        <v>4</v>
      </c>
      <c r="F992" s="7">
        <v>0</v>
      </c>
      <c r="G992" s="7">
        <v>0</v>
      </c>
      <c r="H992" s="7">
        <v>0</v>
      </c>
      <c r="I992" s="7">
        <v>0</v>
      </c>
      <c r="J992" s="7">
        <v>0</v>
      </c>
      <c r="K992" s="7">
        <v>41</v>
      </c>
    </row>
    <row r="993" spans="1:11" x14ac:dyDescent="0.25">
      <c r="A993" s="7" t="s">
        <v>1987</v>
      </c>
      <c r="B993" s="7">
        <v>0</v>
      </c>
      <c r="C993" s="7">
        <v>54</v>
      </c>
      <c r="D993" s="7">
        <v>1</v>
      </c>
      <c r="E993" s="7">
        <v>4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59</v>
      </c>
    </row>
    <row r="994" spans="1:11" x14ac:dyDescent="0.25">
      <c r="A994" s="7" t="s">
        <v>1988</v>
      </c>
      <c r="B994" s="7">
        <v>0</v>
      </c>
      <c r="C994" s="7">
        <v>45</v>
      </c>
      <c r="D994" s="7">
        <v>1</v>
      </c>
      <c r="E994" s="7">
        <v>1</v>
      </c>
      <c r="F994" s="7">
        <v>0</v>
      </c>
      <c r="G994" s="7">
        <v>2</v>
      </c>
      <c r="H994" s="7">
        <v>0</v>
      </c>
      <c r="I994" s="7">
        <v>0</v>
      </c>
      <c r="J994" s="7">
        <v>0</v>
      </c>
      <c r="K994" s="7">
        <v>49</v>
      </c>
    </row>
    <row r="995" spans="1:11" x14ac:dyDescent="0.25">
      <c r="A995" s="7" t="s">
        <v>1989</v>
      </c>
      <c r="B995" s="7">
        <v>0</v>
      </c>
      <c r="C995" s="7">
        <v>48</v>
      </c>
      <c r="D995" s="7">
        <v>1</v>
      </c>
      <c r="E995" s="7">
        <v>5</v>
      </c>
      <c r="F995" s="7">
        <v>0</v>
      </c>
      <c r="G995" s="7">
        <v>0</v>
      </c>
      <c r="H995" s="7">
        <v>0</v>
      </c>
      <c r="I995" s="7">
        <v>1</v>
      </c>
      <c r="J995" s="7">
        <v>1</v>
      </c>
      <c r="K995" s="7">
        <v>56</v>
      </c>
    </row>
    <row r="996" spans="1:11" x14ac:dyDescent="0.25">
      <c r="A996" s="7" t="s">
        <v>1990</v>
      </c>
      <c r="B996" s="7">
        <v>0</v>
      </c>
      <c r="C996" s="7">
        <v>29</v>
      </c>
      <c r="D996" s="7">
        <v>52</v>
      </c>
      <c r="E996" s="7">
        <v>9</v>
      </c>
      <c r="F996" s="7">
        <v>0</v>
      </c>
      <c r="G996" s="7">
        <v>0</v>
      </c>
      <c r="H996" s="7">
        <v>0</v>
      </c>
      <c r="I996" s="7">
        <v>5</v>
      </c>
      <c r="J996" s="7">
        <v>1</v>
      </c>
      <c r="K996" s="7">
        <v>96</v>
      </c>
    </row>
    <row r="997" spans="1:11" x14ac:dyDescent="0.25">
      <c r="A997" s="7" t="s">
        <v>1991</v>
      </c>
      <c r="B997" s="7">
        <v>0</v>
      </c>
      <c r="C997" s="7">
        <v>56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0</v>
      </c>
      <c r="K997" s="7">
        <v>56</v>
      </c>
    </row>
    <row r="998" spans="1:11" x14ac:dyDescent="0.25">
      <c r="A998" s="7" t="s">
        <v>1992</v>
      </c>
      <c r="B998" s="7">
        <v>0</v>
      </c>
      <c r="C998" s="7">
        <v>70</v>
      </c>
      <c r="D998" s="7">
        <v>0</v>
      </c>
      <c r="E998" s="7">
        <v>18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88</v>
      </c>
    </row>
    <row r="999" spans="1:11" x14ac:dyDescent="0.25">
      <c r="A999" s="7" t="s">
        <v>1993</v>
      </c>
      <c r="B999" s="7">
        <v>0</v>
      </c>
      <c r="C999" s="7">
        <v>72</v>
      </c>
      <c r="D999" s="7">
        <v>0</v>
      </c>
      <c r="E999" s="7">
        <v>0</v>
      </c>
      <c r="F999" s="7">
        <v>1</v>
      </c>
      <c r="G999" s="7">
        <v>2</v>
      </c>
      <c r="H999" s="7">
        <v>0</v>
      </c>
      <c r="I999" s="7">
        <v>0</v>
      </c>
      <c r="J999" s="7">
        <v>0</v>
      </c>
      <c r="K999" s="7">
        <v>75</v>
      </c>
    </row>
    <row r="1000" spans="1:11" x14ac:dyDescent="0.25">
      <c r="A1000" s="7" t="s">
        <v>1994</v>
      </c>
      <c r="B1000" s="7">
        <v>0</v>
      </c>
      <c r="C1000" s="7">
        <v>66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66</v>
      </c>
    </row>
    <row r="1001" spans="1:11" x14ac:dyDescent="0.25">
      <c r="A1001" s="7" t="s">
        <v>1995</v>
      </c>
      <c r="B1001" s="7">
        <v>0</v>
      </c>
      <c r="C1001" s="7">
        <v>36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36</v>
      </c>
    </row>
    <row r="1002" spans="1:11" x14ac:dyDescent="0.25">
      <c r="A1002" s="7" t="s">
        <v>1996</v>
      </c>
      <c r="B1002" s="7">
        <v>0</v>
      </c>
      <c r="C1002" s="7">
        <v>144</v>
      </c>
      <c r="D1002" s="7">
        <v>3</v>
      </c>
      <c r="E1002" s="7">
        <v>0</v>
      </c>
      <c r="F1002" s="7">
        <v>2</v>
      </c>
      <c r="G1002" s="7">
        <v>0</v>
      </c>
      <c r="H1002" s="7">
        <v>0</v>
      </c>
      <c r="I1002" s="7">
        <v>16</v>
      </c>
      <c r="J1002" s="7">
        <v>0</v>
      </c>
      <c r="K1002" s="7">
        <v>165</v>
      </c>
    </row>
    <row r="1003" spans="1:11" x14ac:dyDescent="0.25">
      <c r="A1003" s="7" t="s">
        <v>1997</v>
      </c>
      <c r="B1003" s="7">
        <v>0</v>
      </c>
      <c r="C1003" s="7">
        <v>122</v>
      </c>
      <c r="D1003" s="7">
        <v>0</v>
      </c>
      <c r="E1003" s="7">
        <v>0</v>
      </c>
      <c r="F1003" s="7">
        <v>3</v>
      </c>
      <c r="G1003" s="7">
        <v>1</v>
      </c>
      <c r="H1003" s="7">
        <v>0</v>
      </c>
      <c r="I1003" s="7">
        <v>0</v>
      </c>
      <c r="J1003" s="7">
        <v>0</v>
      </c>
      <c r="K1003" s="7">
        <v>126</v>
      </c>
    </row>
    <row r="1004" spans="1:11" x14ac:dyDescent="0.25">
      <c r="A1004" s="7" t="s">
        <v>1998</v>
      </c>
      <c r="B1004" s="7">
        <v>0</v>
      </c>
      <c r="C1004" s="7">
        <v>106</v>
      </c>
      <c r="D1004" s="7">
        <v>9</v>
      </c>
      <c r="E1004" s="7">
        <v>0</v>
      </c>
      <c r="F1004" s="7">
        <v>0</v>
      </c>
      <c r="G1004" s="7">
        <v>3</v>
      </c>
      <c r="H1004" s="7">
        <v>0</v>
      </c>
      <c r="I1004" s="7">
        <v>0</v>
      </c>
      <c r="J1004" s="7">
        <v>1</v>
      </c>
      <c r="K1004" s="7">
        <v>119</v>
      </c>
    </row>
    <row r="1005" spans="1:11" x14ac:dyDescent="0.25">
      <c r="A1005" s="7" t="s">
        <v>1999</v>
      </c>
      <c r="B1005" s="7">
        <v>0</v>
      </c>
      <c r="C1005" s="7">
        <v>132</v>
      </c>
      <c r="D1005" s="7">
        <v>0</v>
      </c>
      <c r="E1005" s="7">
        <v>23</v>
      </c>
      <c r="F1005" s="7">
        <v>0</v>
      </c>
      <c r="G1005" s="7">
        <v>0</v>
      </c>
      <c r="H1005" s="7">
        <v>0</v>
      </c>
      <c r="I1005" s="7">
        <v>0</v>
      </c>
      <c r="J1005" s="7">
        <v>0</v>
      </c>
      <c r="K1005" s="7">
        <v>155</v>
      </c>
    </row>
    <row r="1006" spans="1:11" x14ac:dyDescent="0.25">
      <c r="A1006" s="7" t="s">
        <v>2000</v>
      </c>
      <c r="B1006" s="7">
        <v>0</v>
      </c>
      <c r="C1006" s="7">
        <v>71</v>
      </c>
      <c r="D1006" s="7">
        <v>3</v>
      </c>
      <c r="E1006" s="7">
        <v>1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75</v>
      </c>
    </row>
    <row r="1007" spans="1:11" x14ac:dyDescent="0.25">
      <c r="A1007" s="7" t="s">
        <v>2001</v>
      </c>
      <c r="B1007" s="7">
        <v>0</v>
      </c>
      <c r="C1007" s="7">
        <v>87</v>
      </c>
      <c r="D1007" s="7">
        <v>0</v>
      </c>
      <c r="E1007" s="7">
        <v>0</v>
      </c>
      <c r="F1007" s="7">
        <v>0</v>
      </c>
      <c r="G1007" s="7">
        <v>2</v>
      </c>
      <c r="H1007" s="7">
        <v>0</v>
      </c>
      <c r="I1007" s="7">
        <v>1</v>
      </c>
      <c r="J1007" s="7">
        <v>2</v>
      </c>
      <c r="K1007" s="7">
        <v>92</v>
      </c>
    </row>
    <row r="1008" spans="1:11" x14ac:dyDescent="0.25">
      <c r="A1008" s="7" t="s">
        <v>2002</v>
      </c>
      <c r="B1008" s="7">
        <v>0</v>
      </c>
      <c r="C1008" s="7">
        <v>77</v>
      </c>
      <c r="D1008" s="7">
        <v>0</v>
      </c>
      <c r="E1008" s="7">
        <v>0</v>
      </c>
      <c r="F1008" s="7">
        <v>0</v>
      </c>
      <c r="G1008" s="7">
        <v>0</v>
      </c>
      <c r="H1008" s="7">
        <v>0</v>
      </c>
      <c r="I1008" s="7">
        <v>1</v>
      </c>
      <c r="J1008" s="7">
        <v>3</v>
      </c>
      <c r="K1008" s="7">
        <v>81</v>
      </c>
    </row>
    <row r="1009" spans="1:11" x14ac:dyDescent="0.25">
      <c r="A1009" s="7" t="s">
        <v>2003</v>
      </c>
      <c r="B1009" s="7">
        <v>0</v>
      </c>
      <c r="C1009" s="7">
        <v>65</v>
      </c>
      <c r="D1009" s="7">
        <v>0</v>
      </c>
      <c r="E1009" s="7">
        <v>2</v>
      </c>
      <c r="F1009" s="7">
        <v>0</v>
      </c>
      <c r="G1009" s="7">
        <v>0</v>
      </c>
      <c r="H1009" s="7">
        <v>0</v>
      </c>
      <c r="I1009" s="7">
        <v>1</v>
      </c>
      <c r="J1009" s="7">
        <v>2</v>
      </c>
      <c r="K1009" s="7">
        <v>70</v>
      </c>
    </row>
    <row r="1010" spans="1:11" x14ac:dyDescent="0.25">
      <c r="A1010" s="7" t="s">
        <v>2004</v>
      </c>
      <c r="B1010" s="7">
        <v>0</v>
      </c>
      <c r="C1010" s="7">
        <v>52</v>
      </c>
      <c r="D1010" s="7">
        <v>0</v>
      </c>
      <c r="E1010" s="7">
        <v>5</v>
      </c>
      <c r="F1010" s="7">
        <v>0</v>
      </c>
      <c r="G1010" s="7">
        <v>0</v>
      </c>
      <c r="H1010" s="7">
        <v>0</v>
      </c>
      <c r="I1010" s="7">
        <v>0</v>
      </c>
      <c r="J1010" s="7">
        <v>1</v>
      </c>
      <c r="K1010" s="7">
        <v>58</v>
      </c>
    </row>
    <row r="1011" spans="1:11" x14ac:dyDescent="0.25">
      <c r="A1011" s="7" t="s">
        <v>2005</v>
      </c>
      <c r="B1011" s="7">
        <v>0</v>
      </c>
      <c r="C1011" s="7">
        <v>53</v>
      </c>
      <c r="D1011" s="7">
        <v>9</v>
      </c>
      <c r="E1011" s="7">
        <v>19</v>
      </c>
      <c r="F1011" s="7">
        <v>0</v>
      </c>
      <c r="G1011" s="7">
        <v>0</v>
      </c>
      <c r="H1011" s="7">
        <v>0</v>
      </c>
      <c r="I1011" s="7">
        <v>4</v>
      </c>
      <c r="J1011" s="7">
        <v>0</v>
      </c>
      <c r="K1011" s="7">
        <v>85</v>
      </c>
    </row>
    <row r="1012" spans="1:11" x14ac:dyDescent="0.25">
      <c r="A1012" s="7" t="s">
        <v>2006</v>
      </c>
      <c r="B1012" s="7">
        <v>0</v>
      </c>
      <c r="C1012" s="7">
        <v>84</v>
      </c>
      <c r="D1012" s="7">
        <v>2</v>
      </c>
      <c r="E1012" s="7">
        <v>0</v>
      </c>
      <c r="F1012" s="7">
        <v>0</v>
      </c>
      <c r="G1012" s="7">
        <v>0</v>
      </c>
      <c r="H1012" s="7">
        <v>0</v>
      </c>
      <c r="I1012" s="7">
        <v>0</v>
      </c>
      <c r="J1012" s="7">
        <v>1</v>
      </c>
      <c r="K1012" s="7">
        <v>87</v>
      </c>
    </row>
    <row r="1013" spans="1:11" x14ac:dyDescent="0.25">
      <c r="A1013" s="7" t="s">
        <v>2007</v>
      </c>
      <c r="B1013" s="7">
        <v>0</v>
      </c>
      <c r="C1013" s="7">
        <v>78</v>
      </c>
      <c r="D1013" s="7">
        <v>0</v>
      </c>
      <c r="E1013" s="7">
        <v>0</v>
      </c>
      <c r="F1013" s="7">
        <v>0</v>
      </c>
      <c r="G1013" s="7">
        <v>3</v>
      </c>
      <c r="H1013" s="7">
        <v>0</v>
      </c>
      <c r="I1013" s="7">
        <v>0</v>
      </c>
      <c r="J1013" s="7">
        <v>0</v>
      </c>
      <c r="K1013" s="7">
        <v>81</v>
      </c>
    </row>
    <row r="1014" spans="1:11" x14ac:dyDescent="0.25">
      <c r="A1014" s="7" t="s">
        <v>2008</v>
      </c>
      <c r="B1014" s="7">
        <v>0</v>
      </c>
      <c r="C1014" s="7">
        <v>83</v>
      </c>
      <c r="D1014" s="7">
        <v>0</v>
      </c>
      <c r="E1014" s="7">
        <v>0</v>
      </c>
      <c r="F1014" s="7">
        <v>0</v>
      </c>
      <c r="G1014" s="7">
        <v>0</v>
      </c>
      <c r="H1014" s="7">
        <v>0</v>
      </c>
      <c r="I1014" s="7">
        <v>0</v>
      </c>
      <c r="J1014" s="7">
        <v>0</v>
      </c>
      <c r="K1014" s="7">
        <v>83</v>
      </c>
    </row>
    <row r="1015" spans="1:11" x14ac:dyDescent="0.25">
      <c r="A1015" s="7" t="s">
        <v>2009</v>
      </c>
      <c r="B1015" s="7">
        <v>0</v>
      </c>
      <c r="C1015" s="7">
        <v>96</v>
      </c>
      <c r="D1015" s="7">
        <v>0</v>
      </c>
      <c r="E1015" s="7">
        <v>0</v>
      </c>
      <c r="F1015" s="7">
        <v>1</v>
      </c>
      <c r="G1015" s="7">
        <v>3</v>
      </c>
      <c r="H1015" s="7">
        <v>0</v>
      </c>
      <c r="I1015" s="7">
        <v>0</v>
      </c>
      <c r="J1015" s="7">
        <v>0</v>
      </c>
      <c r="K1015" s="7">
        <v>100</v>
      </c>
    </row>
    <row r="1016" spans="1:11" x14ac:dyDescent="0.25">
      <c r="A1016" s="7" t="s">
        <v>2010</v>
      </c>
      <c r="B1016" s="7">
        <v>0</v>
      </c>
      <c r="C1016" s="7">
        <v>46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47</v>
      </c>
    </row>
    <row r="1017" spans="1:11" x14ac:dyDescent="0.25">
      <c r="A1017" s="7" t="s">
        <v>2011</v>
      </c>
      <c r="B1017" s="7">
        <v>0</v>
      </c>
      <c r="C1017" s="7">
        <v>38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39</v>
      </c>
    </row>
    <row r="1018" spans="1:11" x14ac:dyDescent="0.25">
      <c r="A1018" s="7" t="s">
        <v>2012</v>
      </c>
      <c r="B1018" s="7">
        <v>0</v>
      </c>
      <c r="C1018" s="7">
        <v>58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1</v>
      </c>
      <c r="J1018" s="7">
        <v>0</v>
      </c>
      <c r="K1018" s="7">
        <v>59</v>
      </c>
    </row>
    <row r="1019" spans="1:11" x14ac:dyDescent="0.25">
      <c r="A1019" s="7" t="s">
        <v>2013</v>
      </c>
      <c r="B1019" s="7">
        <v>0</v>
      </c>
      <c r="C1019" s="7">
        <v>53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53</v>
      </c>
    </row>
    <row r="1020" spans="1:11" x14ac:dyDescent="0.25">
      <c r="A1020" s="7" t="s">
        <v>2014</v>
      </c>
      <c r="B1020" s="7">
        <v>0</v>
      </c>
      <c r="C1020" s="7">
        <v>42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42</v>
      </c>
    </row>
    <row r="1021" spans="1:11" x14ac:dyDescent="0.25">
      <c r="A1021" s="7" t="s">
        <v>2015</v>
      </c>
      <c r="B1021" s="7">
        <v>0</v>
      </c>
      <c r="C1021" s="7">
        <v>56</v>
      </c>
      <c r="D1021" s="7">
        <v>26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82</v>
      </c>
    </row>
    <row r="1022" spans="1:11" x14ac:dyDescent="0.25">
      <c r="A1022" s="7" t="s">
        <v>2016</v>
      </c>
      <c r="B1022" s="7">
        <v>0</v>
      </c>
      <c r="C1022" s="7">
        <v>43</v>
      </c>
      <c r="D1022" s="7">
        <v>45</v>
      </c>
      <c r="E1022" s="7">
        <v>2</v>
      </c>
      <c r="F1022" s="7">
        <v>0</v>
      </c>
      <c r="G1022" s="7">
        <v>1</v>
      </c>
      <c r="H1022" s="7">
        <v>0</v>
      </c>
      <c r="I1022" s="7">
        <v>0</v>
      </c>
      <c r="J1022" s="7">
        <v>3</v>
      </c>
      <c r="K1022" s="7">
        <v>94</v>
      </c>
    </row>
    <row r="1023" spans="1:11" x14ac:dyDescent="0.25">
      <c r="A1023" s="7" t="s">
        <v>2017</v>
      </c>
      <c r="B1023" s="7">
        <v>0</v>
      </c>
      <c r="C1023" s="7">
        <v>53</v>
      </c>
      <c r="D1023" s="7">
        <v>10</v>
      </c>
      <c r="E1023" s="7">
        <v>2</v>
      </c>
      <c r="F1023" s="7">
        <v>0</v>
      </c>
      <c r="G1023" s="7">
        <v>0</v>
      </c>
      <c r="H1023" s="7">
        <v>0</v>
      </c>
      <c r="I1023" s="7">
        <v>1</v>
      </c>
      <c r="J1023" s="7">
        <v>1</v>
      </c>
      <c r="K1023" s="7">
        <v>67</v>
      </c>
    </row>
    <row r="1024" spans="1:11" x14ac:dyDescent="0.25">
      <c r="A1024" s="7" t="s">
        <v>2018</v>
      </c>
      <c r="B1024" s="7">
        <v>0</v>
      </c>
      <c r="C1024" s="7">
        <v>54</v>
      </c>
      <c r="D1024" s="7">
        <v>5</v>
      </c>
      <c r="E1024" s="7">
        <v>0</v>
      </c>
      <c r="F1024" s="7">
        <v>0</v>
      </c>
      <c r="G1024" s="7">
        <v>0</v>
      </c>
      <c r="H1024" s="7">
        <v>0</v>
      </c>
      <c r="I1024" s="7">
        <v>3</v>
      </c>
      <c r="J1024" s="7">
        <v>0</v>
      </c>
      <c r="K1024" s="7">
        <v>62</v>
      </c>
    </row>
    <row r="1025" spans="1:11" x14ac:dyDescent="0.25">
      <c r="A1025" s="7" t="s">
        <v>2019</v>
      </c>
      <c r="B1025" s="7">
        <v>0</v>
      </c>
      <c r="C1025" s="7">
        <v>83</v>
      </c>
      <c r="D1025" s="7">
        <v>6</v>
      </c>
      <c r="E1025" s="7">
        <v>1</v>
      </c>
      <c r="F1025" s="7">
        <v>0</v>
      </c>
      <c r="G1025" s="7">
        <v>1</v>
      </c>
      <c r="H1025" s="7">
        <v>0</v>
      </c>
      <c r="I1025" s="7">
        <v>9</v>
      </c>
      <c r="J1025" s="7">
        <v>0</v>
      </c>
      <c r="K1025" s="7">
        <v>100</v>
      </c>
    </row>
    <row r="1026" spans="1:11" x14ac:dyDescent="0.25">
      <c r="A1026" s="7" t="s">
        <v>2020</v>
      </c>
      <c r="B1026" s="7">
        <v>0</v>
      </c>
      <c r="C1026" s="7">
        <v>69</v>
      </c>
      <c r="D1026" s="7">
        <v>7</v>
      </c>
      <c r="E1026" s="7">
        <v>3</v>
      </c>
      <c r="F1026" s="7">
        <v>0</v>
      </c>
      <c r="G1026" s="7">
        <v>2</v>
      </c>
      <c r="H1026" s="7">
        <v>0</v>
      </c>
      <c r="I1026" s="7">
        <v>1</v>
      </c>
      <c r="J1026" s="7">
        <v>2</v>
      </c>
      <c r="K1026" s="7">
        <v>84</v>
      </c>
    </row>
    <row r="1027" spans="1:11" x14ac:dyDescent="0.25">
      <c r="A1027" s="7" t="s">
        <v>2021</v>
      </c>
      <c r="B1027" s="7">
        <v>0</v>
      </c>
      <c r="C1027" s="7">
        <v>33</v>
      </c>
      <c r="D1027" s="7">
        <v>0</v>
      </c>
      <c r="E1027" s="7">
        <v>4</v>
      </c>
      <c r="F1027" s="7">
        <v>0</v>
      </c>
      <c r="G1027" s="7">
        <v>0</v>
      </c>
      <c r="H1027" s="7">
        <v>0</v>
      </c>
      <c r="I1027" s="7">
        <v>11</v>
      </c>
      <c r="J1027" s="7">
        <v>0</v>
      </c>
      <c r="K1027" s="7">
        <v>48</v>
      </c>
    </row>
    <row r="1028" spans="1:11" x14ac:dyDescent="0.25">
      <c r="A1028" s="7" t="s">
        <v>2022</v>
      </c>
      <c r="B1028" s="7">
        <v>0</v>
      </c>
      <c r="C1028" s="7">
        <v>35</v>
      </c>
      <c r="D1028" s="7">
        <v>5</v>
      </c>
      <c r="E1028" s="7">
        <v>2</v>
      </c>
      <c r="F1028" s="7">
        <v>0</v>
      </c>
      <c r="G1028" s="7">
        <v>0</v>
      </c>
      <c r="H1028" s="7">
        <v>0</v>
      </c>
      <c r="I1028" s="7">
        <v>7</v>
      </c>
      <c r="J1028" s="7">
        <v>0</v>
      </c>
      <c r="K1028" s="7">
        <v>49</v>
      </c>
    </row>
    <row r="1029" spans="1:11" x14ac:dyDescent="0.25">
      <c r="A1029" s="7" t="s">
        <v>2023</v>
      </c>
      <c r="B1029" s="7">
        <v>0</v>
      </c>
      <c r="C1029" s="7">
        <v>19</v>
      </c>
      <c r="D1029" s="7">
        <v>12</v>
      </c>
      <c r="E1029" s="7">
        <v>0</v>
      </c>
      <c r="F1029" s="7">
        <v>0</v>
      </c>
      <c r="G1029" s="7">
        <v>0</v>
      </c>
      <c r="H1029" s="7">
        <v>0</v>
      </c>
      <c r="I1029" s="7">
        <v>8</v>
      </c>
      <c r="J1029" s="7">
        <v>0</v>
      </c>
      <c r="K1029" s="7">
        <v>39</v>
      </c>
    </row>
    <row r="1030" spans="1:11" x14ac:dyDescent="0.25">
      <c r="A1030" s="7" t="s">
        <v>2024</v>
      </c>
      <c r="B1030" s="7">
        <v>0</v>
      </c>
      <c r="C1030" s="7">
        <v>32</v>
      </c>
      <c r="D1030" s="7">
        <v>5</v>
      </c>
      <c r="E1030" s="7">
        <v>2</v>
      </c>
      <c r="F1030" s="7">
        <v>0</v>
      </c>
      <c r="G1030" s="7">
        <v>0</v>
      </c>
      <c r="H1030" s="7">
        <v>0</v>
      </c>
      <c r="I1030" s="7">
        <v>6</v>
      </c>
      <c r="J1030" s="7">
        <v>1</v>
      </c>
      <c r="K1030" s="7">
        <v>46</v>
      </c>
    </row>
    <row r="1031" spans="1:11" x14ac:dyDescent="0.25">
      <c r="A1031" s="7" t="s">
        <v>2025</v>
      </c>
      <c r="B1031" s="7">
        <v>0</v>
      </c>
      <c r="C1031" s="7">
        <v>69</v>
      </c>
      <c r="D1031" s="7">
        <v>5</v>
      </c>
      <c r="E1031" s="7">
        <v>2</v>
      </c>
      <c r="F1031" s="7">
        <v>1</v>
      </c>
      <c r="G1031" s="7">
        <v>0</v>
      </c>
      <c r="H1031" s="7">
        <v>0</v>
      </c>
      <c r="I1031" s="7">
        <v>25</v>
      </c>
      <c r="J1031" s="7">
        <v>0</v>
      </c>
      <c r="K1031" s="7">
        <v>102</v>
      </c>
    </row>
    <row r="1032" spans="1:11" x14ac:dyDescent="0.25">
      <c r="A1032" s="7" t="s">
        <v>2026</v>
      </c>
      <c r="B1032" s="7">
        <v>0</v>
      </c>
      <c r="C1032" s="7">
        <v>48</v>
      </c>
      <c r="D1032" s="7">
        <v>7</v>
      </c>
      <c r="E1032" s="7">
        <v>3</v>
      </c>
      <c r="F1032" s="7">
        <v>0</v>
      </c>
      <c r="G1032" s="7">
        <v>0</v>
      </c>
      <c r="H1032" s="7">
        <v>0</v>
      </c>
      <c r="I1032" s="7">
        <v>46</v>
      </c>
      <c r="J1032" s="7">
        <v>1</v>
      </c>
      <c r="K1032" s="7">
        <v>105</v>
      </c>
    </row>
    <row r="1033" spans="1:11" x14ac:dyDescent="0.25">
      <c r="A1033" s="7" t="s">
        <v>2027</v>
      </c>
      <c r="B1033" s="7">
        <v>0</v>
      </c>
      <c r="C1033" s="7">
        <v>18</v>
      </c>
      <c r="D1033" s="7">
        <v>1</v>
      </c>
      <c r="E1033" s="7">
        <v>3</v>
      </c>
      <c r="F1033" s="7">
        <v>0</v>
      </c>
      <c r="G1033" s="7">
        <v>0</v>
      </c>
      <c r="H1033" s="7">
        <v>0</v>
      </c>
      <c r="I1033" s="7">
        <v>28</v>
      </c>
      <c r="J1033" s="7">
        <v>0</v>
      </c>
      <c r="K1033" s="7">
        <v>50</v>
      </c>
    </row>
    <row r="1034" spans="1:11" x14ac:dyDescent="0.25">
      <c r="A1034" s="7" t="s">
        <v>2028</v>
      </c>
      <c r="B1034" s="7">
        <v>0</v>
      </c>
      <c r="C1034" s="7">
        <v>34</v>
      </c>
      <c r="D1034" s="7">
        <v>2</v>
      </c>
      <c r="E1034" s="7">
        <v>0</v>
      </c>
      <c r="F1034" s="7">
        <v>0</v>
      </c>
      <c r="G1034" s="7">
        <v>0</v>
      </c>
      <c r="H1034" s="7">
        <v>0</v>
      </c>
      <c r="I1034" s="7">
        <v>26</v>
      </c>
      <c r="J1034" s="7">
        <v>0</v>
      </c>
      <c r="K1034" s="7">
        <v>62</v>
      </c>
    </row>
    <row r="1035" spans="1:11" x14ac:dyDescent="0.25">
      <c r="A1035" s="7" t="s">
        <v>2029</v>
      </c>
      <c r="B1035" s="7">
        <v>0</v>
      </c>
      <c r="C1035" s="7">
        <v>76</v>
      </c>
      <c r="D1035" s="7">
        <v>2</v>
      </c>
      <c r="E1035" s="7">
        <v>4</v>
      </c>
      <c r="F1035" s="7">
        <v>0</v>
      </c>
      <c r="G1035" s="7">
        <v>0</v>
      </c>
      <c r="H1035" s="7">
        <v>0</v>
      </c>
      <c r="I1035" s="7">
        <v>4</v>
      </c>
      <c r="J1035" s="7">
        <v>0</v>
      </c>
      <c r="K1035" s="7">
        <v>86</v>
      </c>
    </row>
    <row r="1036" spans="1:11" x14ac:dyDescent="0.25">
      <c r="A1036" s="7" t="s">
        <v>2030</v>
      </c>
      <c r="B1036" s="7">
        <v>0</v>
      </c>
      <c r="C1036" s="7">
        <v>96</v>
      </c>
      <c r="D1036" s="7">
        <v>0</v>
      </c>
      <c r="E1036" s="7">
        <v>0</v>
      </c>
      <c r="F1036" s="7">
        <v>1</v>
      </c>
      <c r="G1036" s="7">
        <v>0</v>
      </c>
      <c r="H1036" s="7">
        <v>0</v>
      </c>
      <c r="I1036" s="7">
        <v>8</v>
      </c>
      <c r="J1036" s="7">
        <v>1</v>
      </c>
      <c r="K1036" s="7">
        <v>106</v>
      </c>
    </row>
    <row r="1037" spans="1:11" x14ac:dyDescent="0.25">
      <c r="A1037" s="7" t="s">
        <v>2031</v>
      </c>
      <c r="B1037" s="7">
        <v>0</v>
      </c>
      <c r="C1037" s="7">
        <v>106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106</v>
      </c>
    </row>
    <row r="1038" spans="1:11" x14ac:dyDescent="0.25">
      <c r="A1038" s="7" t="s">
        <v>2032</v>
      </c>
      <c r="B1038" s="7">
        <v>0</v>
      </c>
      <c r="C1038" s="7">
        <v>87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87</v>
      </c>
    </row>
    <row r="1039" spans="1:11" x14ac:dyDescent="0.25">
      <c r="A1039" s="7" t="s">
        <v>2033</v>
      </c>
      <c r="B1039" s="7">
        <v>0</v>
      </c>
      <c r="C1039" s="7">
        <v>46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46</v>
      </c>
    </row>
    <row r="1040" spans="1:11" x14ac:dyDescent="0.25">
      <c r="A1040" s="7" t="s">
        <v>2034</v>
      </c>
      <c r="B1040" s="7">
        <v>0</v>
      </c>
      <c r="C1040" s="7">
        <v>23</v>
      </c>
      <c r="D1040" s="7">
        <v>2</v>
      </c>
      <c r="E1040" s="7">
        <v>4</v>
      </c>
      <c r="F1040" s="7">
        <v>0</v>
      </c>
      <c r="G1040" s="7">
        <v>0</v>
      </c>
      <c r="H1040" s="7">
        <v>0</v>
      </c>
      <c r="I1040" s="7">
        <v>13</v>
      </c>
      <c r="J1040" s="7">
        <v>0</v>
      </c>
      <c r="K1040" s="7">
        <v>42</v>
      </c>
    </row>
    <row r="1041" spans="1:11" x14ac:dyDescent="0.25">
      <c r="A1041" s="7" t="s">
        <v>2035</v>
      </c>
      <c r="B1041" s="7">
        <v>0</v>
      </c>
      <c r="C1041" s="7">
        <v>38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6</v>
      </c>
      <c r="J1041" s="7">
        <v>0</v>
      </c>
      <c r="K1041" s="7">
        <v>44</v>
      </c>
    </row>
    <row r="1042" spans="1:11" x14ac:dyDescent="0.25">
      <c r="A1042" s="7" t="s">
        <v>2036</v>
      </c>
      <c r="B1042" s="7">
        <v>0</v>
      </c>
      <c r="C1042" s="7">
        <v>34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14</v>
      </c>
      <c r="J1042" s="7">
        <v>0</v>
      </c>
      <c r="K1042" s="7">
        <v>48</v>
      </c>
    </row>
    <row r="1043" spans="1:11" x14ac:dyDescent="0.25">
      <c r="A1043" s="7" t="s">
        <v>2037</v>
      </c>
      <c r="B1043" s="7">
        <v>0</v>
      </c>
      <c r="C1043" s="7">
        <v>36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21</v>
      </c>
      <c r="J1043" s="7">
        <v>0</v>
      </c>
      <c r="K1043" s="7">
        <v>57</v>
      </c>
    </row>
    <row r="1044" spans="1:11" x14ac:dyDescent="0.25">
      <c r="A1044" s="7" t="s">
        <v>2038</v>
      </c>
      <c r="B1044" s="7">
        <v>0</v>
      </c>
      <c r="C1044" s="7">
        <v>39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7</v>
      </c>
      <c r="J1044" s="7">
        <v>0</v>
      </c>
      <c r="K1044" s="7">
        <v>46</v>
      </c>
    </row>
    <row r="1045" spans="1:11" x14ac:dyDescent="0.25">
      <c r="A1045" s="7" t="s">
        <v>2039</v>
      </c>
      <c r="B1045" s="7">
        <v>0</v>
      </c>
      <c r="C1045" s="7">
        <v>36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15</v>
      </c>
      <c r="J1045" s="7">
        <v>0</v>
      </c>
      <c r="K1045" s="7">
        <v>51</v>
      </c>
    </row>
    <row r="1046" spans="1:11" x14ac:dyDescent="0.25">
      <c r="A1046" s="7" t="s">
        <v>2040</v>
      </c>
      <c r="B1046" s="7">
        <v>0</v>
      </c>
      <c r="C1046" s="7">
        <v>56</v>
      </c>
      <c r="D1046" s="7">
        <v>1</v>
      </c>
      <c r="E1046" s="7">
        <v>0</v>
      </c>
      <c r="F1046" s="7">
        <v>0</v>
      </c>
      <c r="G1046" s="7">
        <v>0</v>
      </c>
      <c r="H1046" s="7">
        <v>0</v>
      </c>
      <c r="I1046" s="7">
        <v>31</v>
      </c>
      <c r="J1046" s="7">
        <v>0</v>
      </c>
      <c r="K1046" s="7">
        <v>88</v>
      </c>
    </row>
    <row r="1047" spans="1:11" x14ac:dyDescent="0.25">
      <c r="A1047" s="7" t="s">
        <v>2041</v>
      </c>
      <c r="B1047" s="7">
        <v>0</v>
      </c>
      <c r="C1047" s="7">
        <v>17</v>
      </c>
      <c r="D1047" s="7">
        <v>6</v>
      </c>
      <c r="E1047" s="7">
        <v>0</v>
      </c>
      <c r="F1047" s="7">
        <v>0</v>
      </c>
      <c r="G1047" s="7">
        <v>0</v>
      </c>
      <c r="H1047" s="7">
        <v>0</v>
      </c>
      <c r="I1047" s="7">
        <v>33</v>
      </c>
      <c r="J1047" s="7">
        <v>0</v>
      </c>
      <c r="K1047" s="7">
        <v>56</v>
      </c>
    </row>
    <row r="1048" spans="1:11" x14ac:dyDescent="0.25">
      <c r="A1048" s="7" t="s">
        <v>2042</v>
      </c>
      <c r="B1048" s="7">
        <v>0</v>
      </c>
      <c r="C1048" s="7">
        <v>51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8</v>
      </c>
      <c r="J1048" s="7">
        <v>0</v>
      </c>
      <c r="K1048" s="7">
        <v>59</v>
      </c>
    </row>
    <row r="1049" spans="1:11" x14ac:dyDescent="0.25">
      <c r="A1049" s="7" t="s">
        <v>2043</v>
      </c>
      <c r="B1049" s="7">
        <v>0</v>
      </c>
      <c r="C1049" s="7">
        <v>9</v>
      </c>
      <c r="D1049" s="7">
        <v>15</v>
      </c>
      <c r="E1049" s="7">
        <v>31</v>
      </c>
      <c r="F1049" s="7">
        <v>0</v>
      </c>
      <c r="G1049" s="7">
        <v>0</v>
      </c>
      <c r="H1049" s="7">
        <v>0</v>
      </c>
      <c r="I1049" s="7">
        <v>2</v>
      </c>
      <c r="J1049" s="7">
        <v>0</v>
      </c>
      <c r="K1049" s="7">
        <v>57</v>
      </c>
    </row>
    <row r="1050" spans="1:11" x14ac:dyDescent="0.25">
      <c r="A1050" s="7" t="s">
        <v>2044</v>
      </c>
      <c r="B1050" s="7">
        <v>0</v>
      </c>
      <c r="C1050" s="7">
        <v>98</v>
      </c>
      <c r="D1050" s="7">
        <v>2</v>
      </c>
      <c r="E1050" s="7">
        <v>0</v>
      </c>
      <c r="F1050" s="7">
        <v>4</v>
      </c>
      <c r="G1050" s="7">
        <v>2</v>
      </c>
      <c r="H1050" s="7">
        <v>0</v>
      </c>
      <c r="I1050" s="7">
        <v>19</v>
      </c>
      <c r="J1050" s="7">
        <v>14</v>
      </c>
      <c r="K1050" s="7">
        <v>139</v>
      </c>
    </row>
    <row r="1051" spans="1:11" x14ac:dyDescent="0.25">
      <c r="A1051" s="7" t="s">
        <v>2045</v>
      </c>
      <c r="B1051" s="7">
        <v>0</v>
      </c>
      <c r="C1051" s="7">
        <v>80</v>
      </c>
      <c r="D1051" s="7">
        <v>8</v>
      </c>
      <c r="E1051" s="7">
        <v>0</v>
      </c>
      <c r="F1051" s="7">
        <v>0</v>
      </c>
      <c r="G1051" s="7">
        <v>0</v>
      </c>
      <c r="H1051" s="7">
        <v>0</v>
      </c>
      <c r="I1051" s="7">
        <v>7</v>
      </c>
      <c r="J1051" s="7">
        <v>6</v>
      </c>
      <c r="K1051" s="7">
        <v>101</v>
      </c>
    </row>
    <row r="1052" spans="1:11" x14ac:dyDescent="0.25">
      <c r="A1052" s="7" t="s">
        <v>2046</v>
      </c>
      <c r="B1052" s="7">
        <v>0</v>
      </c>
      <c r="C1052" s="7">
        <v>51</v>
      </c>
      <c r="D1052" s="7">
        <v>2</v>
      </c>
      <c r="E1052" s="7">
        <v>9</v>
      </c>
      <c r="F1052" s="7">
        <v>0</v>
      </c>
      <c r="G1052" s="7">
        <v>0</v>
      </c>
      <c r="H1052" s="7">
        <v>0</v>
      </c>
      <c r="I1052" s="7">
        <v>12</v>
      </c>
      <c r="J1052" s="7">
        <v>0</v>
      </c>
      <c r="K1052" s="7">
        <v>74</v>
      </c>
    </row>
    <row r="1053" spans="1:11" x14ac:dyDescent="0.25">
      <c r="A1053" s="7" t="s">
        <v>2047</v>
      </c>
      <c r="B1053" s="7">
        <v>0</v>
      </c>
      <c r="C1053" s="7">
        <v>46</v>
      </c>
      <c r="D1053" s="7">
        <v>3</v>
      </c>
      <c r="E1053" s="7">
        <v>6</v>
      </c>
      <c r="F1053" s="7">
        <v>0</v>
      </c>
      <c r="G1053" s="7">
        <v>0</v>
      </c>
      <c r="H1053" s="7">
        <v>0</v>
      </c>
      <c r="I1053" s="7">
        <v>20</v>
      </c>
      <c r="J1053" s="7">
        <v>1</v>
      </c>
      <c r="K1053" s="7">
        <v>76</v>
      </c>
    </row>
    <row r="1054" spans="1:11" x14ac:dyDescent="0.25">
      <c r="A1054" s="7" t="s">
        <v>2048</v>
      </c>
      <c r="B1054" s="7">
        <v>0</v>
      </c>
      <c r="C1054" s="7">
        <v>14</v>
      </c>
      <c r="D1054" s="7">
        <v>0</v>
      </c>
      <c r="E1054" s="7">
        <v>3</v>
      </c>
      <c r="F1054" s="7">
        <v>0</v>
      </c>
      <c r="G1054" s="7">
        <v>0</v>
      </c>
      <c r="H1054" s="7">
        <v>0</v>
      </c>
      <c r="I1054" s="7">
        <v>37</v>
      </c>
      <c r="J1054" s="7">
        <v>3</v>
      </c>
      <c r="K1054" s="7">
        <v>57</v>
      </c>
    </row>
    <row r="1055" spans="1:11" x14ac:dyDescent="0.25">
      <c r="A1055" s="7" t="s">
        <v>2049</v>
      </c>
      <c r="B1055" s="7">
        <v>0</v>
      </c>
      <c r="C1055" s="7">
        <v>123</v>
      </c>
      <c r="D1055" s="7">
        <v>2</v>
      </c>
      <c r="E1055" s="7">
        <v>3</v>
      </c>
      <c r="F1055" s="7">
        <v>0</v>
      </c>
      <c r="G1055" s="7">
        <v>2</v>
      </c>
      <c r="H1055" s="7">
        <v>0</v>
      </c>
      <c r="I1055" s="7">
        <v>1</v>
      </c>
      <c r="J1055" s="7">
        <v>1</v>
      </c>
      <c r="K1055" s="7">
        <v>132</v>
      </c>
    </row>
    <row r="1056" spans="1:11" x14ac:dyDescent="0.25">
      <c r="A1056" s="7" t="s">
        <v>2050</v>
      </c>
      <c r="B1056" s="7">
        <v>0</v>
      </c>
      <c r="C1056" s="7">
        <v>23</v>
      </c>
      <c r="D1056" s="7">
        <v>11</v>
      </c>
      <c r="E1056" s="7">
        <v>19</v>
      </c>
      <c r="F1056" s="7">
        <v>0</v>
      </c>
      <c r="G1056" s="7">
        <v>0</v>
      </c>
      <c r="H1056" s="7">
        <v>0</v>
      </c>
      <c r="I1056" s="7">
        <v>2</v>
      </c>
      <c r="J1056" s="7">
        <v>5</v>
      </c>
      <c r="K1056" s="7">
        <v>60</v>
      </c>
    </row>
    <row r="1057" spans="1:11" x14ac:dyDescent="0.25">
      <c r="A1057" s="7" t="s">
        <v>2051</v>
      </c>
      <c r="B1057" s="7">
        <v>0</v>
      </c>
      <c r="C1057" s="7">
        <v>88</v>
      </c>
      <c r="D1057" s="7">
        <v>0</v>
      </c>
      <c r="E1057" s="7">
        <v>0</v>
      </c>
      <c r="F1057" s="7">
        <v>0</v>
      </c>
      <c r="G1057" s="7">
        <v>1</v>
      </c>
      <c r="H1057" s="7">
        <v>0</v>
      </c>
      <c r="I1057" s="7">
        <v>1</v>
      </c>
      <c r="J1057" s="7">
        <v>0</v>
      </c>
      <c r="K1057" s="7">
        <v>90</v>
      </c>
    </row>
    <row r="1058" spans="1:11" x14ac:dyDescent="0.25">
      <c r="A1058" s="7" t="s">
        <v>2052</v>
      </c>
      <c r="B1058" s="7">
        <v>0</v>
      </c>
      <c r="C1058" s="7">
        <v>58</v>
      </c>
      <c r="D1058" s="7">
        <v>3</v>
      </c>
      <c r="E1058" s="7">
        <v>4</v>
      </c>
      <c r="F1058" s="7">
        <v>0</v>
      </c>
      <c r="G1058" s="7">
        <v>0</v>
      </c>
      <c r="H1058" s="7">
        <v>0</v>
      </c>
      <c r="I1058" s="7">
        <v>0</v>
      </c>
      <c r="J1058" s="7">
        <v>0</v>
      </c>
      <c r="K1058" s="7">
        <v>65</v>
      </c>
    </row>
    <row r="1059" spans="1:11" x14ac:dyDescent="0.25">
      <c r="A1059" s="7" t="s">
        <v>2053</v>
      </c>
      <c r="B1059" s="7">
        <v>0</v>
      </c>
      <c r="C1059" s="7">
        <v>26</v>
      </c>
      <c r="D1059" s="7">
        <v>15</v>
      </c>
      <c r="E1059" s="7">
        <v>5</v>
      </c>
      <c r="F1059" s="7">
        <v>0</v>
      </c>
      <c r="G1059" s="7">
        <v>0</v>
      </c>
      <c r="H1059" s="7">
        <v>0</v>
      </c>
      <c r="I1059" s="7">
        <v>2</v>
      </c>
      <c r="J1059" s="7">
        <v>0</v>
      </c>
      <c r="K1059" s="7">
        <v>48</v>
      </c>
    </row>
    <row r="1060" spans="1:11" x14ac:dyDescent="0.25">
      <c r="A1060" s="7" t="s">
        <v>2054</v>
      </c>
      <c r="B1060" s="7">
        <v>0</v>
      </c>
      <c r="C1060" s="7">
        <v>44</v>
      </c>
      <c r="D1060" s="7">
        <v>1</v>
      </c>
      <c r="E1060" s="7">
        <v>2</v>
      </c>
      <c r="F1060" s="7">
        <v>0</v>
      </c>
      <c r="G1060" s="7">
        <v>0</v>
      </c>
      <c r="H1060" s="7">
        <v>0</v>
      </c>
      <c r="I1060" s="7">
        <v>8</v>
      </c>
      <c r="J1060" s="7">
        <v>0</v>
      </c>
      <c r="K1060" s="7">
        <v>55</v>
      </c>
    </row>
    <row r="1061" spans="1:11" x14ac:dyDescent="0.25">
      <c r="A1061" s="7" t="s">
        <v>2055</v>
      </c>
      <c r="B1061" s="7">
        <v>0</v>
      </c>
      <c r="C1061" s="7">
        <v>38</v>
      </c>
      <c r="D1061" s="7">
        <v>2</v>
      </c>
      <c r="E1061" s="7">
        <v>3</v>
      </c>
      <c r="F1061" s="7">
        <v>0</v>
      </c>
      <c r="G1061" s="7">
        <v>0</v>
      </c>
      <c r="H1061" s="7">
        <v>0</v>
      </c>
      <c r="I1061" s="7">
        <v>9</v>
      </c>
      <c r="J1061" s="7">
        <v>0</v>
      </c>
      <c r="K1061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G16" sqref="G1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591</v>
      </c>
      <c r="F2">
        <v>603</v>
      </c>
      <c r="G2">
        <f>VLOOKUP(A2,PPL!B:N,13,0)</f>
        <v>603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604</v>
      </c>
      <c r="F3">
        <v>616</v>
      </c>
      <c r="G3">
        <f>VLOOKUP(A3,PPL!B:N,13,0)</f>
        <v>640</v>
      </c>
      <c r="H3">
        <f t="shared" ref="H3:H61" si="0">G3-F3</f>
        <v>24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715</v>
      </c>
      <c r="F4">
        <v>716</v>
      </c>
      <c r="G4">
        <f>VLOOKUP(A4,PPL!B:N,13,0)</f>
        <v>725</v>
      </c>
      <c r="H4">
        <f t="shared" si="0"/>
        <v>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646</v>
      </c>
      <c r="F5">
        <v>646</v>
      </c>
      <c r="G5">
        <f>VLOOKUP(A5,PPL!B:N,13,0)</f>
        <v>663</v>
      </c>
      <c r="H5">
        <f t="shared" si="0"/>
        <v>17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590</v>
      </c>
      <c r="F6">
        <v>626</v>
      </c>
      <c r="G6">
        <f>VLOOKUP(A6,PPL!B:N,13,0)</f>
        <v>654</v>
      </c>
      <c r="H6">
        <f t="shared" si="0"/>
        <v>28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586</v>
      </c>
      <c r="F7">
        <v>609</v>
      </c>
      <c r="G7">
        <f>VLOOKUP(A7,PPL!B:N,13,0)</f>
        <v>618</v>
      </c>
      <c r="H7">
        <f t="shared" si="0"/>
        <v>9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723</v>
      </c>
      <c r="F8">
        <v>723</v>
      </c>
      <c r="G8">
        <f>VLOOKUP(A8,PPL!B:N,13,0)</f>
        <v>723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683</v>
      </c>
      <c r="F9">
        <v>684</v>
      </c>
      <c r="G9">
        <f>VLOOKUP(A9,PPL!B:N,13,0)</f>
        <v>691</v>
      </c>
      <c r="H9">
        <f t="shared" si="0"/>
        <v>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649</v>
      </c>
      <c r="F10">
        <v>678</v>
      </c>
      <c r="G10">
        <f>VLOOKUP(A10,PPL!B:N,13,0)</f>
        <v>691</v>
      </c>
      <c r="H10">
        <f t="shared" si="0"/>
        <v>13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802</v>
      </c>
      <c r="F11">
        <v>802</v>
      </c>
      <c r="G11">
        <f>VLOOKUP(A11,PPL!B:N,13,0)</f>
        <v>802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667</v>
      </c>
      <c r="F12">
        <v>676</v>
      </c>
      <c r="G12">
        <f>VLOOKUP(A12,PPL!B:N,13,0)</f>
        <v>697</v>
      </c>
      <c r="H12">
        <f t="shared" si="0"/>
        <v>21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794</v>
      </c>
      <c r="F13">
        <v>803</v>
      </c>
      <c r="G13">
        <f>VLOOKUP(A13,PPL!B:N,13,0)</f>
        <v>811</v>
      </c>
      <c r="H13">
        <f t="shared" si="0"/>
        <v>8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981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573</v>
      </c>
      <c r="F16">
        <v>588</v>
      </c>
      <c r="G16">
        <f>VLOOKUP(A16,PPL!B:N,13,0)</f>
        <v>657</v>
      </c>
      <c r="H16">
        <f t="shared" si="0"/>
        <v>69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773</v>
      </c>
      <c r="F17">
        <v>816</v>
      </c>
      <c r="G17">
        <f>VLOOKUP(A17,PPL!B:N,13,0)</f>
        <v>825</v>
      </c>
      <c r="H17">
        <f t="shared" si="0"/>
        <v>9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909</v>
      </c>
      <c r="F18">
        <v>910</v>
      </c>
      <c r="G18">
        <f>VLOOKUP(A18,PPL!B:N,13,0)</f>
        <v>934</v>
      </c>
      <c r="H18">
        <f t="shared" si="0"/>
        <v>24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727</v>
      </c>
      <c r="F19">
        <v>727</v>
      </c>
      <c r="G19">
        <f>VLOOKUP(A19,PPL!B:N,13,0)</f>
        <v>728</v>
      </c>
      <c r="H19">
        <f t="shared" si="0"/>
        <v>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660</v>
      </c>
      <c r="F20">
        <v>679</v>
      </c>
      <c r="G20">
        <f>VLOOKUP(A20,PPL!B:N,13,0)</f>
        <v>690</v>
      </c>
      <c r="H20">
        <f t="shared" si="0"/>
        <v>11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675</v>
      </c>
      <c r="F21">
        <v>675</v>
      </c>
      <c r="G21">
        <f>VLOOKUP(A21,PPL!B:N,13,0)</f>
        <v>680</v>
      </c>
      <c r="H21">
        <f t="shared" si="0"/>
        <v>5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665</v>
      </c>
      <c r="F22">
        <v>672</v>
      </c>
      <c r="G22">
        <f>VLOOKUP(A22,PPL!B:N,13,0)</f>
        <v>681</v>
      </c>
      <c r="H22">
        <f t="shared" si="0"/>
        <v>9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904</v>
      </c>
      <c r="F23">
        <v>909</v>
      </c>
      <c r="G23">
        <f>VLOOKUP(A23,PPL!B:N,13,0)</f>
        <v>913</v>
      </c>
      <c r="H23">
        <f t="shared" si="0"/>
        <v>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553</v>
      </c>
      <c r="F24">
        <v>609</v>
      </c>
      <c r="G24">
        <f>VLOOKUP(A24,PPL!B:N,13,0)</f>
        <v>648</v>
      </c>
      <c r="H24">
        <f t="shared" si="0"/>
        <v>39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861</v>
      </c>
      <c r="F25">
        <v>862</v>
      </c>
      <c r="G25">
        <f>VLOOKUP(A25,PPL!B:N,13,0)</f>
        <v>862</v>
      </c>
      <c r="H25">
        <f t="shared" si="0"/>
        <v>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753</v>
      </c>
      <c r="F26">
        <v>798</v>
      </c>
      <c r="G26">
        <f>VLOOKUP(A26,PPL!B:N,13,0)</f>
        <v>835</v>
      </c>
      <c r="H26">
        <f t="shared" si="0"/>
        <v>37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644</v>
      </c>
      <c r="F27">
        <v>667</v>
      </c>
      <c r="G27">
        <f>VLOOKUP(A27,PPL!B:N,13,0)</f>
        <v>681</v>
      </c>
      <c r="H27">
        <f t="shared" si="0"/>
        <v>14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688</v>
      </c>
      <c r="F28">
        <v>714</v>
      </c>
      <c r="G28">
        <f>VLOOKUP(A28,PPL!B:N,13,0)</f>
        <v>732</v>
      </c>
      <c r="H28">
        <f t="shared" si="0"/>
        <v>18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656</v>
      </c>
      <c r="F29">
        <v>666</v>
      </c>
      <c r="G29">
        <f>VLOOKUP(A29,PPL!B:N,13,0)</f>
        <v>666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626</v>
      </c>
      <c r="F30">
        <v>626</v>
      </c>
      <c r="G30">
        <f>VLOOKUP(A30,PPL!B:N,13,0)</f>
        <v>628</v>
      </c>
      <c r="H30">
        <f t="shared" si="0"/>
        <v>2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761</v>
      </c>
      <c r="F31">
        <v>771</v>
      </c>
      <c r="G31">
        <f>VLOOKUP(A31,PPL!B:N,13,0)</f>
        <v>780</v>
      </c>
      <c r="H31">
        <f t="shared" si="0"/>
        <v>9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877</v>
      </c>
      <c r="F32">
        <v>878</v>
      </c>
      <c r="G32">
        <f>VLOOKUP(A32,PPL!B:N,13,0)</f>
        <v>897</v>
      </c>
      <c r="H32">
        <f t="shared" si="0"/>
        <v>19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809</v>
      </c>
      <c r="F33">
        <v>809</v>
      </c>
      <c r="G33">
        <f>VLOOKUP(A33,PPL!B:N,13,0)</f>
        <v>814</v>
      </c>
      <c r="H33">
        <f t="shared" si="0"/>
        <v>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607</v>
      </c>
      <c r="F34">
        <v>612</v>
      </c>
      <c r="G34">
        <f>VLOOKUP(A34,PPL!B:N,13,0)</f>
        <v>612</v>
      </c>
      <c r="H34">
        <f t="shared" si="0"/>
        <v>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486</v>
      </c>
      <c r="F35">
        <v>487</v>
      </c>
      <c r="G35">
        <f>VLOOKUP(A35,PPL!B:N,13,0)</f>
        <v>509</v>
      </c>
      <c r="H35">
        <f t="shared" si="0"/>
        <v>22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916</v>
      </c>
      <c r="F36">
        <v>920</v>
      </c>
      <c r="G36">
        <f>VLOOKUP(A36,PPL!B:N,13,0)</f>
        <v>938</v>
      </c>
      <c r="H36">
        <f t="shared" si="0"/>
        <v>18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688</v>
      </c>
      <c r="F37">
        <v>727</v>
      </c>
      <c r="G37">
        <f>VLOOKUP(A37,PPL!B:N,13,0)</f>
        <v>737</v>
      </c>
      <c r="H37">
        <f t="shared" si="0"/>
        <v>10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765</v>
      </c>
      <c r="F38">
        <v>770</v>
      </c>
      <c r="G38">
        <f>VLOOKUP(A38,PPL!B:N,13,0)</f>
        <v>782</v>
      </c>
      <c r="H38">
        <f t="shared" si="0"/>
        <v>12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692</v>
      </c>
      <c r="F39">
        <v>695</v>
      </c>
      <c r="G39">
        <f>VLOOKUP(A39,PPL!B:N,13,0)</f>
        <v>705</v>
      </c>
      <c r="H39">
        <f t="shared" si="0"/>
        <v>10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641</v>
      </c>
      <c r="F40">
        <v>664</v>
      </c>
      <c r="G40">
        <f>VLOOKUP(A40,PPL!B:N,13,0)</f>
        <v>695</v>
      </c>
      <c r="H40">
        <f t="shared" si="0"/>
        <v>31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873</v>
      </c>
      <c r="F41">
        <v>879</v>
      </c>
      <c r="G41">
        <f>VLOOKUP(A41,PPL!B:N,13,0)</f>
        <v>900</v>
      </c>
      <c r="H41">
        <f t="shared" si="0"/>
        <v>21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445</v>
      </c>
      <c r="F42">
        <v>471</v>
      </c>
      <c r="G42">
        <f>VLOOKUP(A42,PPL!B:N,13,0)</f>
        <v>483</v>
      </c>
      <c r="H42">
        <f t="shared" si="0"/>
        <v>12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779</v>
      </c>
      <c r="F43">
        <v>787</v>
      </c>
      <c r="G43">
        <f>VLOOKUP(A43,PPL!B:N,13,0)</f>
        <v>790</v>
      </c>
      <c r="H43">
        <f t="shared" si="0"/>
        <v>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595</v>
      </c>
      <c r="F44">
        <v>595</v>
      </c>
      <c r="G44">
        <f>VLOOKUP(A44,PPL!B:N,13,0)</f>
        <v>595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627</v>
      </c>
      <c r="F45">
        <v>627</v>
      </c>
      <c r="G45">
        <f>VLOOKUP(A45,PPL!B:N,13,0)</f>
        <v>628</v>
      </c>
      <c r="H45">
        <f t="shared" si="0"/>
        <v>1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656</v>
      </c>
      <c r="F46">
        <v>656</v>
      </c>
      <c r="G46">
        <f>VLOOKUP(A46,PPL!B:N,13,0)</f>
        <v>656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703</v>
      </c>
      <c r="F47">
        <v>708</v>
      </c>
      <c r="G47">
        <f>VLOOKUP(A47,PPL!B:N,13,0)</f>
        <v>708</v>
      </c>
      <c r="H47">
        <f t="shared" si="0"/>
        <v>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690</v>
      </c>
      <c r="F48">
        <v>693</v>
      </c>
      <c r="G48">
        <f>VLOOKUP(A48,PPL!B:N,13,0)</f>
        <v>696</v>
      </c>
      <c r="H48">
        <f t="shared" si="0"/>
        <v>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630</v>
      </c>
      <c r="F49">
        <v>633</v>
      </c>
      <c r="G49">
        <f>VLOOKUP(A49,PPL!B:N,13,0)</f>
        <v>637</v>
      </c>
      <c r="H49">
        <f t="shared" si="0"/>
        <v>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771</v>
      </c>
      <c r="F50">
        <v>769</v>
      </c>
      <c r="G50">
        <f>VLOOKUP(A50,PPL!B:N,13,0)</f>
        <v>769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657</v>
      </c>
      <c r="F51">
        <v>657</v>
      </c>
      <c r="G51">
        <f>VLOOKUP(A51,PPL!B:N,13,0)</f>
        <v>657</v>
      </c>
      <c r="H51">
        <f t="shared" si="0"/>
        <v>0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879</v>
      </c>
      <c r="F52">
        <v>879</v>
      </c>
      <c r="G52">
        <f>VLOOKUP(A52,PPL!B:N,13,0)</f>
        <v>879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665</v>
      </c>
      <c r="G53">
        <f>VLOOKUP(A53,PPL!B:N,13,0)</f>
        <v>665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713</v>
      </c>
      <c r="F54">
        <v>713</v>
      </c>
      <c r="G54">
        <f>VLOOKUP(A54,PPL!B:N,13,0)</f>
        <v>713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695</v>
      </c>
      <c r="F55">
        <v>691</v>
      </c>
      <c r="G55">
        <f>VLOOKUP(A55,PPL!B:N,13,0)</f>
        <v>696</v>
      </c>
      <c r="H55">
        <f t="shared" si="0"/>
        <v>5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677</v>
      </c>
      <c r="F56">
        <v>677</v>
      </c>
      <c r="G56">
        <f>VLOOKUP(A56,PPL!B:N,13,0)</f>
        <v>677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692</v>
      </c>
      <c r="F57">
        <v>697</v>
      </c>
      <c r="G57">
        <f>VLOOKUP(A57,PPL!B:N,13,0)</f>
        <v>707</v>
      </c>
      <c r="H57">
        <f t="shared" si="0"/>
        <v>10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703</v>
      </c>
      <c r="F58">
        <v>706</v>
      </c>
      <c r="G58">
        <f>VLOOKUP(A58,PPL!B:N,13,0)</f>
        <v>709</v>
      </c>
      <c r="H58">
        <f t="shared" si="0"/>
        <v>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761</v>
      </c>
      <c r="F59">
        <v>767</v>
      </c>
      <c r="G59">
        <f>VLOOKUP(A59,PPL!B:N,13,0)</f>
        <v>776</v>
      </c>
      <c r="H59">
        <f t="shared" si="0"/>
        <v>9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796</v>
      </c>
      <c r="F60">
        <v>797</v>
      </c>
      <c r="G60">
        <f>VLOOKUP(A60,PPL!B:N,13,0)</f>
        <v>802</v>
      </c>
      <c r="H60">
        <f t="shared" si="0"/>
        <v>5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766</v>
      </c>
      <c r="F61">
        <v>770</v>
      </c>
      <c r="G61">
        <f>VLOOKUP(A61,PPL!B:N,13,0)</f>
        <v>776</v>
      </c>
      <c r="H61">
        <f t="shared" si="0"/>
        <v>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768</v>
      </c>
      <c r="F62">
        <v>782</v>
      </c>
      <c r="G62">
        <f>VLOOKUP(A62,PPL!B:N,13,0)</f>
        <v>784</v>
      </c>
      <c r="H62">
        <f t="shared" ref="H62:H123" si="2">G62-F62</f>
        <v>2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906</v>
      </c>
      <c r="F63">
        <v>906</v>
      </c>
      <c r="G63">
        <f>VLOOKUP(A63,PPL!B:N,13,0)</f>
        <v>906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684</v>
      </c>
      <c r="F64">
        <v>684</v>
      </c>
      <c r="G64">
        <f>VLOOKUP(A64,PPL!B:N,13,0)</f>
        <v>684</v>
      </c>
      <c r="H64">
        <f t="shared" si="2"/>
        <v>0</v>
      </c>
      <c r="I64" t="b">
        <f t="shared" si="3"/>
        <v>1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694</v>
      </c>
      <c r="F65">
        <v>701</v>
      </c>
      <c r="G65">
        <f>VLOOKUP(A65,PPL!B:N,13,0)</f>
        <v>694</v>
      </c>
      <c r="H65">
        <f t="shared" si="2"/>
        <v>-7</v>
      </c>
      <c r="I65" t="b">
        <f t="shared" si="3"/>
        <v>1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477</v>
      </c>
      <c r="F66">
        <v>479</v>
      </c>
      <c r="G66">
        <f>VLOOKUP(A66,PPL!B:N,13,0)</f>
        <v>498</v>
      </c>
      <c r="H66">
        <f t="shared" si="2"/>
        <v>19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490</v>
      </c>
      <c r="F67">
        <v>514</v>
      </c>
      <c r="G67">
        <f>VLOOKUP(A67,PPL!B:N,13,0)</f>
        <v>523</v>
      </c>
      <c r="H67">
        <f t="shared" si="2"/>
        <v>9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516</v>
      </c>
      <c r="F68">
        <v>528</v>
      </c>
      <c r="G68">
        <f>VLOOKUP(A68,PPL!B:N,13,0)</f>
        <v>530</v>
      </c>
      <c r="H68">
        <f t="shared" si="2"/>
        <v>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457</v>
      </c>
      <c r="F69">
        <v>476</v>
      </c>
      <c r="G69">
        <f>VLOOKUP(A69,PPL!B:N,13,0)</f>
        <v>477</v>
      </c>
      <c r="H69">
        <f t="shared" si="2"/>
        <v>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563</v>
      </c>
      <c r="F70">
        <v>564</v>
      </c>
      <c r="G70">
        <f>VLOOKUP(A70,PPL!B:N,13,0)</f>
        <v>571</v>
      </c>
      <c r="H70">
        <f t="shared" si="2"/>
        <v>7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473</v>
      </c>
      <c r="F71">
        <v>480</v>
      </c>
      <c r="G71">
        <f>VLOOKUP(A71,PPL!B:N,13,0)</f>
        <v>496</v>
      </c>
      <c r="H71">
        <f t="shared" si="2"/>
        <v>16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517</v>
      </c>
      <c r="F72">
        <v>525</v>
      </c>
      <c r="G72">
        <f>VLOOKUP(A72,PPL!B:N,13,0)</f>
        <v>538</v>
      </c>
      <c r="H72">
        <f t="shared" si="2"/>
        <v>13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502</v>
      </c>
      <c r="F73">
        <v>509</v>
      </c>
      <c r="G73">
        <f>VLOOKUP(A73,PPL!B:N,13,0)</f>
        <v>512</v>
      </c>
      <c r="H73">
        <f t="shared" si="2"/>
        <v>3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539</v>
      </c>
      <c r="F75">
        <v>542</v>
      </c>
      <c r="G75">
        <f>VLOOKUP(A75,PPL!B:N,13,0)</f>
        <v>542</v>
      </c>
      <c r="H75">
        <f t="shared" si="2"/>
        <v>0</v>
      </c>
      <c r="I75" t="b">
        <f t="shared" si="3"/>
        <v>0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461</v>
      </c>
      <c r="F76">
        <v>473</v>
      </c>
      <c r="G76">
        <f>VLOOKUP(A76,PPL!B:N,13,0)</f>
        <v>493</v>
      </c>
      <c r="H76">
        <f t="shared" si="2"/>
        <v>20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376</v>
      </c>
      <c r="F77">
        <v>388</v>
      </c>
      <c r="G77">
        <f>VLOOKUP(A77,PPL!B:N,13,0)</f>
        <v>403</v>
      </c>
      <c r="H77">
        <f t="shared" si="2"/>
        <v>15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440</v>
      </c>
      <c r="F78">
        <v>445</v>
      </c>
      <c r="G78">
        <f>VLOOKUP(A78,PPL!B:N,13,0)</f>
        <v>450</v>
      </c>
      <c r="H78">
        <f t="shared" si="2"/>
        <v>5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426</v>
      </c>
      <c r="F79">
        <v>441</v>
      </c>
      <c r="G79">
        <f>VLOOKUP(A79,PPL!B:N,13,0)</f>
        <v>452</v>
      </c>
      <c r="H79">
        <f t="shared" si="2"/>
        <v>11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401</v>
      </c>
      <c r="F80">
        <v>403</v>
      </c>
      <c r="G80">
        <f>VLOOKUP(A80,PPL!B:N,13,0)</f>
        <v>420</v>
      </c>
      <c r="H80">
        <f t="shared" si="2"/>
        <v>17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655</v>
      </c>
      <c r="F81">
        <v>680</v>
      </c>
      <c r="G81">
        <f>VLOOKUP(A81,PPL!B:N,13,0)</f>
        <v>681</v>
      </c>
      <c r="H81">
        <f t="shared" si="2"/>
        <v>1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707</v>
      </c>
      <c r="F82">
        <v>713</v>
      </c>
      <c r="G82">
        <f>VLOOKUP(A82,PPL!B:N,13,0)</f>
        <v>720</v>
      </c>
      <c r="H82">
        <f t="shared" si="2"/>
        <v>7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669</v>
      </c>
      <c r="F83">
        <v>687</v>
      </c>
      <c r="G83">
        <f>VLOOKUP(A83,PPL!B:N,13,0)</f>
        <v>692</v>
      </c>
      <c r="H83">
        <f t="shared" si="2"/>
        <v>5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589</v>
      </c>
      <c r="F84">
        <v>604</v>
      </c>
      <c r="G84">
        <f>VLOOKUP(A84,PPL!B:N,13,0)</f>
        <v>608</v>
      </c>
      <c r="H84">
        <f t="shared" si="2"/>
        <v>4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488</v>
      </c>
      <c r="F85">
        <v>493</v>
      </c>
      <c r="G85">
        <f>VLOOKUP(A85,PPL!B:N,13,0)</f>
        <v>496</v>
      </c>
      <c r="H85">
        <f t="shared" si="2"/>
        <v>3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667</v>
      </c>
      <c r="F86">
        <v>681</v>
      </c>
      <c r="G86">
        <f>VLOOKUP(A86,PPL!B:N,13,0)</f>
        <v>691</v>
      </c>
      <c r="H86">
        <f t="shared" si="2"/>
        <v>10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445</v>
      </c>
      <c r="F87">
        <v>549</v>
      </c>
      <c r="G87">
        <f>VLOOKUP(A87,PPL!B:N,13,0)</f>
        <v>560</v>
      </c>
      <c r="H87">
        <f t="shared" si="2"/>
        <v>11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487</v>
      </c>
      <c r="F88">
        <v>512</v>
      </c>
      <c r="G88">
        <f>VLOOKUP(A88,PPL!B:N,13,0)</f>
        <v>533</v>
      </c>
      <c r="H88">
        <f t="shared" si="2"/>
        <v>21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524</v>
      </c>
      <c r="F89">
        <v>543</v>
      </c>
      <c r="G89">
        <f>VLOOKUP(A89,PPL!B:N,13,0)</f>
        <v>562</v>
      </c>
      <c r="H89">
        <f t="shared" si="2"/>
        <v>19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546</v>
      </c>
      <c r="F90">
        <v>565</v>
      </c>
      <c r="G90">
        <f>VLOOKUP(A90,PPL!B:N,13,0)</f>
        <v>566</v>
      </c>
      <c r="H90">
        <f t="shared" si="2"/>
        <v>1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409</v>
      </c>
      <c r="F91">
        <v>416</v>
      </c>
      <c r="G91">
        <f>VLOOKUP(A91,PPL!B:N,13,0)</f>
        <v>431</v>
      </c>
      <c r="H91">
        <f t="shared" si="2"/>
        <v>15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598</v>
      </c>
      <c r="F92">
        <v>600</v>
      </c>
      <c r="G92">
        <f>VLOOKUP(A92,PPL!B:N,13,0)</f>
        <v>616</v>
      </c>
      <c r="H92">
        <f t="shared" si="2"/>
        <v>16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644</v>
      </c>
      <c r="F93">
        <v>672</v>
      </c>
      <c r="G93">
        <f>VLOOKUP(A93,PPL!B:N,13,0)</f>
        <v>704</v>
      </c>
      <c r="H93">
        <f t="shared" si="2"/>
        <v>32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796</v>
      </c>
      <c r="F95">
        <v>800</v>
      </c>
      <c r="G95">
        <f>VLOOKUP(A95,PPL!B:N,13,0)</f>
        <v>800</v>
      </c>
      <c r="H95">
        <f t="shared" si="2"/>
        <v>0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545</v>
      </c>
      <c r="F96">
        <v>557</v>
      </c>
      <c r="G96">
        <f>VLOOKUP(A96,PPL!B:N,13,0)</f>
        <v>563</v>
      </c>
      <c r="H96">
        <f t="shared" si="2"/>
        <v>6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518</v>
      </c>
      <c r="F97">
        <v>518</v>
      </c>
      <c r="G97">
        <f>VLOOKUP(A97,PPL!B:N,13,0)</f>
        <v>528</v>
      </c>
      <c r="H97">
        <f t="shared" si="2"/>
        <v>10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546</v>
      </c>
      <c r="F98">
        <v>567</v>
      </c>
      <c r="G98">
        <f>VLOOKUP(A98,PPL!B:N,13,0)</f>
        <v>587</v>
      </c>
      <c r="H98">
        <f t="shared" si="2"/>
        <v>20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671</v>
      </c>
      <c r="F99">
        <v>677</v>
      </c>
      <c r="G99">
        <f>VLOOKUP(A99,PPL!B:N,13,0)</f>
        <v>693</v>
      </c>
      <c r="H99">
        <f t="shared" si="2"/>
        <v>16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883</v>
      </c>
      <c r="F100">
        <v>888</v>
      </c>
      <c r="G100">
        <f>VLOOKUP(A100,PPL!B:N,13,0)</f>
        <v>889</v>
      </c>
      <c r="H100">
        <f t="shared" si="2"/>
        <v>1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591</v>
      </c>
      <c r="F101">
        <v>673</v>
      </c>
      <c r="G101">
        <f>VLOOKUP(A101,PPL!B:N,13,0)</f>
        <v>673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731</v>
      </c>
      <c r="F102">
        <v>744</v>
      </c>
      <c r="G102">
        <f>VLOOKUP(A102,PPL!B:N,13,0)</f>
        <v>760</v>
      </c>
      <c r="H102">
        <f t="shared" si="2"/>
        <v>16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607</v>
      </c>
      <c r="F103">
        <v>633</v>
      </c>
      <c r="G103">
        <f>VLOOKUP(A103,PPL!B:N,13,0)</f>
        <v>655</v>
      </c>
      <c r="H103">
        <f t="shared" si="2"/>
        <v>22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629</v>
      </c>
      <c r="F104">
        <v>634</v>
      </c>
      <c r="G104">
        <f>VLOOKUP(A104,PPL!B:N,13,0)</f>
        <v>656</v>
      </c>
      <c r="H104">
        <f t="shared" si="2"/>
        <v>22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489</v>
      </c>
      <c r="F105">
        <v>497</v>
      </c>
      <c r="G105">
        <f>VLOOKUP(A105,PPL!B:N,13,0)</f>
        <v>520</v>
      </c>
      <c r="H105">
        <f t="shared" si="2"/>
        <v>23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741</v>
      </c>
      <c r="F106">
        <v>741</v>
      </c>
      <c r="G106">
        <f>VLOOKUP(A106,PPL!B:N,13,0)</f>
        <v>742</v>
      </c>
      <c r="H106">
        <f t="shared" si="2"/>
        <v>1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517</v>
      </c>
      <c r="F107">
        <v>517</v>
      </c>
      <c r="G107">
        <f>VLOOKUP(A107,PPL!B:N,13,0)</f>
        <v>549</v>
      </c>
      <c r="H107">
        <f t="shared" si="2"/>
        <v>32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486</v>
      </c>
      <c r="F108">
        <v>493</v>
      </c>
      <c r="G108">
        <f>VLOOKUP(A108,PPL!B:N,13,0)</f>
        <v>494</v>
      </c>
      <c r="H108">
        <f t="shared" si="2"/>
        <v>1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546</v>
      </c>
      <c r="F109">
        <v>546</v>
      </c>
      <c r="G109">
        <f>VLOOKUP(A109,PPL!B:N,13,0)</f>
        <v>551</v>
      </c>
      <c r="H109">
        <f t="shared" si="2"/>
        <v>5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549</v>
      </c>
      <c r="F110">
        <v>566</v>
      </c>
      <c r="G110">
        <f>VLOOKUP(A110,PPL!B:N,13,0)</f>
        <v>569</v>
      </c>
      <c r="H110">
        <f t="shared" si="2"/>
        <v>3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663</v>
      </c>
      <c r="F111">
        <v>667</v>
      </c>
      <c r="G111">
        <f>VLOOKUP(A111,PPL!B:N,13,0)</f>
        <v>668</v>
      </c>
      <c r="H111">
        <f t="shared" si="2"/>
        <v>1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469</v>
      </c>
      <c r="F112">
        <v>497</v>
      </c>
      <c r="G112">
        <f>VLOOKUP(A112,PPL!B:N,13,0)</f>
        <v>563</v>
      </c>
      <c r="H112">
        <f t="shared" si="2"/>
        <v>66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724</v>
      </c>
      <c r="F113">
        <v>758</v>
      </c>
      <c r="G113">
        <f>VLOOKUP(A113,PPL!B:N,13,0)</f>
        <v>798</v>
      </c>
      <c r="H113">
        <f t="shared" si="2"/>
        <v>40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696</v>
      </c>
      <c r="F114">
        <v>699</v>
      </c>
      <c r="G114">
        <f>VLOOKUP(A114,PPL!B:N,13,0)</f>
        <v>704</v>
      </c>
      <c r="H114">
        <f t="shared" si="2"/>
        <v>5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843</v>
      </c>
      <c r="F115">
        <v>854</v>
      </c>
      <c r="G115">
        <f>VLOOKUP(A115,PPL!B:N,13,0)</f>
        <v>854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544</v>
      </c>
      <c r="F116">
        <v>546</v>
      </c>
      <c r="G116">
        <f>VLOOKUP(A116,PPL!B:N,13,0)</f>
        <v>554</v>
      </c>
      <c r="H116">
        <f t="shared" si="2"/>
        <v>8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554</v>
      </c>
      <c r="F117">
        <v>554</v>
      </c>
      <c r="G117">
        <f>VLOOKUP(A117,PPL!B:N,13,0)</f>
        <v>554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556</v>
      </c>
      <c r="F118">
        <v>588</v>
      </c>
      <c r="G118">
        <f>VLOOKUP(A118,PPL!B:N,13,0)</f>
        <v>601</v>
      </c>
      <c r="H118">
        <f t="shared" si="2"/>
        <v>13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575</v>
      </c>
      <c r="F119">
        <v>576</v>
      </c>
      <c r="G119">
        <f>VLOOKUP(A119,PPL!B:N,13,0)</f>
        <v>576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463</v>
      </c>
      <c r="F120">
        <v>491</v>
      </c>
      <c r="G120">
        <f>VLOOKUP(A120,PPL!B:N,13,0)</f>
        <v>499</v>
      </c>
      <c r="H120">
        <f t="shared" si="2"/>
        <v>8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631</v>
      </c>
      <c r="F122">
        <v>631</v>
      </c>
      <c r="G122">
        <f>VLOOKUP(A122,PPL!B:N,13,0)</f>
        <v>631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633</v>
      </c>
      <c r="F123">
        <v>635</v>
      </c>
      <c r="G123">
        <f>VLOOKUP(A123,PPL!B:N,13,0)</f>
        <v>638</v>
      </c>
      <c r="H123">
        <f t="shared" si="2"/>
        <v>3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748</v>
      </c>
      <c r="F124">
        <v>748</v>
      </c>
      <c r="G124">
        <f>VLOOKUP(A124,PPL!B:N,13,0)</f>
        <v>748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588</v>
      </c>
      <c r="F125">
        <v>642</v>
      </c>
      <c r="G125">
        <f>VLOOKUP(A125,PPL!B:N,13,0)</f>
        <v>643</v>
      </c>
      <c r="H125">
        <f t="shared" si="4"/>
        <v>1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594</v>
      </c>
      <c r="F126">
        <v>619</v>
      </c>
      <c r="G126">
        <f>VLOOKUP(A126,PPL!B:N,13,0)</f>
        <v>630</v>
      </c>
      <c r="H126">
        <f t="shared" si="4"/>
        <v>11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624</v>
      </c>
      <c r="F127">
        <v>638</v>
      </c>
      <c r="G127">
        <f>VLOOKUP(A127,PPL!B:N,13,0)</f>
        <v>687</v>
      </c>
      <c r="H127">
        <f t="shared" si="4"/>
        <v>49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512</v>
      </c>
      <c r="F128">
        <v>530</v>
      </c>
      <c r="G128">
        <f>VLOOKUP(A128,PPL!B:N,13,0)</f>
        <v>549</v>
      </c>
      <c r="H128">
        <f t="shared" si="4"/>
        <v>19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702</v>
      </c>
      <c r="F129">
        <v>787</v>
      </c>
      <c r="G129">
        <f>VLOOKUP(A129,PPL!B:N,13,0)</f>
        <v>796</v>
      </c>
      <c r="H129">
        <f t="shared" si="4"/>
        <v>9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640</v>
      </c>
      <c r="F130">
        <v>656</v>
      </c>
      <c r="G130">
        <f>VLOOKUP(A130,PPL!B:N,13,0)</f>
        <v>672</v>
      </c>
      <c r="H130">
        <f t="shared" si="4"/>
        <v>16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604</v>
      </c>
      <c r="F131">
        <v>607</v>
      </c>
      <c r="G131">
        <f>VLOOKUP(A131,PPL!B:N,13,0)</f>
        <v>627</v>
      </c>
      <c r="H131">
        <f t="shared" si="4"/>
        <v>20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674</v>
      </c>
      <c r="F132">
        <v>692</v>
      </c>
      <c r="G132">
        <f>VLOOKUP(A132,PPL!B:N,13,0)</f>
        <v>720</v>
      </c>
      <c r="H132">
        <f t="shared" si="4"/>
        <v>28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3090</v>
      </c>
      <c r="F133">
        <v>3090</v>
      </c>
      <c r="G133">
        <f>VLOOKUP(A133,PML!A:K,11,0)</f>
        <v>3089</v>
      </c>
      <c r="H133">
        <f t="shared" si="4"/>
        <v>-1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3167</v>
      </c>
      <c r="F134">
        <v>3250</v>
      </c>
      <c r="G134">
        <f>VLOOKUP(A134,PML!A:K,11,0)</f>
        <v>3358</v>
      </c>
      <c r="H134">
        <f t="shared" si="4"/>
        <v>108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4633</v>
      </c>
      <c r="F135">
        <v>4630</v>
      </c>
      <c r="G135">
        <f>VLOOKUP(A135,PML!A:K,11,0)</f>
        <v>4636</v>
      </c>
      <c r="H135">
        <f t="shared" si="4"/>
        <v>6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4311</v>
      </c>
      <c r="F136">
        <v>4309</v>
      </c>
      <c r="G136">
        <f>VLOOKUP(A136,PML!A:K,11,0)</f>
        <v>4341</v>
      </c>
      <c r="H136">
        <f t="shared" si="4"/>
        <v>32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3508</v>
      </c>
      <c r="F137">
        <v>3508</v>
      </c>
      <c r="G137">
        <f>VLOOKUP(A137,PML!A:K,11,0)</f>
        <v>3505</v>
      </c>
      <c r="H137">
        <f t="shared" si="4"/>
        <v>-3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2716</v>
      </c>
      <c r="F138">
        <v>2789</v>
      </c>
      <c r="G138">
        <f>VLOOKUP(A138,PML!A:K,11,0)</f>
        <v>2858</v>
      </c>
      <c r="H138">
        <f t="shared" si="4"/>
        <v>69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2622</v>
      </c>
      <c r="F139">
        <v>2620</v>
      </c>
      <c r="G139">
        <f>VLOOKUP(A139,PML!A:K,11,0)</f>
        <v>2617</v>
      </c>
      <c r="H139">
        <f t="shared" si="4"/>
        <v>-3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4058</v>
      </c>
      <c r="F140">
        <v>4100</v>
      </c>
      <c r="G140">
        <f>VLOOKUP(A140,PML!A:K,11,0)</f>
        <v>4192</v>
      </c>
      <c r="H140">
        <f t="shared" si="4"/>
        <v>92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3450</v>
      </c>
      <c r="F141">
        <v>3788</v>
      </c>
      <c r="G141">
        <f>VLOOKUP(A141,PML!A:K,11,0)</f>
        <v>3883</v>
      </c>
      <c r="H141">
        <f t="shared" si="4"/>
        <v>95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2413</v>
      </c>
      <c r="F142">
        <v>2433</v>
      </c>
      <c r="G142">
        <f>VLOOKUP(A142,PML!A:K,11,0)</f>
        <v>2455</v>
      </c>
      <c r="H142">
        <f t="shared" si="4"/>
        <v>22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2896</v>
      </c>
      <c r="F143">
        <v>3052</v>
      </c>
      <c r="G143">
        <f>VLOOKUP(A143,PML!A:K,11,0)</f>
        <v>3149</v>
      </c>
      <c r="H143">
        <f t="shared" si="4"/>
        <v>97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3021</v>
      </c>
      <c r="F144">
        <v>3542</v>
      </c>
      <c r="G144">
        <f>VLOOKUP(A144,PML!A:K,11,0)</f>
        <v>3542</v>
      </c>
      <c r="H144">
        <f t="shared" si="4"/>
        <v>0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2062</v>
      </c>
      <c r="F145">
        <v>2061</v>
      </c>
      <c r="G145">
        <f>VLOOKUP(A145,PML!A:K,11,0)</f>
        <v>2065</v>
      </c>
      <c r="H145">
        <f t="shared" si="4"/>
        <v>4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1774</v>
      </c>
      <c r="F146">
        <v>1768</v>
      </c>
      <c r="G146">
        <f>VLOOKUP(A146,PML!A:K,11,0)</f>
        <v>1746</v>
      </c>
      <c r="H146">
        <f t="shared" si="4"/>
        <v>-22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3939</v>
      </c>
      <c r="F147">
        <v>4222</v>
      </c>
      <c r="G147">
        <f>VLOOKUP(A147,PML!A:K,11,0)</f>
        <v>4248</v>
      </c>
      <c r="H147">
        <f t="shared" si="4"/>
        <v>26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4045</v>
      </c>
      <c r="F148">
        <v>4074</v>
      </c>
      <c r="G148">
        <f>VLOOKUP(A148,PML!A:K,11,0)</f>
        <v>4253</v>
      </c>
      <c r="H148">
        <f t="shared" si="4"/>
        <v>179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4035</v>
      </c>
      <c r="F149">
        <v>4035</v>
      </c>
      <c r="G149">
        <f>VLOOKUP(A149,PML!A:K,11,0)</f>
        <v>4173</v>
      </c>
      <c r="H149">
        <f t="shared" si="4"/>
        <v>138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3032</v>
      </c>
      <c r="F150">
        <v>3052</v>
      </c>
      <c r="G150">
        <f>VLOOKUP(A150,PML!A:K,11,0)</f>
        <v>3219</v>
      </c>
      <c r="H150">
        <f t="shared" si="4"/>
        <v>167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4756</v>
      </c>
      <c r="F151">
        <v>5147</v>
      </c>
      <c r="G151">
        <f>VLOOKUP(A151,PML!A:K,11,0)</f>
        <v>5183</v>
      </c>
      <c r="H151">
        <f t="shared" si="4"/>
        <v>36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516</v>
      </c>
      <c r="F152">
        <v>563</v>
      </c>
      <c r="G152">
        <f>VLOOKUP(A152,PPL!B:N,13,0)</f>
        <v>596</v>
      </c>
      <c r="H152">
        <f t="shared" ref="H152" si="6">G152-F152</f>
        <v>33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479</v>
      </c>
      <c r="F153">
        <v>487</v>
      </c>
      <c r="G153">
        <f>VLOOKUP(A153,PPL!B:N,13,0)</f>
        <v>494</v>
      </c>
      <c r="H153">
        <f t="shared" ref="H153:H155" si="8">G153-F153</f>
        <v>7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502</v>
      </c>
      <c r="F154">
        <v>503</v>
      </c>
      <c r="G154">
        <f>VLOOKUP(A154,PPL!B:N,13,0)</f>
        <v>510</v>
      </c>
      <c r="H154">
        <f t="shared" si="8"/>
        <v>7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658</v>
      </c>
      <c r="F155">
        <v>670</v>
      </c>
      <c r="G155">
        <f>VLOOKUP(A155,PPL!B:N,13,0)</f>
        <v>689</v>
      </c>
      <c r="H155">
        <f t="shared" si="8"/>
        <v>19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971</v>
      </c>
      <c r="F156">
        <v>987</v>
      </c>
      <c r="G156">
        <f>VLOOKUP(A156,PPL!B:N,13,0)</f>
        <v>988</v>
      </c>
      <c r="H156">
        <f t="shared" ref="H156:H158" si="10">G156-F156</f>
        <v>1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521</v>
      </c>
      <c r="F157">
        <v>533</v>
      </c>
      <c r="G157">
        <f>VLOOKUP(A157,PPL!B:N,13,0)</f>
        <v>548</v>
      </c>
      <c r="H157">
        <f t="shared" si="10"/>
        <v>15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462</v>
      </c>
      <c r="F158">
        <v>482</v>
      </c>
      <c r="G158">
        <f>VLOOKUP(A158,PPL!B:N,13,0)</f>
        <v>503</v>
      </c>
      <c r="H158">
        <f t="shared" si="10"/>
        <v>21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667</v>
      </c>
      <c r="F2">
        <f>SUMIF(DATA!$A:$A,PPL!$A2,DATA!D:D)</f>
        <v>541</v>
      </c>
      <c r="G2">
        <f>SUMIF(DATA!$A:$A,PPL!$A2,DATA!E:E)</f>
        <v>25</v>
      </c>
      <c r="H2">
        <f>SUMIF(DATA!$A:$A,PPL!$A2,DATA!F:F)</f>
        <v>39</v>
      </c>
      <c r="I2">
        <f>SUMIF(DATA!$A:$A,PPL!$A2,DATA!G:G)</f>
        <v>8</v>
      </c>
      <c r="J2">
        <f>SUMIF(DATA!$A:$A,PPL!$A2,DATA!H:H)</f>
        <v>0</v>
      </c>
      <c r="K2">
        <f>SUMIF(DATA!$A:$A,PPL!$A2,DATA!I:I)</f>
        <v>54</v>
      </c>
      <c r="L2">
        <f>SUMIF(DATA!$A:$A,PPL!$A2,DATA!J:J)</f>
        <v>0</v>
      </c>
      <c r="M2">
        <f t="shared" ref="M2:M33" si="0">N2-Q2</f>
        <v>418</v>
      </c>
      <c r="N2">
        <f>F2+I2+J2+K2+L2</f>
        <v>603</v>
      </c>
      <c r="O2" s="3">
        <f>(N2/E2)*100</f>
        <v>90.404797601199405</v>
      </c>
      <c r="P2">
        <f>CEILING((E2-N2)/1,1)</f>
        <v>64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543</v>
      </c>
      <c r="G3">
        <f>SUMIF(DATA!$A:$A,PPL!$A3,DATA!E:E)</f>
        <v>3</v>
      </c>
      <c r="H3">
        <f>SUMIF(DATA!$A:$A,PPL!$A3,DATA!F:F)</f>
        <v>0</v>
      </c>
      <c r="I3">
        <f>SUMIF(DATA!$A:$A,PPL!$A3,DATA!G:G)</f>
        <v>3</v>
      </c>
      <c r="J3">
        <f>SUMIF(DATA!$A:$A,PPL!$A3,DATA!H:H)</f>
        <v>1</v>
      </c>
      <c r="K3">
        <f>SUMIF(DATA!$A:$A,PPL!$A3,DATA!I:I)</f>
        <v>93</v>
      </c>
      <c r="L3">
        <f>SUMIF(DATA!$A:$A,PPL!$A3,DATA!J:J)</f>
        <v>0</v>
      </c>
      <c r="M3">
        <f t="shared" si="0"/>
        <v>429</v>
      </c>
      <c r="N3">
        <f t="shared" ref="N3:N62" si="1">F3+I3+J3+K3+L3</f>
        <v>640</v>
      </c>
      <c r="O3" s="3">
        <f t="shared" ref="O3:O62" si="2">(N3/E3)*100</f>
        <v>99.533437013996888</v>
      </c>
      <c r="P3">
        <f t="shared" ref="P3:P66" si="3">CEILING((E3-N3)/1,1)</f>
        <v>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725</v>
      </c>
      <c r="F4">
        <f>SUMIF(DATA!$A:$A,PPL!$A4,DATA!D:D)</f>
        <v>612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113</v>
      </c>
      <c r="L4">
        <f>SUMIF(DATA!$A:$A,PPL!$A4,DATA!J:J)</f>
        <v>0</v>
      </c>
      <c r="M4">
        <f t="shared" si="0"/>
        <v>427</v>
      </c>
      <c r="N4">
        <f t="shared" si="1"/>
        <v>725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700</v>
      </c>
      <c r="F5">
        <f>SUMIF(DATA!$A:$A,PPL!$A5,DATA!D:D)</f>
        <v>491</v>
      </c>
      <c r="G5">
        <f>SUMIF(DATA!$A:$A,PPL!$A5,DATA!E:E)</f>
        <v>19</v>
      </c>
      <c r="H5">
        <f>SUMIF(DATA!$A:$A,PPL!$A5,DATA!F:F)</f>
        <v>18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155</v>
      </c>
      <c r="L5">
        <f>SUMIF(DATA!$A:$A,PPL!$A5,DATA!J:J)</f>
        <v>0</v>
      </c>
      <c r="M5">
        <f t="shared" si="0"/>
        <v>342</v>
      </c>
      <c r="N5">
        <f t="shared" si="1"/>
        <v>663</v>
      </c>
      <c r="O5" s="3">
        <f t="shared" si="2"/>
        <v>94.714285714285722</v>
      </c>
      <c r="P5">
        <f t="shared" si="3"/>
        <v>37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776</v>
      </c>
      <c r="F6">
        <f>SUMIF(DATA!$A:$A,PPL!$A6,DATA!D:D)</f>
        <v>336</v>
      </c>
      <c r="G6">
        <f>SUMIF(DATA!$A:$A,PPL!$A6,DATA!E:E)</f>
        <v>57</v>
      </c>
      <c r="H6">
        <f>SUMIF(DATA!$A:$A,PPL!$A6,DATA!F:F)</f>
        <v>65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318</v>
      </c>
      <c r="L6">
        <f>SUMIF(DATA!$A:$A,PPL!$A6,DATA!J:J)</f>
        <v>0</v>
      </c>
      <c r="M6">
        <f t="shared" si="0"/>
        <v>488</v>
      </c>
      <c r="N6">
        <f t="shared" si="1"/>
        <v>654</v>
      </c>
      <c r="O6" s="3">
        <f t="shared" si="2"/>
        <v>84.278350515463913</v>
      </c>
      <c r="P6">
        <f t="shared" si="3"/>
        <v>122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655</v>
      </c>
      <c r="F7">
        <f>SUMIF(DATA!$A:$A,PPL!$A7,DATA!D:D)</f>
        <v>294</v>
      </c>
      <c r="G7">
        <f>SUMIF(DATA!$A:$A,PPL!$A7,DATA!E:E)</f>
        <v>24</v>
      </c>
      <c r="H7">
        <f>SUMIF(DATA!$A:$A,PPL!$A7,DATA!F:F)</f>
        <v>13</v>
      </c>
      <c r="I7">
        <f>SUMIF(DATA!$A:$A,PPL!$A7,DATA!G:G)</f>
        <v>2</v>
      </c>
      <c r="J7">
        <f>SUMIF(DATA!$A:$A,PPL!$A7,DATA!H:H)</f>
        <v>0</v>
      </c>
      <c r="K7">
        <f>SUMIF(DATA!$A:$A,PPL!$A7,DATA!I:I)</f>
        <v>322</v>
      </c>
      <c r="L7">
        <f>SUMIF(DATA!$A:$A,PPL!$A7,DATA!J:J)</f>
        <v>0</v>
      </c>
      <c r="M7">
        <f t="shared" si="0"/>
        <v>416</v>
      </c>
      <c r="N7">
        <f t="shared" si="1"/>
        <v>618</v>
      </c>
      <c r="O7" s="3">
        <f t="shared" si="2"/>
        <v>94.351145038167942</v>
      </c>
      <c r="P7">
        <f t="shared" si="3"/>
        <v>37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728</v>
      </c>
      <c r="F8">
        <f>SUMIF(DATA!$A:$A,PPL!$A8,DATA!D:D)</f>
        <v>718</v>
      </c>
      <c r="G8">
        <f>SUMIF(DATA!$A:$A,PPL!$A8,DATA!E:E)</f>
        <v>4</v>
      </c>
      <c r="H8">
        <f>SUMIF(DATA!$A:$A,PPL!$A8,DATA!F:F)</f>
        <v>1</v>
      </c>
      <c r="I8">
        <f>SUMIF(DATA!$A:$A,PPL!$A8,DATA!G:G)</f>
        <v>2</v>
      </c>
      <c r="J8">
        <f>SUMIF(DATA!$A:$A,PPL!$A8,DATA!H:H)</f>
        <v>2</v>
      </c>
      <c r="K8">
        <f>SUMIF(DATA!$A:$A,PPL!$A8,DATA!I:I)</f>
        <v>1</v>
      </c>
      <c r="L8">
        <f>SUMIF(DATA!$A:$A,PPL!$A8,DATA!J:J)</f>
        <v>0</v>
      </c>
      <c r="M8">
        <f t="shared" si="0"/>
        <v>521</v>
      </c>
      <c r="N8">
        <f t="shared" si="1"/>
        <v>723</v>
      </c>
      <c r="O8" s="3">
        <f t="shared" si="2"/>
        <v>99.313186813186817</v>
      </c>
      <c r="P8">
        <f t="shared" si="3"/>
        <v>5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715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23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272</v>
      </c>
      <c r="L9">
        <f>SUMIF(DATA!$A:$A,PPL!$A9,DATA!J:J)</f>
        <v>0</v>
      </c>
      <c r="M9">
        <f t="shared" si="0"/>
        <v>454</v>
      </c>
      <c r="N9">
        <f t="shared" si="1"/>
        <v>691</v>
      </c>
      <c r="O9" s="3">
        <f t="shared" si="2"/>
        <v>96.643356643356654</v>
      </c>
      <c r="P9">
        <f t="shared" si="3"/>
        <v>24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719</v>
      </c>
      <c r="F10">
        <f>SUMIF(DATA!$A:$A,PPL!$A10,DATA!D:D)</f>
        <v>444</v>
      </c>
      <c r="G10">
        <f>SUMIF(DATA!$A:$A,PPL!$A10,DATA!E:E)</f>
        <v>6</v>
      </c>
      <c r="H10">
        <f>SUMIF(DATA!$A:$A,PPL!$A10,DATA!F:F)</f>
        <v>22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247</v>
      </c>
      <c r="L10">
        <f>SUMIF(DATA!$A:$A,PPL!$A10,DATA!J:J)</f>
        <v>0</v>
      </c>
      <c r="M10">
        <f t="shared" si="0"/>
        <v>454</v>
      </c>
      <c r="N10">
        <f t="shared" si="1"/>
        <v>691</v>
      </c>
      <c r="O10" s="3">
        <f t="shared" si="2"/>
        <v>96.105702364395</v>
      </c>
      <c r="P10">
        <f t="shared" si="3"/>
        <v>28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662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17</v>
      </c>
      <c r="J11">
        <f>SUMIF(DATA!$A:$A,PPL!$A11,DATA!H:H)</f>
        <v>0</v>
      </c>
      <c r="K11">
        <f>SUMIF(DATA!$A:$A,PPL!$A11,DATA!I:I)</f>
        <v>123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756</v>
      </c>
      <c r="F12">
        <f>SUMIF(DATA!$A:$A,PPL!$A12,DATA!D:D)</f>
        <v>288</v>
      </c>
      <c r="G12">
        <f>SUMIF(DATA!$A:$A,PPL!$A12,DATA!E:E)</f>
        <v>10</v>
      </c>
      <c r="H12">
        <f>SUMIF(DATA!$A:$A,PPL!$A12,DATA!F:F)</f>
        <v>49</v>
      </c>
      <c r="I12">
        <f>SUMIF(DATA!$A:$A,PPL!$A12,DATA!G:G)</f>
        <v>6</v>
      </c>
      <c r="J12">
        <f>SUMIF(DATA!$A:$A,PPL!$A12,DATA!H:H)</f>
        <v>0</v>
      </c>
      <c r="K12">
        <f>SUMIF(DATA!$A:$A,PPL!$A12,DATA!I:I)</f>
        <v>403</v>
      </c>
      <c r="L12">
        <f>SUMIF(DATA!$A:$A,PPL!$A12,DATA!J:J)</f>
        <v>0</v>
      </c>
      <c r="M12">
        <f t="shared" si="0"/>
        <v>415</v>
      </c>
      <c r="N12">
        <f t="shared" si="1"/>
        <v>697</v>
      </c>
      <c r="O12" s="3">
        <f t="shared" si="2"/>
        <v>92.195767195767203</v>
      </c>
      <c r="P12">
        <f t="shared" si="3"/>
        <v>59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820</v>
      </c>
      <c r="F13">
        <f>SUMIF(DATA!$A:$A,PPL!$A13,DATA!D:D)</f>
        <v>628</v>
      </c>
      <c r="G13">
        <f>SUMIF(DATA!$A:$A,PPL!$A13,DATA!E:E)</f>
        <v>9</v>
      </c>
      <c r="H13">
        <f>SUMIF(DATA!$A:$A,PPL!$A13,DATA!F:F)</f>
        <v>0</v>
      </c>
      <c r="I13">
        <f>SUMIF(DATA!$A:$A,PPL!$A13,DATA!G:G)</f>
        <v>14</v>
      </c>
      <c r="J13">
        <f>SUMIF(DATA!$A:$A,PPL!$A13,DATA!H:H)</f>
        <v>0</v>
      </c>
      <c r="K13">
        <f>SUMIF(DATA!$A:$A,PPL!$A13,DATA!I:I)</f>
        <v>169</v>
      </c>
      <c r="L13">
        <f>SUMIF(DATA!$A:$A,PPL!$A13,DATA!J:J)</f>
        <v>0</v>
      </c>
      <c r="M13">
        <f t="shared" si="0"/>
        <v>588</v>
      </c>
      <c r="N13">
        <f t="shared" si="1"/>
        <v>811</v>
      </c>
      <c r="O13" s="3">
        <f t="shared" si="2"/>
        <v>98.902439024390247</v>
      </c>
      <c r="P13">
        <f t="shared" si="3"/>
        <v>9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770</v>
      </c>
      <c r="F14">
        <f>SUMIF(DATA!$A:$A,PPL!$A14,DATA!D:D)</f>
        <v>723</v>
      </c>
      <c r="G14">
        <f>SUMIF(DATA!$A:$A,PPL!$A14,DATA!E:E)</f>
        <v>8</v>
      </c>
      <c r="H14">
        <f>SUMIF(DATA!$A:$A,PPL!$A14,DATA!F:F)</f>
        <v>23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14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95.974025974025977</v>
      </c>
      <c r="P14">
        <f t="shared" si="3"/>
        <v>31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878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111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766</v>
      </c>
      <c r="F16">
        <f>SUMIF(DATA!$A:$A,PPL!$A16,DATA!D:D)</f>
        <v>396</v>
      </c>
      <c r="G16">
        <f>SUMIF(DATA!$A:$A,PPL!$A16,DATA!E:E)</f>
        <v>28</v>
      </c>
      <c r="H16">
        <f>SUMIF(DATA!$A:$A,PPL!$A16,DATA!F:F)</f>
        <v>81</v>
      </c>
      <c r="I16">
        <f>SUMIF(DATA!$A:$A,PPL!$A16,DATA!G:G)</f>
        <v>2</v>
      </c>
      <c r="J16">
        <f>SUMIF(DATA!$A:$A,PPL!$A16,DATA!H:H)</f>
        <v>0</v>
      </c>
      <c r="K16">
        <f>SUMIF(DATA!$A:$A,PPL!$A16,DATA!I:I)</f>
        <v>259</v>
      </c>
      <c r="L16">
        <f>SUMIF(DATA!$A:$A,PPL!$A16,DATA!J:J)</f>
        <v>0</v>
      </c>
      <c r="M16">
        <f t="shared" si="0"/>
        <v>440</v>
      </c>
      <c r="N16">
        <f t="shared" si="1"/>
        <v>657</v>
      </c>
      <c r="O16" s="3">
        <f t="shared" si="2"/>
        <v>85.770234986945169</v>
      </c>
      <c r="P16">
        <f t="shared" si="3"/>
        <v>109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831</v>
      </c>
      <c r="F17">
        <f>SUMIF(DATA!$A:$A,PPL!$A17,DATA!D:D)</f>
        <v>707</v>
      </c>
      <c r="G17">
        <f>SUMIF(DATA!$A:$A,PPL!$A17,DATA!E:E)</f>
        <v>0</v>
      </c>
      <c r="H17">
        <f>SUMIF(DATA!$A:$A,PPL!$A17,DATA!F:F)</f>
        <v>6</v>
      </c>
      <c r="I17">
        <f>SUMIF(DATA!$A:$A,PPL!$A17,DATA!G:G)</f>
        <v>4</v>
      </c>
      <c r="J17">
        <f>SUMIF(DATA!$A:$A,PPL!$A17,DATA!H:H)</f>
        <v>0</v>
      </c>
      <c r="K17">
        <f>SUMIF(DATA!$A:$A,PPL!$A17,DATA!I:I)</f>
        <v>114</v>
      </c>
      <c r="L17">
        <f>SUMIF(DATA!$A:$A,PPL!$A17,DATA!J:J)</f>
        <v>0</v>
      </c>
      <c r="M17">
        <f t="shared" si="0"/>
        <v>611</v>
      </c>
      <c r="N17">
        <f t="shared" si="1"/>
        <v>825</v>
      </c>
      <c r="O17" s="3">
        <f t="shared" si="2"/>
        <v>99.277978339350184</v>
      </c>
      <c r="P17">
        <f t="shared" si="3"/>
        <v>6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936</v>
      </c>
      <c r="F18">
        <f>SUMIF(DATA!$A:$A,PPL!$A18,DATA!D:D)</f>
        <v>486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31</v>
      </c>
      <c r="J18">
        <f>SUMIF(DATA!$A:$A,PPL!$A18,DATA!H:H)</f>
        <v>0</v>
      </c>
      <c r="K18">
        <f>SUMIF(DATA!$A:$A,PPL!$A18,DATA!I:I)</f>
        <v>417</v>
      </c>
      <c r="L18">
        <f>SUMIF(DATA!$A:$A,PPL!$A18,DATA!J:J)</f>
        <v>0</v>
      </c>
      <c r="M18">
        <f t="shared" si="0"/>
        <v>693</v>
      </c>
      <c r="N18">
        <f t="shared" si="1"/>
        <v>934</v>
      </c>
      <c r="O18" s="3">
        <f t="shared" si="2"/>
        <v>99.786324786324784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743</v>
      </c>
      <c r="F19">
        <f>SUMIF(DATA!$A:$A,PPL!$A19,DATA!D:D)</f>
        <v>635</v>
      </c>
      <c r="G19">
        <f>SUMIF(DATA!$A:$A,PPL!$A19,DATA!E:E)</f>
        <v>14</v>
      </c>
      <c r="H19">
        <f>SUMIF(DATA!$A:$A,PPL!$A19,DATA!F:F)</f>
        <v>1</v>
      </c>
      <c r="I19">
        <f>SUMIF(DATA!$A:$A,PPL!$A19,DATA!G:G)</f>
        <v>13</v>
      </c>
      <c r="J19">
        <f>SUMIF(DATA!$A:$A,PPL!$A19,DATA!H:H)</f>
        <v>0</v>
      </c>
      <c r="K19">
        <f>SUMIF(DATA!$A:$A,PPL!$A19,DATA!I:I)</f>
        <v>80</v>
      </c>
      <c r="L19">
        <f>SUMIF(DATA!$A:$A,PPL!$A19,DATA!J:J)</f>
        <v>0</v>
      </c>
      <c r="M19">
        <f t="shared" si="0"/>
        <v>571</v>
      </c>
      <c r="N19">
        <f t="shared" si="1"/>
        <v>728</v>
      </c>
      <c r="O19" s="3">
        <f t="shared" si="2"/>
        <v>97.98115746971736</v>
      </c>
      <c r="P19">
        <f t="shared" si="3"/>
        <v>15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756</v>
      </c>
      <c r="F20">
        <f>SUMIF(DATA!$A:$A,PPL!$A20,DATA!D:D)</f>
        <v>328</v>
      </c>
      <c r="G20">
        <f>SUMIF(DATA!$A:$A,PPL!$A20,DATA!E:E)</f>
        <v>16</v>
      </c>
      <c r="H20">
        <f>SUMIF(DATA!$A:$A,PPL!$A20,DATA!F:F)</f>
        <v>50</v>
      </c>
      <c r="I20">
        <f>SUMIF(DATA!$A:$A,PPL!$A20,DATA!G:G)</f>
        <v>30</v>
      </c>
      <c r="J20">
        <f>SUMIF(DATA!$A:$A,PPL!$A20,DATA!H:H)</f>
        <v>0</v>
      </c>
      <c r="K20">
        <f>SUMIF(DATA!$A:$A,PPL!$A20,DATA!I:I)</f>
        <v>332</v>
      </c>
      <c r="L20">
        <f>SUMIF(DATA!$A:$A,PPL!$A20,DATA!J:J)</f>
        <v>0</v>
      </c>
      <c r="M20">
        <f t="shared" si="0"/>
        <v>481</v>
      </c>
      <c r="N20">
        <f t="shared" si="1"/>
        <v>690</v>
      </c>
      <c r="O20" s="3">
        <f t="shared" si="2"/>
        <v>91.269841269841265</v>
      </c>
      <c r="P20">
        <f t="shared" si="3"/>
        <v>66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697</v>
      </c>
      <c r="F21">
        <f>SUMIF(DATA!$A:$A,PPL!$A21,DATA!D:D)</f>
        <v>579</v>
      </c>
      <c r="G21">
        <f>SUMIF(DATA!$A:$A,PPL!$A21,DATA!E:E)</f>
        <v>4</v>
      </c>
      <c r="H21">
        <f>SUMIF(DATA!$A:$A,PPL!$A21,DATA!F:F)</f>
        <v>13</v>
      </c>
      <c r="I21">
        <f>SUMIF(DATA!$A:$A,PPL!$A21,DATA!G:G)</f>
        <v>52</v>
      </c>
      <c r="J21">
        <f>SUMIF(DATA!$A:$A,PPL!$A21,DATA!H:H)</f>
        <v>1</v>
      </c>
      <c r="K21">
        <f>SUMIF(DATA!$A:$A,PPL!$A21,DATA!I:I)</f>
        <v>48</v>
      </c>
      <c r="L21">
        <f>SUMIF(DATA!$A:$A,PPL!$A21,DATA!J:J)</f>
        <v>0</v>
      </c>
      <c r="M21">
        <f t="shared" si="0"/>
        <v>501</v>
      </c>
      <c r="N21">
        <f t="shared" si="1"/>
        <v>680</v>
      </c>
      <c r="O21" s="3">
        <f t="shared" si="2"/>
        <v>97.560975609756099</v>
      </c>
      <c r="P21">
        <f t="shared" si="3"/>
        <v>17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886</v>
      </c>
      <c r="F22">
        <f>SUMIF(DATA!$A:$A,PPL!$A22,DATA!D:D)</f>
        <v>509</v>
      </c>
      <c r="G22">
        <f>SUMIF(DATA!$A:$A,PPL!$A22,DATA!E:E)</f>
        <v>84</v>
      </c>
      <c r="H22">
        <f>SUMIF(DATA!$A:$A,PPL!$A22,DATA!F:F)</f>
        <v>121</v>
      </c>
      <c r="I22">
        <f>SUMIF(DATA!$A:$A,PPL!$A22,DATA!G:G)</f>
        <v>33</v>
      </c>
      <c r="J22">
        <f>SUMIF(DATA!$A:$A,PPL!$A22,DATA!H:H)</f>
        <v>2</v>
      </c>
      <c r="K22">
        <f>SUMIF(DATA!$A:$A,PPL!$A22,DATA!I:I)</f>
        <v>137</v>
      </c>
      <c r="L22">
        <f>SUMIF(DATA!$A:$A,PPL!$A22,DATA!J:J)</f>
        <v>0</v>
      </c>
      <c r="M22">
        <f t="shared" si="0"/>
        <v>448</v>
      </c>
      <c r="N22">
        <f t="shared" si="1"/>
        <v>681</v>
      </c>
      <c r="O22" s="3">
        <f t="shared" si="2"/>
        <v>76.862302483069982</v>
      </c>
      <c r="P22">
        <f t="shared" si="3"/>
        <v>205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926</v>
      </c>
      <c r="F23">
        <f>SUMIF(DATA!$A:$A,PPL!$A23,DATA!D:D)</f>
        <v>804</v>
      </c>
      <c r="G23">
        <f>SUMIF(DATA!$A:$A,PPL!$A23,DATA!E:E)</f>
        <v>3</v>
      </c>
      <c r="H23">
        <f>SUMIF(DATA!$A:$A,PPL!$A23,DATA!F:F)</f>
        <v>10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106</v>
      </c>
      <c r="L23">
        <f>SUMIF(DATA!$A:$A,PPL!$A23,DATA!J:J)</f>
        <v>0</v>
      </c>
      <c r="M23">
        <f t="shared" si="0"/>
        <v>624</v>
      </c>
      <c r="N23">
        <f t="shared" si="1"/>
        <v>913</v>
      </c>
      <c r="O23" s="3">
        <f t="shared" si="2"/>
        <v>98.596112311015119</v>
      </c>
      <c r="P23">
        <f t="shared" si="3"/>
        <v>13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826</v>
      </c>
      <c r="F24">
        <f>SUMIF(DATA!$A:$A,PPL!$A24,DATA!D:D)</f>
        <v>333</v>
      </c>
      <c r="G24">
        <f>SUMIF(DATA!$A:$A,PPL!$A24,DATA!E:E)</f>
        <v>56</v>
      </c>
      <c r="H24">
        <f>SUMIF(DATA!$A:$A,PPL!$A24,DATA!F:F)</f>
        <v>122</v>
      </c>
      <c r="I24">
        <f>SUMIF(DATA!$A:$A,PPL!$A24,DATA!G:G)</f>
        <v>37</v>
      </c>
      <c r="J24">
        <f>SUMIF(DATA!$A:$A,PPL!$A24,DATA!H:H)</f>
        <v>0</v>
      </c>
      <c r="K24">
        <f>SUMIF(DATA!$A:$A,PPL!$A24,DATA!I:I)</f>
        <v>278</v>
      </c>
      <c r="L24">
        <f>SUMIF(DATA!$A:$A,PPL!$A24,DATA!J:J)</f>
        <v>0</v>
      </c>
      <c r="M24">
        <f t="shared" si="0"/>
        <v>426</v>
      </c>
      <c r="N24">
        <f t="shared" si="1"/>
        <v>648</v>
      </c>
      <c r="O24" s="3">
        <f t="shared" si="2"/>
        <v>78.450363196125906</v>
      </c>
      <c r="P24">
        <f t="shared" si="3"/>
        <v>178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934</v>
      </c>
      <c r="F25">
        <f>SUMIF(DATA!$A:$A,PPL!$A25,DATA!D:D)</f>
        <v>609</v>
      </c>
      <c r="G25">
        <f>SUMIF(DATA!$A:$A,PPL!$A25,DATA!E:E)</f>
        <v>29</v>
      </c>
      <c r="H25">
        <f>SUMIF(DATA!$A:$A,PPL!$A25,DATA!F:F)</f>
        <v>43</v>
      </c>
      <c r="I25">
        <f>SUMIF(DATA!$A:$A,PPL!$A25,DATA!G:G)</f>
        <v>23</v>
      </c>
      <c r="J25">
        <f>SUMIF(DATA!$A:$A,PPL!$A25,DATA!H:H)</f>
        <v>0</v>
      </c>
      <c r="K25">
        <f>SUMIF(DATA!$A:$A,PPL!$A25,DATA!I:I)</f>
        <v>230</v>
      </c>
      <c r="L25">
        <f>SUMIF(DATA!$A:$A,PPL!$A25,DATA!J:J)</f>
        <v>0</v>
      </c>
      <c r="M25">
        <f t="shared" si="0"/>
        <v>504</v>
      </c>
      <c r="N25">
        <f t="shared" si="1"/>
        <v>862</v>
      </c>
      <c r="O25" s="3">
        <f t="shared" si="2"/>
        <v>92.291220556745174</v>
      </c>
      <c r="P25">
        <f t="shared" si="3"/>
        <v>72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878</v>
      </c>
      <c r="F26">
        <f>SUMIF(DATA!$A:$A,PPL!$A26,DATA!D:D)</f>
        <v>365</v>
      </c>
      <c r="G26">
        <f>SUMIF(DATA!$A:$A,PPL!$A26,DATA!E:E)</f>
        <v>17</v>
      </c>
      <c r="H26">
        <f>SUMIF(DATA!$A:$A,PPL!$A26,DATA!F:F)</f>
        <v>26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462</v>
      </c>
      <c r="L26">
        <f>SUMIF(DATA!$A:$A,PPL!$A26,DATA!J:J)</f>
        <v>0</v>
      </c>
      <c r="M26">
        <f t="shared" si="0"/>
        <v>543</v>
      </c>
      <c r="N26">
        <f t="shared" si="1"/>
        <v>835</v>
      </c>
      <c r="O26" s="3">
        <f t="shared" si="2"/>
        <v>95.102505694760822</v>
      </c>
      <c r="P26">
        <f t="shared" si="3"/>
        <v>43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691</v>
      </c>
      <c r="F27">
        <f>SUMIF(DATA!$A:$A,PPL!$A27,DATA!D:D)</f>
        <v>389</v>
      </c>
      <c r="G27">
        <f>SUMIF(DATA!$A:$A,PPL!$A27,DATA!E:E)</f>
        <v>9</v>
      </c>
      <c r="H27">
        <f>SUMIF(DATA!$A:$A,PPL!$A27,DATA!F:F)</f>
        <v>1</v>
      </c>
      <c r="I27">
        <f>SUMIF(DATA!$A:$A,PPL!$A27,DATA!G:G)</f>
        <v>4</v>
      </c>
      <c r="J27">
        <f>SUMIF(DATA!$A:$A,PPL!$A27,DATA!H:H)</f>
        <v>0</v>
      </c>
      <c r="K27">
        <f>SUMIF(DATA!$A:$A,PPL!$A27,DATA!I:I)</f>
        <v>288</v>
      </c>
      <c r="L27">
        <f>SUMIF(DATA!$A:$A,PPL!$A27,DATA!J:J)</f>
        <v>0</v>
      </c>
      <c r="M27">
        <f t="shared" si="0"/>
        <v>421</v>
      </c>
      <c r="N27">
        <f t="shared" si="1"/>
        <v>681</v>
      </c>
      <c r="O27" s="3">
        <f t="shared" si="2"/>
        <v>98.552821997105639</v>
      </c>
      <c r="P27">
        <f t="shared" si="3"/>
        <v>10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953</v>
      </c>
      <c r="F28">
        <f>SUMIF(DATA!$A:$A,PPL!$A28,DATA!D:D)</f>
        <v>562</v>
      </c>
      <c r="G28">
        <f>SUMIF(DATA!$A:$A,PPL!$A28,DATA!E:E)</f>
        <v>113</v>
      </c>
      <c r="H28">
        <f>SUMIF(DATA!$A:$A,PPL!$A28,DATA!F:F)</f>
        <v>108</v>
      </c>
      <c r="I28">
        <f>SUMIF(DATA!$A:$A,PPL!$A28,DATA!G:G)</f>
        <v>29</v>
      </c>
      <c r="J28">
        <f>SUMIF(DATA!$A:$A,PPL!$A28,DATA!H:H)</f>
        <v>5</v>
      </c>
      <c r="K28">
        <f>SUMIF(DATA!$A:$A,PPL!$A28,DATA!I:I)</f>
        <v>136</v>
      </c>
      <c r="L28">
        <f>SUMIF(DATA!$A:$A,PPL!$A28,DATA!J:J)</f>
        <v>0</v>
      </c>
      <c r="M28">
        <f t="shared" si="0"/>
        <v>438</v>
      </c>
      <c r="N28">
        <f t="shared" si="1"/>
        <v>732</v>
      </c>
      <c r="O28" s="3">
        <f t="shared" si="2"/>
        <v>76.810073452256034</v>
      </c>
      <c r="P28">
        <f t="shared" si="3"/>
        <v>221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394</v>
      </c>
      <c r="G29">
        <f>SUMIF(DATA!$A:$A,PPL!$A29,DATA!E:E)</f>
        <v>44</v>
      </c>
      <c r="H29">
        <f>SUMIF(DATA!$A:$A,PPL!$A29,DATA!F:F)</f>
        <v>1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261</v>
      </c>
      <c r="L29">
        <f>SUMIF(DATA!$A:$A,PPL!$A29,DATA!J:J)</f>
        <v>0</v>
      </c>
      <c r="M29">
        <f t="shared" si="0"/>
        <v>435</v>
      </c>
      <c r="N29">
        <f t="shared" si="1"/>
        <v>666</v>
      </c>
      <c r="O29" s="3">
        <f t="shared" si="2"/>
        <v>93.670886075949369</v>
      </c>
      <c r="P29">
        <f t="shared" si="3"/>
        <v>45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735</v>
      </c>
      <c r="F30">
        <f>SUMIF(DATA!$A:$A,PPL!$A30,DATA!D:D)</f>
        <v>259</v>
      </c>
      <c r="G30">
        <f>SUMIF(DATA!$A:$A,PPL!$A30,DATA!E:E)</f>
        <v>52</v>
      </c>
      <c r="H30">
        <f>SUMIF(DATA!$A:$A,PPL!$A30,DATA!F:F)</f>
        <v>55</v>
      </c>
      <c r="I30">
        <f>SUMIF(DATA!$A:$A,PPL!$A30,DATA!G:G)</f>
        <v>22</v>
      </c>
      <c r="J30">
        <f>SUMIF(DATA!$A:$A,PPL!$A30,DATA!H:H)</f>
        <v>0</v>
      </c>
      <c r="K30">
        <f>SUMIF(DATA!$A:$A,PPL!$A30,DATA!I:I)</f>
        <v>347</v>
      </c>
      <c r="L30">
        <f>SUMIF(DATA!$A:$A,PPL!$A30,DATA!J:J)</f>
        <v>0</v>
      </c>
      <c r="M30">
        <f t="shared" si="0"/>
        <v>374</v>
      </c>
      <c r="N30">
        <f t="shared" si="1"/>
        <v>628</v>
      </c>
      <c r="O30" s="3">
        <f t="shared" si="2"/>
        <v>85.442176870748298</v>
      </c>
      <c r="P30">
        <f t="shared" si="3"/>
        <v>107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859</v>
      </c>
      <c r="F31">
        <f>SUMIF(DATA!$A:$A,PPL!$A31,DATA!D:D)</f>
        <v>403</v>
      </c>
      <c r="G31">
        <f>SUMIF(DATA!$A:$A,PPL!$A31,DATA!E:E)</f>
        <v>75</v>
      </c>
      <c r="H31">
        <f>SUMIF(DATA!$A:$A,PPL!$A31,DATA!F:F)</f>
        <v>4</v>
      </c>
      <c r="I31">
        <f>SUMIF(DATA!$A:$A,PPL!$A31,DATA!G:G)</f>
        <v>1</v>
      </c>
      <c r="J31">
        <f>SUMIF(DATA!$A:$A,PPL!$A31,DATA!H:H)</f>
        <v>1</v>
      </c>
      <c r="K31">
        <f>SUMIF(DATA!$A:$A,PPL!$A31,DATA!I:I)</f>
        <v>375</v>
      </c>
      <c r="L31">
        <f>SUMIF(DATA!$A:$A,PPL!$A31,DATA!J:J)</f>
        <v>0</v>
      </c>
      <c r="M31">
        <f t="shared" si="0"/>
        <v>430</v>
      </c>
      <c r="N31">
        <f t="shared" si="1"/>
        <v>780</v>
      </c>
      <c r="O31" s="3">
        <f t="shared" si="2"/>
        <v>90.803259604190927</v>
      </c>
      <c r="P31">
        <f t="shared" si="3"/>
        <v>79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927</v>
      </c>
      <c r="F32">
        <f>SUMIF(DATA!$A:$A,PPL!$A32,DATA!D:D)</f>
        <v>529</v>
      </c>
      <c r="G32">
        <f>SUMIF(DATA!$A:$A,PPL!$A32,DATA!E:E)</f>
        <v>1</v>
      </c>
      <c r="H32">
        <f>SUMIF(DATA!$A:$A,PPL!$A32,DATA!F:F)</f>
        <v>29</v>
      </c>
      <c r="I32">
        <f>SUMIF(DATA!$A:$A,PPL!$A32,DATA!G:G)</f>
        <v>19</v>
      </c>
      <c r="J32">
        <f>SUMIF(DATA!$A:$A,PPL!$A32,DATA!H:H)</f>
        <v>0</v>
      </c>
      <c r="K32">
        <f>SUMIF(DATA!$A:$A,PPL!$A32,DATA!I:I)</f>
        <v>349</v>
      </c>
      <c r="L32">
        <f>SUMIF(DATA!$A:$A,PPL!$A32,DATA!J:J)</f>
        <v>0</v>
      </c>
      <c r="M32">
        <f t="shared" si="0"/>
        <v>492</v>
      </c>
      <c r="N32">
        <f t="shared" si="1"/>
        <v>897</v>
      </c>
      <c r="O32" s="3">
        <f t="shared" si="2"/>
        <v>96.763754045307451</v>
      </c>
      <c r="P32">
        <f t="shared" si="3"/>
        <v>30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845</v>
      </c>
      <c r="F33">
        <f>SUMIF(DATA!$A:$A,PPL!$A33,DATA!D:D)</f>
        <v>381</v>
      </c>
      <c r="G33">
        <f>SUMIF(DATA!$A:$A,PPL!$A33,DATA!E:E)</f>
        <v>17</v>
      </c>
      <c r="H33">
        <f>SUMIF(DATA!$A:$A,PPL!$A33,DATA!F:F)</f>
        <v>14</v>
      </c>
      <c r="I33">
        <f>SUMIF(DATA!$A:$A,PPL!$A33,DATA!G:G)</f>
        <v>3</v>
      </c>
      <c r="J33">
        <f>SUMIF(DATA!$A:$A,PPL!$A33,DATA!H:H)</f>
        <v>0</v>
      </c>
      <c r="K33">
        <f>SUMIF(DATA!$A:$A,PPL!$A33,DATA!I:I)</f>
        <v>430</v>
      </c>
      <c r="L33">
        <f>SUMIF(DATA!$A:$A,PPL!$A33,DATA!J:J)</f>
        <v>0</v>
      </c>
      <c r="M33">
        <f t="shared" si="0"/>
        <v>554</v>
      </c>
      <c r="N33">
        <f t="shared" si="1"/>
        <v>814</v>
      </c>
      <c r="O33" s="3">
        <f t="shared" si="2"/>
        <v>96.331360946745562</v>
      </c>
      <c r="P33">
        <f t="shared" si="3"/>
        <v>31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756</v>
      </c>
      <c r="F34">
        <f>SUMIF(DATA!$A:$A,PPL!$A34,DATA!D:D)</f>
        <v>579</v>
      </c>
      <c r="G34">
        <f>SUMIF(DATA!$A:$A,PPL!$A34,DATA!E:E)</f>
        <v>64</v>
      </c>
      <c r="H34">
        <f>SUMIF(DATA!$A:$A,PPL!$A34,DATA!F:F)</f>
        <v>80</v>
      </c>
      <c r="I34">
        <f>SUMIF(DATA!$A:$A,PPL!$A34,DATA!G:G)</f>
        <v>13</v>
      </c>
      <c r="J34">
        <f>SUMIF(DATA!$A:$A,PPL!$A34,DATA!H:H)</f>
        <v>0</v>
      </c>
      <c r="K34">
        <f>SUMIF(DATA!$A:$A,PPL!$A34,DATA!I:I)</f>
        <v>20</v>
      </c>
      <c r="L34">
        <f>SUMIF(DATA!$A:$A,PPL!$A34,DATA!J:J)</f>
        <v>0</v>
      </c>
      <c r="M34">
        <f t="shared" ref="M34:M65" si="4">N34-Q34</f>
        <v>359</v>
      </c>
      <c r="N34">
        <f t="shared" si="1"/>
        <v>612</v>
      </c>
      <c r="O34" s="3">
        <f t="shared" si="2"/>
        <v>80.952380952380949</v>
      </c>
      <c r="P34">
        <f t="shared" si="3"/>
        <v>144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714</v>
      </c>
      <c r="F35">
        <f>SUMIF(DATA!$A:$A,PPL!$A35,DATA!D:D)</f>
        <v>443</v>
      </c>
      <c r="G35">
        <f>SUMIF(DATA!$A:$A,PPL!$A35,DATA!E:E)</f>
        <v>155</v>
      </c>
      <c r="H35">
        <f>SUMIF(DATA!$A:$A,PPL!$A35,DATA!F:F)</f>
        <v>50</v>
      </c>
      <c r="I35">
        <f>SUMIF(DATA!$A:$A,PPL!$A35,DATA!G:G)</f>
        <v>24</v>
      </c>
      <c r="J35">
        <f>SUMIF(DATA!$A:$A,PPL!$A35,DATA!H:H)</f>
        <v>1</v>
      </c>
      <c r="K35">
        <f>SUMIF(DATA!$A:$A,PPL!$A35,DATA!I:I)</f>
        <v>41</v>
      </c>
      <c r="L35">
        <f>SUMIF(DATA!$A:$A,PPL!$A35,DATA!J:J)</f>
        <v>0</v>
      </c>
      <c r="M35">
        <f t="shared" si="4"/>
        <v>284</v>
      </c>
      <c r="N35">
        <f t="shared" si="1"/>
        <v>509</v>
      </c>
      <c r="O35" s="3">
        <f t="shared" si="2"/>
        <v>71.28851540616246</v>
      </c>
      <c r="P35">
        <f t="shared" si="3"/>
        <v>205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982</v>
      </c>
      <c r="F36">
        <f>SUMIF(DATA!$A:$A,PPL!$A36,DATA!D:D)</f>
        <v>860</v>
      </c>
      <c r="G36">
        <f>SUMIF(DATA!$A:$A,PPL!$A36,DATA!E:E)</f>
        <v>29</v>
      </c>
      <c r="H36">
        <f>SUMIF(DATA!$A:$A,PPL!$A36,DATA!F:F)</f>
        <v>15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76</v>
      </c>
      <c r="L36">
        <f>SUMIF(DATA!$A:$A,PPL!$A36,DATA!J:J)</f>
        <v>0</v>
      </c>
      <c r="M36">
        <f t="shared" si="4"/>
        <v>554</v>
      </c>
      <c r="N36">
        <f t="shared" si="1"/>
        <v>938</v>
      </c>
      <c r="O36" s="3">
        <f t="shared" si="2"/>
        <v>95.519348268839096</v>
      </c>
      <c r="P36">
        <f t="shared" si="3"/>
        <v>44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872</v>
      </c>
      <c r="F37">
        <f>SUMIF(DATA!$A:$A,PPL!$A37,DATA!D:D)</f>
        <v>583</v>
      </c>
      <c r="G37">
        <f>SUMIF(DATA!$A:$A,PPL!$A37,DATA!E:E)</f>
        <v>72</v>
      </c>
      <c r="H37">
        <f>SUMIF(DATA!$A:$A,PPL!$A37,DATA!F:F)</f>
        <v>63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153</v>
      </c>
      <c r="L37">
        <f>SUMIF(DATA!$A:$A,PPL!$A37,DATA!J:J)</f>
        <v>0</v>
      </c>
      <c r="M37">
        <f t="shared" si="4"/>
        <v>427</v>
      </c>
      <c r="N37">
        <f t="shared" si="1"/>
        <v>737</v>
      </c>
      <c r="O37" s="3">
        <f t="shared" si="2"/>
        <v>84.518348623853214</v>
      </c>
      <c r="P37">
        <f t="shared" si="3"/>
        <v>135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1046</v>
      </c>
      <c r="F38">
        <f>SUMIF(DATA!$A:$A,PPL!$A38,DATA!D:D)</f>
        <v>434</v>
      </c>
      <c r="G38">
        <f>SUMIF(DATA!$A:$A,PPL!$A38,DATA!E:E)</f>
        <v>46</v>
      </c>
      <c r="H38">
        <f>SUMIF(DATA!$A:$A,PPL!$A38,DATA!F:F)</f>
        <v>218</v>
      </c>
      <c r="I38">
        <f>SUMIF(DATA!$A:$A,PPL!$A38,DATA!G:G)</f>
        <v>7</v>
      </c>
      <c r="J38">
        <f>SUMIF(DATA!$A:$A,PPL!$A38,DATA!H:H)</f>
        <v>1</v>
      </c>
      <c r="K38">
        <f>SUMIF(DATA!$A:$A,PPL!$A38,DATA!I:I)</f>
        <v>340</v>
      </c>
      <c r="L38">
        <f>SUMIF(DATA!$A:$A,PPL!$A38,DATA!J:J)</f>
        <v>0</v>
      </c>
      <c r="M38">
        <f t="shared" si="4"/>
        <v>371</v>
      </c>
      <c r="N38">
        <f t="shared" si="1"/>
        <v>782</v>
      </c>
      <c r="O38" s="3">
        <f t="shared" si="2"/>
        <v>74.760994263862329</v>
      </c>
      <c r="P38">
        <f t="shared" si="3"/>
        <v>264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832</v>
      </c>
      <c r="F39">
        <f>SUMIF(DATA!$A:$A,PPL!$A39,DATA!D:D)</f>
        <v>598</v>
      </c>
      <c r="G39">
        <f>SUMIF(DATA!$A:$A,PPL!$A39,DATA!E:E)</f>
        <v>31</v>
      </c>
      <c r="H39">
        <f>SUMIF(DATA!$A:$A,PPL!$A39,DATA!F:F)</f>
        <v>96</v>
      </c>
      <c r="I39">
        <f>SUMIF(DATA!$A:$A,PPL!$A39,DATA!G:G)</f>
        <v>11</v>
      </c>
      <c r="J39">
        <f>SUMIF(DATA!$A:$A,PPL!$A39,DATA!H:H)</f>
        <v>0</v>
      </c>
      <c r="K39">
        <f>SUMIF(DATA!$A:$A,PPL!$A39,DATA!I:I)</f>
        <v>94</v>
      </c>
      <c r="L39">
        <f>SUMIF(DATA!$A:$A,PPL!$A39,DATA!J:J)</f>
        <v>2</v>
      </c>
      <c r="M39">
        <f t="shared" si="4"/>
        <v>513</v>
      </c>
      <c r="N39">
        <f t="shared" si="1"/>
        <v>705</v>
      </c>
      <c r="O39" s="3">
        <f t="shared" si="2"/>
        <v>84.735576923076934</v>
      </c>
      <c r="P39">
        <f t="shared" si="3"/>
        <v>127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841</v>
      </c>
      <c r="F40">
        <f>SUMIF(DATA!$A:$A,PPL!$A40,DATA!D:D)</f>
        <v>204</v>
      </c>
      <c r="G40">
        <f>SUMIF(DATA!$A:$A,PPL!$A40,DATA!E:E)</f>
        <v>43</v>
      </c>
      <c r="H40">
        <f>SUMIF(DATA!$A:$A,PPL!$A40,DATA!F:F)</f>
        <v>103</v>
      </c>
      <c r="I40">
        <f>SUMIF(DATA!$A:$A,PPL!$A40,DATA!G:G)</f>
        <v>54</v>
      </c>
      <c r="J40">
        <f>SUMIF(DATA!$A:$A,PPL!$A40,DATA!H:H)</f>
        <v>1</v>
      </c>
      <c r="K40">
        <f>SUMIF(DATA!$A:$A,PPL!$A40,DATA!I:I)</f>
        <v>435</v>
      </c>
      <c r="L40">
        <f>SUMIF(DATA!$A:$A,PPL!$A40,DATA!J:J)</f>
        <v>1</v>
      </c>
      <c r="M40">
        <f t="shared" si="4"/>
        <v>361</v>
      </c>
      <c r="N40">
        <f t="shared" si="1"/>
        <v>695</v>
      </c>
      <c r="O40" s="3">
        <f t="shared" si="2"/>
        <v>82.63971462544589</v>
      </c>
      <c r="P40">
        <f t="shared" si="3"/>
        <v>146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1003</v>
      </c>
      <c r="F41">
        <f>SUMIF(DATA!$A:$A,PPL!$A41,DATA!D:D)</f>
        <v>496</v>
      </c>
      <c r="G41">
        <f>SUMIF(DATA!$A:$A,PPL!$A41,DATA!E:E)</f>
        <v>32</v>
      </c>
      <c r="H41">
        <f>SUMIF(DATA!$A:$A,PPL!$A41,DATA!F:F)</f>
        <v>71</v>
      </c>
      <c r="I41">
        <f>SUMIF(DATA!$A:$A,PPL!$A41,DATA!G:G)</f>
        <v>8</v>
      </c>
      <c r="J41">
        <f>SUMIF(DATA!$A:$A,PPL!$A41,DATA!H:H)</f>
        <v>3</v>
      </c>
      <c r="K41">
        <f>SUMIF(DATA!$A:$A,PPL!$A41,DATA!I:I)</f>
        <v>393</v>
      </c>
      <c r="L41">
        <f>SUMIF(DATA!$A:$A,PPL!$A41,DATA!J:J)</f>
        <v>0</v>
      </c>
      <c r="M41">
        <f t="shared" si="4"/>
        <v>595</v>
      </c>
      <c r="N41">
        <f t="shared" si="1"/>
        <v>900</v>
      </c>
      <c r="O41" s="3">
        <f t="shared" si="2"/>
        <v>89.730807577268195</v>
      </c>
      <c r="P41">
        <f t="shared" si="3"/>
        <v>103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752</v>
      </c>
      <c r="F42">
        <f>SUMIF(DATA!$A:$A,PPL!$A42,DATA!D:D)</f>
        <v>267</v>
      </c>
      <c r="G42">
        <f>SUMIF(DATA!$A:$A,PPL!$A42,DATA!E:E)</f>
        <v>37</v>
      </c>
      <c r="H42">
        <f>SUMIF(DATA!$A:$A,PPL!$A42,DATA!F:F)</f>
        <v>232</v>
      </c>
      <c r="I42">
        <f>SUMIF(DATA!$A:$A,PPL!$A42,DATA!G:G)</f>
        <v>40</v>
      </c>
      <c r="J42">
        <f>SUMIF(DATA!$A:$A,PPL!$A42,DATA!H:H)</f>
        <v>0</v>
      </c>
      <c r="K42">
        <f>SUMIF(DATA!$A:$A,PPL!$A42,DATA!I:I)</f>
        <v>176</v>
      </c>
      <c r="L42">
        <f>SUMIF(DATA!$A:$A,PPL!$A42,DATA!J:J)</f>
        <v>0</v>
      </c>
      <c r="M42">
        <f t="shared" si="4"/>
        <v>269</v>
      </c>
      <c r="N42">
        <f t="shared" si="1"/>
        <v>483</v>
      </c>
      <c r="O42" s="3">
        <f t="shared" si="2"/>
        <v>64.228723404255319</v>
      </c>
      <c r="P42">
        <f t="shared" si="3"/>
        <v>269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804</v>
      </c>
      <c r="F43">
        <f>SUMIF(DATA!$A:$A,PPL!$A43,DATA!D:D)</f>
        <v>291</v>
      </c>
      <c r="G43">
        <f>SUMIF(DATA!$A:$A,PPL!$A43,DATA!E:E)</f>
        <v>7</v>
      </c>
      <c r="H43">
        <f>SUMIF(DATA!$A:$A,PPL!$A43,DATA!F:F)</f>
        <v>7</v>
      </c>
      <c r="I43">
        <f>SUMIF(DATA!$A:$A,PPL!$A43,DATA!G:G)</f>
        <v>36</v>
      </c>
      <c r="J43">
        <f>SUMIF(DATA!$A:$A,PPL!$A43,DATA!H:H)</f>
        <v>0</v>
      </c>
      <c r="K43">
        <f>SUMIF(DATA!$A:$A,PPL!$A43,DATA!I:I)</f>
        <v>463</v>
      </c>
      <c r="L43">
        <f>SUMIF(DATA!$A:$A,PPL!$A43,DATA!J:J)</f>
        <v>0</v>
      </c>
      <c r="M43">
        <f t="shared" si="4"/>
        <v>556</v>
      </c>
      <c r="N43">
        <f t="shared" si="1"/>
        <v>790</v>
      </c>
      <c r="O43" s="3">
        <f t="shared" si="2"/>
        <v>98.258706467661696</v>
      </c>
      <c r="P43">
        <f t="shared" si="3"/>
        <v>14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596</v>
      </c>
      <c r="F44">
        <f>SUMIF(DATA!$A:$A,PPL!$A44,DATA!D:D)</f>
        <v>450</v>
      </c>
      <c r="G44">
        <f>SUMIF(DATA!$A:$A,PPL!$A44,DATA!E:E)</f>
        <v>1</v>
      </c>
      <c r="H44">
        <f>SUMIF(DATA!$A:$A,PPL!$A44,DATA!F:F)</f>
        <v>0</v>
      </c>
      <c r="I44">
        <f>SUMIF(DATA!$A:$A,PPL!$A44,DATA!G:G)</f>
        <v>7</v>
      </c>
      <c r="J44">
        <f>SUMIF(DATA!$A:$A,PPL!$A44,DATA!H:H)</f>
        <v>1</v>
      </c>
      <c r="K44">
        <f>SUMIF(DATA!$A:$A,PPL!$A44,DATA!I:I)</f>
        <v>137</v>
      </c>
      <c r="L44">
        <f>SUMIF(DATA!$A:$A,PPL!$A44,DATA!J:J)</f>
        <v>0</v>
      </c>
      <c r="M44">
        <f t="shared" si="4"/>
        <v>396</v>
      </c>
      <c r="N44">
        <f t="shared" si="1"/>
        <v>595</v>
      </c>
      <c r="O44" s="3">
        <f t="shared" si="2"/>
        <v>99.832214765100673</v>
      </c>
      <c r="P44">
        <f t="shared" si="3"/>
        <v>1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633</v>
      </c>
      <c r="F45">
        <f>SUMIF(DATA!$A:$A,PPL!$A45,DATA!D:D)</f>
        <v>626</v>
      </c>
      <c r="G45">
        <f>SUMIF(DATA!$A:$A,PPL!$A45,DATA!E:E)</f>
        <v>4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474</v>
      </c>
      <c r="N45">
        <f t="shared" si="1"/>
        <v>628</v>
      </c>
      <c r="O45" s="3">
        <f t="shared" si="2"/>
        <v>99.210110584518162</v>
      </c>
      <c r="P45">
        <f t="shared" si="3"/>
        <v>5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428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67</v>
      </c>
      <c r="J46">
        <f>SUMIF(DATA!$A:$A,PPL!$A46,DATA!H:H)</f>
        <v>1</v>
      </c>
      <c r="K46">
        <f>SUMIF(DATA!$A:$A,PPL!$A46,DATA!I:I)</f>
        <v>160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716</v>
      </c>
      <c r="F47">
        <f>SUMIF(DATA!$A:$A,PPL!$A47,DATA!D:D)</f>
        <v>362</v>
      </c>
      <c r="G47">
        <f>SUMIF(DATA!$A:$A,PPL!$A47,DATA!E:E)</f>
        <v>8</v>
      </c>
      <c r="H47">
        <f>SUMIF(DATA!$A:$A,PPL!$A47,DATA!F:F)</f>
        <v>0</v>
      </c>
      <c r="I47">
        <f>SUMIF(DATA!$A:$A,PPL!$A47,DATA!G:G)</f>
        <v>34</v>
      </c>
      <c r="J47">
        <f>SUMIF(DATA!$A:$A,PPL!$A47,DATA!H:H)</f>
        <v>1</v>
      </c>
      <c r="K47">
        <f>SUMIF(DATA!$A:$A,PPL!$A47,DATA!I:I)</f>
        <v>311</v>
      </c>
      <c r="L47">
        <f>SUMIF(DATA!$A:$A,PPL!$A47,DATA!J:J)</f>
        <v>0</v>
      </c>
      <c r="M47">
        <f t="shared" si="4"/>
        <v>470</v>
      </c>
      <c r="N47">
        <f t="shared" si="1"/>
        <v>708</v>
      </c>
      <c r="O47" s="3">
        <f t="shared" si="2"/>
        <v>98.882681564245814</v>
      </c>
      <c r="P47">
        <f t="shared" si="3"/>
        <v>8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697</v>
      </c>
      <c r="F48">
        <f>SUMIF(DATA!$A:$A,PPL!$A48,DATA!D:D)</f>
        <v>295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17</v>
      </c>
      <c r="J48">
        <f>SUMIF(DATA!$A:$A,PPL!$A48,DATA!H:H)</f>
        <v>1</v>
      </c>
      <c r="K48">
        <f>SUMIF(DATA!$A:$A,PPL!$A48,DATA!I:I)</f>
        <v>383</v>
      </c>
      <c r="L48">
        <f>SUMIF(DATA!$A:$A,PPL!$A48,DATA!J:J)</f>
        <v>0</v>
      </c>
      <c r="M48">
        <f t="shared" si="4"/>
        <v>462</v>
      </c>
      <c r="N48">
        <f t="shared" si="1"/>
        <v>696</v>
      </c>
      <c r="O48" s="3">
        <f t="shared" si="2"/>
        <v>99.856527977044479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777</v>
      </c>
      <c r="F49">
        <f>SUMIF(DATA!$A:$A,PPL!$A49,DATA!D:D)</f>
        <v>260</v>
      </c>
      <c r="G49">
        <f>SUMIF(DATA!$A:$A,PPL!$A49,DATA!E:E)</f>
        <v>60</v>
      </c>
      <c r="H49">
        <f>SUMIF(DATA!$A:$A,PPL!$A49,DATA!F:F)</f>
        <v>80</v>
      </c>
      <c r="I49">
        <f>SUMIF(DATA!$A:$A,PPL!$A49,DATA!G:G)</f>
        <v>28</v>
      </c>
      <c r="J49">
        <f>SUMIF(DATA!$A:$A,PPL!$A49,DATA!H:H)</f>
        <v>0</v>
      </c>
      <c r="K49">
        <f>SUMIF(DATA!$A:$A,PPL!$A49,DATA!I:I)</f>
        <v>349</v>
      </c>
      <c r="L49">
        <f>SUMIF(DATA!$A:$A,PPL!$A49,DATA!J:J)</f>
        <v>0</v>
      </c>
      <c r="M49">
        <f t="shared" si="4"/>
        <v>353</v>
      </c>
      <c r="N49">
        <f t="shared" si="1"/>
        <v>637</v>
      </c>
      <c r="O49" s="3">
        <f t="shared" si="2"/>
        <v>81.981981981981974</v>
      </c>
      <c r="P49">
        <f t="shared" si="3"/>
        <v>140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812</v>
      </c>
      <c r="F50">
        <f>SUMIF(DATA!$A:$A,PPL!$A50,DATA!D:D)</f>
        <v>536</v>
      </c>
      <c r="G50">
        <f>SUMIF(DATA!$A:$A,PPL!$A50,DATA!E:E)</f>
        <v>32</v>
      </c>
      <c r="H50">
        <f>SUMIF(DATA!$A:$A,PPL!$A50,DATA!F:F)</f>
        <v>11</v>
      </c>
      <c r="I50">
        <f>SUMIF(DATA!$A:$A,PPL!$A50,DATA!G:G)</f>
        <v>46</v>
      </c>
      <c r="J50">
        <f>SUMIF(DATA!$A:$A,PPL!$A50,DATA!H:H)</f>
        <v>2</v>
      </c>
      <c r="K50">
        <f>SUMIF(DATA!$A:$A,PPL!$A50,DATA!I:I)</f>
        <v>184</v>
      </c>
      <c r="L50">
        <f>SUMIF(DATA!$A:$A,PPL!$A50,DATA!J:J)</f>
        <v>1</v>
      </c>
      <c r="M50">
        <f t="shared" si="4"/>
        <v>536</v>
      </c>
      <c r="N50">
        <f t="shared" si="1"/>
        <v>769</v>
      </c>
      <c r="O50" s="3">
        <f t="shared" si="2"/>
        <v>94.70443349753694</v>
      </c>
      <c r="P50">
        <f t="shared" si="3"/>
        <v>43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447</v>
      </c>
      <c r="G51">
        <f>SUMIF(DATA!$A:$A,PPL!$A51,DATA!E:E)</f>
        <v>8</v>
      </c>
      <c r="H51">
        <f>SUMIF(DATA!$A:$A,PPL!$A51,DATA!F:F)</f>
        <v>2</v>
      </c>
      <c r="I51">
        <f>SUMIF(DATA!$A:$A,PPL!$A51,DATA!G:G)</f>
        <v>58</v>
      </c>
      <c r="J51">
        <f>SUMIF(DATA!$A:$A,PPL!$A51,DATA!H:H)</f>
        <v>0</v>
      </c>
      <c r="K51">
        <f>SUMIF(DATA!$A:$A,PPL!$A51,DATA!I:I)</f>
        <v>152</v>
      </c>
      <c r="L51">
        <f>SUMIF(DATA!$A:$A,PPL!$A51,DATA!J:J)</f>
        <v>0</v>
      </c>
      <c r="M51">
        <f t="shared" si="4"/>
        <v>494</v>
      </c>
      <c r="N51">
        <f t="shared" si="1"/>
        <v>657</v>
      </c>
      <c r="O51" s="3">
        <f t="shared" si="2"/>
        <v>98.50074962518741</v>
      </c>
      <c r="P51">
        <f t="shared" si="3"/>
        <v>10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888</v>
      </c>
      <c r="F52">
        <f>SUMIF(DATA!$A:$A,PPL!$A52,DATA!D:D)</f>
        <v>536</v>
      </c>
      <c r="G52">
        <f>SUMIF(DATA!$A:$A,PPL!$A52,DATA!E:E)</f>
        <v>9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343</v>
      </c>
      <c r="L52">
        <f>SUMIF(DATA!$A:$A,PPL!$A52,DATA!J:J)</f>
        <v>0</v>
      </c>
      <c r="M52">
        <f t="shared" si="4"/>
        <v>641</v>
      </c>
      <c r="N52">
        <f t="shared" si="1"/>
        <v>879</v>
      </c>
      <c r="O52" s="3">
        <f t="shared" si="2"/>
        <v>98.986486486486484</v>
      </c>
      <c r="P52">
        <f t="shared" si="3"/>
        <v>9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502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29</v>
      </c>
      <c r="J53">
        <f>SUMIF(DATA!$A:$A,PPL!$A53,DATA!H:H)</f>
        <v>0</v>
      </c>
      <c r="K53">
        <f>SUMIF(DATA!$A:$A,PPL!$A53,DATA!I:I)</f>
        <v>134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544</v>
      </c>
      <c r="G54">
        <f>SUMIF(DATA!$A:$A,PPL!$A54,DATA!E:E)</f>
        <v>6</v>
      </c>
      <c r="H54">
        <f>SUMIF(DATA!$A:$A,PPL!$A54,DATA!F:F)</f>
        <v>0</v>
      </c>
      <c r="I54">
        <f>SUMIF(DATA!$A:$A,PPL!$A54,DATA!G:G)</f>
        <v>65</v>
      </c>
      <c r="J54">
        <f>SUMIF(DATA!$A:$A,PPL!$A54,DATA!H:H)</f>
        <v>0</v>
      </c>
      <c r="K54">
        <f>SUMIF(DATA!$A:$A,PPL!$A54,DATA!I:I)</f>
        <v>104</v>
      </c>
      <c r="L54">
        <f>SUMIF(DATA!$A:$A,PPL!$A54,DATA!J:J)</f>
        <v>0</v>
      </c>
      <c r="M54">
        <f t="shared" si="4"/>
        <v>470</v>
      </c>
      <c r="N54">
        <f t="shared" si="1"/>
        <v>713</v>
      </c>
      <c r="O54" s="3">
        <f t="shared" si="2"/>
        <v>99.165507649513216</v>
      </c>
      <c r="P54">
        <f t="shared" si="3"/>
        <v>6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721</v>
      </c>
      <c r="F55">
        <f>SUMIF(DATA!$A:$A,PPL!$A55,DATA!D:D)</f>
        <v>232</v>
      </c>
      <c r="G55">
        <f>SUMIF(DATA!$A:$A,PPL!$A55,DATA!E:E)</f>
        <v>20</v>
      </c>
      <c r="H55">
        <f>SUMIF(DATA!$A:$A,PPL!$A55,DATA!F:F)</f>
        <v>5</v>
      </c>
      <c r="I55">
        <f>SUMIF(DATA!$A:$A,PPL!$A55,DATA!G:G)</f>
        <v>29</v>
      </c>
      <c r="J55">
        <f>SUMIF(DATA!$A:$A,PPL!$A55,DATA!H:H)</f>
        <v>0</v>
      </c>
      <c r="K55">
        <f>SUMIF(DATA!$A:$A,PPL!$A55,DATA!I:I)</f>
        <v>435</v>
      </c>
      <c r="L55">
        <f>SUMIF(DATA!$A:$A,PPL!$A55,DATA!J:J)</f>
        <v>0</v>
      </c>
      <c r="M55">
        <f t="shared" si="4"/>
        <v>561</v>
      </c>
      <c r="N55">
        <f t="shared" si="1"/>
        <v>696</v>
      </c>
      <c r="O55" s="3">
        <f t="shared" si="2"/>
        <v>96.532593619972261</v>
      </c>
      <c r="P55">
        <f t="shared" si="3"/>
        <v>25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350</v>
      </c>
      <c r="G56">
        <f>SUMIF(DATA!$A:$A,PPL!$A56,DATA!E:E)</f>
        <v>7</v>
      </c>
      <c r="H56">
        <f>SUMIF(DATA!$A:$A,PPL!$A56,DATA!F:F)</f>
        <v>3</v>
      </c>
      <c r="I56">
        <f>SUMIF(DATA!$A:$A,PPL!$A56,DATA!G:G)</f>
        <v>114</v>
      </c>
      <c r="J56">
        <f>SUMIF(DATA!$A:$A,PPL!$A56,DATA!H:H)</f>
        <v>0</v>
      </c>
      <c r="K56">
        <f>SUMIF(DATA!$A:$A,PPL!$A56,DATA!I:I)</f>
        <v>213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98.544395924308589</v>
      </c>
      <c r="P56">
        <f t="shared" si="3"/>
        <v>10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783</v>
      </c>
      <c r="F57">
        <f>SUMIF(DATA!$A:$A,PPL!$A57,DATA!D:D)</f>
        <v>696</v>
      </c>
      <c r="G57">
        <f>SUMIF(DATA!$A:$A,PPL!$A57,DATA!E:E)</f>
        <v>23</v>
      </c>
      <c r="H57">
        <f>SUMIF(DATA!$A:$A,PPL!$A57,DATA!F:F)</f>
        <v>53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11</v>
      </c>
      <c r="L57">
        <f>SUMIF(DATA!$A:$A,PPL!$A57,DATA!J:J)</f>
        <v>0</v>
      </c>
      <c r="M57">
        <f t="shared" si="4"/>
        <v>472</v>
      </c>
      <c r="N57">
        <f t="shared" si="1"/>
        <v>707</v>
      </c>
      <c r="O57" s="3">
        <f t="shared" si="2"/>
        <v>90.29374201787995</v>
      </c>
      <c r="P57">
        <f t="shared" si="3"/>
        <v>76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721</v>
      </c>
      <c r="F58">
        <f>SUMIF(DATA!$A:$A,PPL!$A58,DATA!D:D)</f>
        <v>538</v>
      </c>
      <c r="G58">
        <f>SUMIF(DATA!$A:$A,PPL!$A58,DATA!E:E)</f>
        <v>12</v>
      </c>
      <c r="H58">
        <f>SUMIF(DATA!$A:$A,PPL!$A58,DATA!F:F)</f>
        <v>0</v>
      </c>
      <c r="I58">
        <f>SUMIF(DATA!$A:$A,PPL!$A58,DATA!G:G)</f>
        <v>64</v>
      </c>
      <c r="J58">
        <f>SUMIF(DATA!$A:$A,PPL!$A58,DATA!H:H)</f>
        <v>1</v>
      </c>
      <c r="K58">
        <f>SUMIF(DATA!$A:$A,PPL!$A58,DATA!I:I)</f>
        <v>106</v>
      </c>
      <c r="L58">
        <f>SUMIF(DATA!$A:$A,PPL!$A58,DATA!J:J)</f>
        <v>0</v>
      </c>
      <c r="M58">
        <f t="shared" si="4"/>
        <v>527</v>
      </c>
      <c r="N58">
        <f t="shared" si="1"/>
        <v>709</v>
      </c>
      <c r="O58" s="3">
        <f t="shared" si="2"/>
        <v>98.335644937586693</v>
      </c>
      <c r="P58">
        <f t="shared" si="3"/>
        <v>12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795</v>
      </c>
      <c r="F59">
        <f>SUMIF(DATA!$A:$A,PPL!$A59,DATA!D:D)</f>
        <v>650</v>
      </c>
      <c r="G59">
        <f>SUMIF(DATA!$A:$A,PPL!$A59,DATA!E:E)</f>
        <v>17</v>
      </c>
      <c r="H59">
        <f>SUMIF(DATA!$A:$A,PPL!$A59,DATA!F:F)</f>
        <v>2</v>
      </c>
      <c r="I59">
        <f>SUMIF(DATA!$A:$A,PPL!$A59,DATA!G:G)</f>
        <v>51</v>
      </c>
      <c r="J59">
        <f>SUMIF(DATA!$A:$A,PPL!$A59,DATA!H:H)</f>
        <v>1</v>
      </c>
      <c r="K59">
        <f>SUMIF(DATA!$A:$A,PPL!$A59,DATA!I:I)</f>
        <v>74</v>
      </c>
      <c r="L59">
        <f>SUMIF(DATA!$A:$A,PPL!$A59,DATA!J:J)</f>
        <v>0</v>
      </c>
      <c r="M59">
        <f t="shared" si="4"/>
        <v>481</v>
      </c>
      <c r="N59">
        <f t="shared" si="1"/>
        <v>776</v>
      </c>
      <c r="O59" s="3">
        <f t="shared" si="2"/>
        <v>97.610062893081761</v>
      </c>
      <c r="P59">
        <f t="shared" si="3"/>
        <v>19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845</v>
      </c>
      <c r="F60">
        <f>SUMIF(DATA!$A:$A,PPL!$A60,DATA!D:D)</f>
        <v>439</v>
      </c>
      <c r="G60">
        <f>SUMIF(DATA!$A:$A,PPL!$A60,DATA!E:E)</f>
        <v>10</v>
      </c>
      <c r="H60">
        <f>SUMIF(DATA!$A:$A,PPL!$A60,DATA!F:F)</f>
        <v>33</v>
      </c>
      <c r="I60">
        <f>SUMIF(DATA!$A:$A,PPL!$A60,DATA!G:G)</f>
        <v>43</v>
      </c>
      <c r="J60">
        <f>SUMIF(DATA!$A:$A,PPL!$A60,DATA!H:H)</f>
        <v>2</v>
      </c>
      <c r="K60">
        <f>SUMIF(DATA!$A:$A,PPL!$A60,DATA!I:I)</f>
        <v>318</v>
      </c>
      <c r="L60">
        <f>SUMIF(DATA!$A:$A,PPL!$A60,DATA!J:J)</f>
        <v>0</v>
      </c>
      <c r="M60">
        <f t="shared" si="4"/>
        <v>636</v>
      </c>
      <c r="N60">
        <f t="shared" si="1"/>
        <v>802</v>
      </c>
      <c r="O60" s="3">
        <f t="shared" si="2"/>
        <v>94.911242603550292</v>
      </c>
      <c r="P60">
        <f t="shared" si="3"/>
        <v>43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807</v>
      </c>
      <c r="F61">
        <f>SUMIF(DATA!$A:$A,PPL!$A61,DATA!D:D)</f>
        <v>395</v>
      </c>
      <c r="G61">
        <f>SUMIF(DATA!$A:$A,PPL!$A61,DATA!E:E)</f>
        <v>30</v>
      </c>
      <c r="H61">
        <f>SUMIF(DATA!$A:$A,PPL!$A61,DATA!F:F)</f>
        <v>1</v>
      </c>
      <c r="I61">
        <f>SUMIF(DATA!$A:$A,PPL!$A61,DATA!G:G)</f>
        <v>16</v>
      </c>
      <c r="J61">
        <f>SUMIF(DATA!$A:$A,PPL!$A61,DATA!H:H)</f>
        <v>0</v>
      </c>
      <c r="K61">
        <f>SUMIF(DATA!$A:$A,PPL!$A61,DATA!I:I)</f>
        <v>365</v>
      </c>
      <c r="L61">
        <f>SUMIF(DATA!$A:$A,PPL!$A61,DATA!J:J)</f>
        <v>0</v>
      </c>
      <c r="M61">
        <f t="shared" si="4"/>
        <v>494</v>
      </c>
      <c r="N61">
        <f t="shared" si="1"/>
        <v>776</v>
      </c>
      <c r="O61" s="3">
        <f t="shared" si="2"/>
        <v>96.158612143742246</v>
      </c>
      <c r="P61">
        <f t="shared" si="3"/>
        <v>31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824</v>
      </c>
      <c r="F62">
        <f>SUMIF(DATA!$A:$A,PPL!$A62,DATA!D:D)</f>
        <v>276</v>
      </c>
      <c r="G62">
        <f>SUMIF(DATA!$A:$A,PPL!$A62,DATA!E:E)</f>
        <v>28</v>
      </c>
      <c r="H62">
        <f>SUMIF(DATA!$A:$A,PPL!$A62,DATA!F:F)</f>
        <v>12</v>
      </c>
      <c r="I62">
        <f>SUMIF(DATA!$A:$A,PPL!$A62,DATA!G:G)</f>
        <v>36</v>
      </c>
      <c r="J62">
        <f>SUMIF(DATA!$A:$A,PPL!$A62,DATA!H:H)</f>
        <v>0</v>
      </c>
      <c r="K62">
        <f>SUMIF(DATA!$A:$A,PPL!$A62,DATA!I:I)</f>
        <v>472</v>
      </c>
      <c r="L62">
        <f>SUMIF(DATA!$A:$A,PPL!$A62,DATA!J:J)</f>
        <v>0</v>
      </c>
      <c r="M62">
        <f t="shared" si="4"/>
        <v>671</v>
      </c>
      <c r="N62">
        <f t="shared" si="1"/>
        <v>784</v>
      </c>
      <c r="O62" s="3">
        <f t="shared" si="2"/>
        <v>95.145631067961162</v>
      </c>
      <c r="P62">
        <f t="shared" si="3"/>
        <v>40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920</v>
      </c>
      <c r="F63">
        <f>SUMIF(DATA!$A:$A,PPL!$A63,DATA!D:D)</f>
        <v>887</v>
      </c>
      <c r="G63">
        <f>SUMIF(DATA!$A:$A,PPL!$A63,DATA!E:E)</f>
        <v>14</v>
      </c>
      <c r="H63">
        <f>SUMIF(DATA!$A:$A,PPL!$A63,DATA!F:F)</f>
        <v>0</v>
      </c>
      <c r="I63">
        <f>SUMIF(DATA!$A:$A,PPL!$A63,DATA!G:G)</f>
        <v>10</v>
      </c>
      <c r="J63">
        <f>SUMIF(DATA!$A:$A,PPL!$A63,DATA!H:H)</f>
        <v>0</v>
      </c>
      <c r="K63">
        <f>SUMIF(DATA!$A:$A,PPL!$A63,DATA!I:I)</f>
        <v>9</v>
      </c>
      <c r="L63">
        <f>SUMIF(DATA!$A:$A,PPL!$A63,DATA!J:J)</f>
        <v>0</v>
      </c>
      <c r="M63">
        <f t="shared" si="4"/>
        <v>745</v>
      </c>
      <c r="N63">
        <f t="shared" ref="N63:N124" si="5">F63+I63+J63+K63+L63</f>
        <v>906</v>
      </c>
      <c r="O63" s="3">
        <f t="shared" ref="O63:O124" si="6">(N63/E63)*100</f>
        <v>98.478260869565219</v>
      </c>
      <c r="P63">
        <f t="shared" si="3"/>
        <v>14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696</v>
      </c>
      <c r="F64">
        <f>SUMIF(DATA!$A:$A,PPL!$A64,DATA!D:D)</f>
        <v>485</v>
      </c>
      <c r="G64">
        <f>SUMIF(DATA!$A:$A,PPL!$A64,DATA!E:E)</f>
        <v>6</v>
      </c>
      <c r="H64">
        <f>SUMIF(DATA!$A:$A,PPL!$A64,DATA!F:F)</f>
        <v>6</v>
      </c>
      <c r="I64">
        <f>SUMIF(DATA!$A:$A,PPL!$A64,DATA!G:G)</f>
        <v>85</v>
      </c>
      <c r="J64">
        <f>SUMIF(DATA!$A:$A,PPL!$A64,DATA!H:H)</f>
        <v>3</v>
      </c>
      <c r="K64">
        <f>SUMIF(DATA!$A:$A,PPL!$A64,DATA!I:I)</f>
        <v>111</v>
      </c>
      <c r="L64">
        <f>SUMIF(DATA!$A:$A,PPL!$A64,DATA!J:J)</f>
        <v>0</v>
      </c>
      <c r="M64">
        <f t="shared" si="4"/>
        <v>551</v>
      </c>
      <c r="N64">
        <f t="shared" si="5"/>
        <v>684</v>
      </c>
      <c r="O64" s="3">
        <f t="shared" si="6"/>
        <v>98.275862068965509</v>
      </c>
      <c r="P64">
        <f t="shared" si="3"/>
        <v>12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730</v>
      </c>
      <c r="F65">
        <f>SUMIF(DATA!$A:$A,PPL!$A65,DATA!D:D)</f>
        <v>378</v>
      </c>
      <c r="G65">
        <f>SUMIF(DATA!$A:$A,PPL!$A65,DATA!E:E)</f>
        <v>36</v>
      </c>
      <c r="H65">
        <f>SUMIF(DATA!$A:$A,PPL!$A65,DATA!F:F)</f>
        <v>0</v>
      </c>
      <c r="I65">
        <f>SUMIF(DATA!$A:$A,PPL!$A65,DATA!G:G)</f>
        <v>179</v>
      </c>
      <c r="J65">
        <f>SUMIF(DATA!$A:$A,PPL!$A65,DATA!H:H)</f>
        <v>23</v>
      </c>
      <c r="K65">
        <f>SUMIF(DATA!$A:$A,PPL!$A65,DATA!I:I)</f>
        <v>114</v>
      </c>
      <c r="L65">
        <f>SUMIF(DATA!$A:$A,PPL!$A65,DATA!J:J)</f>
        <v>0</v>
      </c>
      <c r="M65">
        <f t="shared" si="4"/>
        <v>564</v>
      </c>
      <c r="N65">
        <f t="shared" si="5"/>
        <v>694</v>
      </c>
      <c r="O65" s="3">
        <f t="shared" si="6"/>
        <v>95.06849315068493</v>
      </c>
      <c r="P65">
        <f t="shared" si="3"/>
        <v>36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529</v>
      </c>
      <c r="F66">
        <f>SUMIF(DATA!$A:$A,PPL!$A66,DATA!D:D)</f>
        <v>445</v>
      </c>
      <c r="G66">
        <f>SUMIF(DATA!$A:$A,PPL!$A66,DATA!E:E)</f>
        <v>0</v>
      </c>
      <c r="H66">
        <f>SUMIF(DATA!$A:$A,PPL!$A66,DATA!F:F)</f>
        <v>31</v>
      </c>
      <c r="I66">
        <f>SUMIF(DATA!$A:$A,PPL!$A66,DATA!G:G)</f>
        <v>46</v>
      </c>
      <c r="J66">
        <f>SUMIF(DATA!$A:$A,PPL!$A66,DATA!H:H)</f>
        <v>3</v>
      </c>
      <c r="K66">
        <f>SUMIF(DATA!$A:$A,PPL!$A66,DATA!I:I)</f>
        <v>4</v>
      </c>
      <c r="L66">
        <f>SUMIF(DATA!$A:$A,PPL!$A66,DATA!J:J)</f>
        <v>0</v>
      </c>
      <c r="M66">
        <f t="shared" ref="M66:M97" si="7">N66-Q66</f>
        <v>341</v>
      </c>
      <c r="N66">
        <f t="shared" si="5"/>
        <v>498</v>
      </c>
      <c r="O66" s="3">
        <f t="shared" si="6"/>
        <v>94.139886578449904</v>
      </c>
      <c r="P66">
        <f t="shared" si="3"/>
        <v>31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565</v>
      </c>
      <c r="F67">
        <f>SUMIF(DATA!$A:$A,PPL!$A67,DATA!D:D)</f>
        <v>216</v>
      </c>
      <c r="G67">
        <f>SUMIF(DATA!$A:$A,PPL!$A67,DATA!E:E)</f>
        <v>6</v>
      </c>
      <c r="H67">
        <f>SUMIF(DATA!$A:$A,PPL!$A67,DATA!F:F)</f>
        <v>36</v>
      </c>
      <c r="I67">
        <f>SUMIF(DATA!$A:$A,PPL!$A67,DATA!G:G)</f>
        <v>31</v>
      </c>
      <c r="J67">
        <f>SUMIF(DATA!$A:$A,PPL!$A67,DATA!H:H)</f>
        <v>4</v>
      </c>
      <c r="K67">
        <f>SUMIF(DATA!$A:$A,PPL!$A67,DATA!I:I)</f>
        <v>272</v>
      </c>
      <c r="L67">
        <f>SUMIF(DATA!$A:$A,PPL!$A67,DATA!J:J)</f>
        <v>0</v>
      </c>
      <c r="M67">
        <f t="shared" si="7"/>
        <v>403</v>
      </c>
      <c r="N67">
        <f t="shared" si="5"/>
        <v>523</v>
      </c>
      <c r="O67" s="3">
        <f t="shared" si="6"/>
        <v>92.56637168141593</v>
      </c>
      <c r="P67">
        <f t="shared" ref="P67:P130" si="8">CEILING((E67-N67)/1,1)</f>
        <v>42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539</v>
      </c>
      <c r="F68">
        <f>SUMIF(DATA!$A:$A,PPL!$A68,DATA!D:D)</f>
        <v>266</v>
      </c>
      <c r="G68">
        <f>SUMIF(DATA!$A:$A,PPL!$A68,DATA!E:E)</f>
        <v>0</v>
      </c>
      <c r="H68">
        <f>SUMIF(DATA!$A:$A,PPL!$A68,DATA!F:F)</f>
        <v>9</v>
      </c>
      <c r="I68">
        <f>SUMIF(DATA!$A:$A,PPL!$A68,DATA!G:G)</f>
        <v>0</v>
      </c>
      <c r="J68">
        <f>SUMIF(DATA!$A:$A,PPL!$A68,DATA!H:H)</f>
        <v>1</v>
      </c>
      <c r="K68">
        <f>SUMIF(DATA!$A:$A,PPL!$A68,DATA!I:I)</f>
        <v>263</v>
      </c>
      <c r="L68">
        <f>SUMIF(DATA!$A:$A,PPL!$A68,DATA!J:J)</f>
        <v>0</v>
      </c>
      <c r="M68">
        <f t="shared" si="7"/>
        <v>381</v>
      </c>
      <c r="N68">
        <f t="shared" si="5"/>
        <v>530</v>
      </c>
      <c r="O68" s="3">
        <f t="shared" si="6"/>
        <v>98.330241187384047</v>
      </c>
      <c r="P68">
        <f t="shared" si="8"/>
        <v>9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485</v>
      </c>
      <c r="F69">
        <f>SUMIF(DATA!$A:$A,PPL!$A69,DATA!D:D)</f>
        <v>309</v>
      </c>
      <c r="G69">
        <f>SUMIF(DATA!$A:$A,PPL!$A69,DATA!E:E)</f>
        <v>0</v>
      </c>
      <c r="H69">
        <f>SUMIF(DATA!$A:$A,PPL!$A69,DATA!F:F)</f>
        <v>8</v>
      </c>
      <c r="I69">
        <f>SUMIF(DATA!$A:$A,PPL!$A69,DATA!G:G)</f>
        <v>5</v>
      </c>
      <c r="J69">
        <f>SUMIF(DATA!$A:$A,PPL!$A69,DATA!H:H)</f>
        <v>1</v>
      </c>
      <c r="K69">
        <f>SUMIF(DATA!$A:$A,PPL!$A69,DATA!I:I)</f>
        <v>162</v>
      </c>
      <c r="L69">
        <f>SUMIF(DATA!$A:$A,PPL!$A69,DATA!J:J)</f>
        <v>0</v>
      </c>
      <c r="M69">
        <f t="shared" si="7"/>
        <v>340</v>
      </c>
      <c r="N69">
        <f t="shared" si="5"/>
        <v>477</v>
      </c>
      <c r="O69" s="3">
        <f t="shared" si="6"/>
        <v>98.350515463917517</v>
      </c>
      <c r="P69">
        <f t="shared" si="8"/>
        <v>8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606</v>
      </c>
      <c r="F70">
        <f>SUMIF(DATA!$A:$A,PPL!$A70,DATA!D:D)</f>
        <v>351</v>
      </c>
      <c r="G70">
        <f>SUMIF(DATA!$A:$A,PPL!$A70,DATA!E:E)</f>
        <v>1</v>
      </c>
      <c r="H70">
        <f>SUMIF(DATA!$A:$A,PPL!$A70,DATA!F:F)</f>
        <v>34</v>
      </c>
      <c r="I70">
        <f>SUMIF(DATA!$A:$A,PPL!$A70,DATA!G:G)</f>
        <v>6</v>
      </c>
      <c r="J70">
        <f>SUMIF(DATA!$A:$A,PPL!$A70,DATA!H:H)</f>
        <v>2</v>
      </c>
      <c r="K70">
        <f>SUMIF(DATA!$A:$A,PPL!$A70,DATA!I:I)</f>
        <v>212</v>
      </c>
      <c r="L70">
        <f>SUMIF(DATA!$A:$A,PPL!$A70,DATA!J:J)</f>
        <v>0</v>
      </c>
      <c r="M70">
        <f t="shared" si="7"/>
        <v>457</v>
      </c>
      <c r="N70">
        <f t="shared" si="5"/>
        <v>571</v>
      </c>
      <c r="O70" s="3">
        <f t="shared" si="6"/>
        <v>94.224422442244233</v>
      </c>
      <c r="P70">
        <f t="shared" si="8"/>
        <v>35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534</v>
      </c>
      <c r="F71">
        <f>SUMIF(DATA!$A:$A,PPL!$A71,DATA!D:D)</f>
        <v>290</v>
      </c>
      <c r="G71">
        <f>SUMIF(DATA!$A:$A,PPL!$A71,DATA!E:E)</f>
        <v>1</v>
      </c>
      <c r="H71">
        <f>SUMIF(DATA!$A:$A,PPL!$A71,DATA!F:F)</f>
        <v>37</v>
      </c>
      <c r="I71">
        <f>SUMIF(DATA!$A:$A,PPL!$A71,DATA!G:G)</f>
        <v>21</v>
      </c>
      <c r="J71">
        <f>SUMIF(DATA!$A:$A,PPL!$A71,DATA!H:H)</f>
        <v>0</v>
      </c>
      <c r="K71">
        <f>SUMIF(DATA!$A:$A,PPL!$A71,DATA!I:I)</f>
        <v>185</v>
      </c>
      <c r="L71">
        <f>SUMIF(DATA!$A:$A,PPL!$A71,DATA!J:J)</f>
        <v>0</v>
      </c>
      <c r="M71">
        <f t="shared" si="7"/>
        <v>318</v>
      </c>
      <c r="N71">
        <f t="shared" si="5"/>
        <v>496</v>
      </c>
      <c r="O71" s="3">
        <f t="shared" si="6"/>
        <v>92.883895131086149</v>
      </c>
      <c r="P71">
        <f t="shared" si="8"/>
        <v>38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555</v>
      </c>
      <c r="F72">
        <f>SUMIF(DATA!$A:$A,PPL!$A72,DATA!D:D)</f>
        <v>259</v>
      </c>
      <c r="G72">
        <f>SUMIF(DATA!$A:$A,PPL!$A72,DATA!E:E)</f>
        <v>5</v>
      </c>
      <c r="H72">
        <f>SUMIF(DATA!$A:$A,PPL!$A72,DATA!F:F)</f>
        <v>12</v>
      </c>
      <c r="I72">
        <f>SUMIF(DATA!$A:$A,PPL!$A72,DATA!G:G)</f>
        <v>14</v>
      </c>
      <c r="J72">
        <f>SUMIF(DATA!$A:$A,PPL!$A72,DATA!H:H)</f>
        <v>1</v>
      </c>
      <c r="K72">
        <f>SUMIF(DATA!$A:$A,PPL!$A72,DATA!I:I)</f>
        <v>264</v>
      </c>
      <c r="L72">
        <f>SUMIF(DATA!$A:$A,PPL!$A72,DATA!J:J)</f>
        <v>0</v>
      </c>
      <c r="M72">
        <f t="shared" si="7"/>
        <v>406</v>
      </c>
      <c r="N72">
        <f t="shared" si="5"/>
        <v>538</v>
      </c>
      <c r="O72" s="3">
        <f t="shared" si="6"/>
        <v>96.936936936936931</v>
      </c>
      <c r="P72">
        <f t="shared" si="8"/>
        <v>17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507</v>
      </c>
      <c r="G73">
        <f>SUMIF(DATA!$A:$A,PPL!$A73,DATA!E:E)</f>
        <v>6</v>
      </c>
      <c r="H73">
        <f>SUMIF(DATA!$A:$A,PPL!$A73,DATA!F:F)</f>
        <v>0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4</v>
      </c>
      <c r="L73">
        <f>SUMIF(DATA!$A:$A,PPL!$A73,DATA!J:J)</f>
        <v>0</v>
      </c>
      <c r="M73">
        <f t="shared" si="7"/>
        <v>423</v>
      </c>
      <c r="N73">
        <f t="shared" si="5"/>
        <v>512</v>
      </c>
      <c r="O73" s="3">
        <f t="shared" si="6"/>
        <v>98.841698841698843</v>
      </c>
      <c r="P73">
        <f t="shared" si="8"/>
        <v>6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255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23</v>
      </c>
      <c r="J74">
        <f>SUMIF(DATA!$A:$A,PPL!$A74,DATA!H:H)</f>
        <v>1</v>
      </c>
      <c r="K74">
        <f>SUMIF(DATA!$A:$A,PPL!$A74,DATA!I:I)</f>
        <v>175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544</v>
      </c>
      <c r="F75">
        <f>SUMIF(DATA!$A:$A,PPL!$A75,DATA!D:D)</f>
        <v>519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8</v>
      </c>
      <c r="J75">
        <f>SUMIF(DATA!$A:$A,PPL!$A75,DATA!H:H)</f>
        <v>8</v>
      </c>
      <c r="K75">
        <f>SUMIF(DATA!$A:$A,PPL!$A75,DATA!I:I)</f>
        <v>7</v>
      </c>
      <c r="L75">
        <f>SUMIF(DATA!$A:$A,PPL!$A75,DATA!J:J)</f>
        <v>0</v>
      </c>
      <c r="M75">
        <f t="shared" si="7"/>
        <v>383</v>
      </c>
      <c r="N75">
        <f t="shared" si="5"/>
        <v>542</v>
      </c>
      <c r="O75" s="3">
        <f t="shared" si="6"/>
        <v>99.632352941176478</v>
      </c>
      <c r="P75">
        <f t="shared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511</v>
      </c>
      <c r="F76">
        <f>SUMIF(DATA!$A:$A,PPL!$A76,DATA!D:D)</f>
        <v>369</v>
      </c>
      <c r="G76">
        <f>SUMIF(DATA!$A:$A,PPL!$A76,DATA!E:E)</f>
        <v>10</v>
      </c>
      <c r="H76">
        <f>SUMIF(DATA!$A:$A,PPL!$A76,DATA!F:F)</f>
        <v>8</v>
      </c>
      <c r="I76">
        <f>SUMIF(DATA!$A:$A,PPL!$A76,DATA!G:G)</f>
        <v>29</v>
      </c>
      <c r="J76">
        <f>SUMIF(DATA!$A:$A,PPL!$A76,DATA!H:H)</f>
        <v>17</v>
      </c>
      <c r="K76">
        <f>SUMIF(DATA!$A:$A,PPL!$A76,DATA!I:I)</f>
        <v>78</v>
      </c>
      <c r="L76">
        <f>SUMIF(DATA!$A:$A,PPL!$A76,DATA!J:J)</f>
        <v>0</v>
      </c>
      <c r="M76">
        <f t="shared" si="7"/>
        <v>404</v>
      </c>
      <c r="N76">
        <f t="shared" si="5"/>
        <v>493</v>
      </c>
      <c r="O76" s="3">
        <f t="shared" si="6"/>
        <v>96.477495107632095</v>
      </c>
      <c r="P76">
        <f t="shared" si="8"/>
        <v>18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441</v>
      </c>
      <c r="F77">
        <f>SUMIF(DATA!$A:$A,PPL!$A77,DATA!D:D)</f>
        <v>326</v>
      </c>
      <c r="G77">
        <f>SUMIF(DATA!$A:$A,PPL!$A77,DATA!E:E)</f>
        <v>9</v>
      </c>
      <c r="H77">
        <f>SUMIF(DATA!$A:$A,PPL!$A77,DATA!F:F)</f>
        <v>29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77</v>
      </c>
      <c r="L77">
        <f>SUMIF(DATA!$A:$A,PPL!$A77,DATA!J:J)</f>
        <v>0</v>
      </c>
      <c r="M77">
        <f t="shared" si="7"/>
        <v>302</v>
      </c>
      <c r="N77">
        <f t="shared" si="5"/>
        <v>403</v>
      </c>
      <c r="O77" s="3">
        <f t="shared" si="6"/>
        <v>91.383219954648524</v>
      </c>
      <c r="P77">
        <f t="shared" si="8"/>
        <v>38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437</v>
      </c>
      <c r="G78">
        <f>SUMIF(DATA!$A:$A,PPL!$A78,DATA!E:E)</f>
        <v>4</v>
      </c>
      <c r="H78">
        <f>SUMIF(DATA!$A:$A,PPL!$A78,DATA!F:F)</f>
        <v>1</v>
      </c>
      <c r="I78">
        <f>SUMIF(DATA!$A:$A,PPL!$A78,DATA!G:G)</f>
        <v>4</v>
      </c>
      <c r="J78">
        <f>SUMIF(DATA!$A:$A,PPL!$A78,DATA!H:H)</f>
        <v>1</v>
      </c>
      <c r="K78">
        <f>SUMIF(DATA!$A:$A,PPL!$A78,DATA!I:I)</f>
        <v>8</v>
      </c>
      <c r="L78">
        <f>SUMIF(DATA!$A:$A,PPL!$A78,DATA!J:J)</f>
        <v>0</v>
      </c>
      <c r="M78">
        <f t="shared" si="7"/>
        <v>357</v>
      </c>
      <c r="N78">
        <f t="shared" si="5"/>
        <v>450</v>
      </c>
      <c r="O78" s="3">
        <f t="shared" si="6"/>
        <v>98.901098901098905</v>
      </c>
      <c r="P78">
        <f t="shared" si="8"/>
        <v>5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485</v>
      </c>
      <c r="F79">
        <f>SUMIF(DATA!$A:$A,PPL!$A79,DATA!D:D)</f>
        <v>384</v>
      </c>
      <c r="G79">
        <f>SUMIF(DATA!$A:$A,PPL!$A79,DATA!E:E)</f>
        <v>19</v>
      </c>
      <c r="H79">
        <f>SUMIF(DATA!$A:$A,PPL!$A79,DATA!F:F)</f>
        <v>14</v>
      </c>
      <c r="I79">
        <f>SUMIF(DATA!$A:$A,PPL!$A79,DATA!G:G)</f>
        <v>7</v>
      </c>
      <c r="J79">
        <f>SUMIF(DATA!$A:$A,PPL!$A79,DATA!H:H)</f>
        <v>1</v>
      </c>
      <c r="K79">
        <f>SUMIF(DATA!$A:$A,PPL!$A79,DATA!I:I)</f>
        <v>60</v>
      </c>
      <c r="L79">
        <f>SUMIF(DATA!$A:$A,PPL!$A79,DATA!J:J)</f>
        <v>0</v>
      </c>
      <c r="M79">
        <f t="shared" si="7"/>
        <v>365</v>
      </c>
      <c r="N79">
        <f t="shared" si="5"/>
        <v>452</v>
      </c>
      <c r="O79" s="3">
        <f t="shared" si="6"/>
        <v>93.19587628865979</v>
      </c>
      <c r="P79">
        <f t="shared" si="8"/>
        <v>33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461</v>
      </c>
      <c r="F80">
        <f>SUMIF(DATA!$A:$A,PPL!$A80,DATA!D:D)</f>
        <v>352</v>
      </c>
      <c r="G80">
        <f>SUMIF(DATA!$A:$A,PPL!$A80,DATA!E:E)</f>
        <v>4</v>
      </c>
      <c r="H80">
        <f>SUMIF(DATA!$A:$A,PPL!$A80,DATA!F:F)</f>
        <v>37</v>
      </c>
      <c r="I80">
        <f>SUMIF(DATA!$A:$A,PPL!$A80,DATA!G:G)</f>
        <v>17</v>
      </c>
      <c r="J80">
        <f>SUMIF(DATA!$A:$A,PPL!$A80,DATA!H:H)</f>
        <v>1</v>
      </c>
      <c r="K80">
        <f>SUMIF(DATA!$A:$A,PPL!$A80,DATA!I:I)</f>
        <v>50</v>
      </c>
      <c r="L80">
        <f>SUMIF(DATA!$A:$A,PPL!$A80,DATA!J:J)</f>
        <v>0</v>
      </c>
      <c r="M80">
        <f t="shared" si="7"/>
        <v>337</v>
      </c>
      <c r="N80">
        <f t="shared" si="5"/>
        <v>420</v>
      </c>
      <c r="O80" s="3">
        <f t="shared" si="6"/>
        <v>91.106290672451195</v>
      </c>
      <c r="P80">
        <f t="shared" si="8"/>
        <v>41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778</v>
      </c>
      <c r="F81">
        <f>SUMIF(DATA!$A:$A,PPL!$A81,DATA!D:D)</f>
        <v>619</v>
      </c>
      <c r="G81">
        <f>SUMIF(DATA!$A:$A,PPL!$A81,DATA!E:E)</f>
        <v>1</v>
      </c>
      <c r="H81">
        <f>SUMIF(DATA!$A:$A,PPL!$A81,DATA!F:F)</f>
        <v>96</v>
      </c>
      <c r="I81">
        <f>SUMIF(DATA!$A:$A,PPL!$A81,DATA!G:G)</f>
        <v>20</v>
      </c>
      <c r="J81">
        <f>SUMIF(DATA!$A:$A,PPL!$A81,DATA!H:H)</f>
        <v>3</v>
      </c>
      <c r="K81">
        <f>SUMIF(DATA!$A:$A,PPL!$A81,DATA!I:I)</f>
        <v>39</v>
      </c>
      <c r="L81">
        <f>SUMIF(DATA!$A:$A,PPL!$A81,DATA!J:J)</f>
        <v>0</v>
      </c>
      <c r="M81">
        <f t="shared" si="7"/>
        <v>471</v>
      </c>
      <c r="N81">
        <f t="shared" si="5"/>
        <v>681</v>
      </c>
      <c r="O81" s="3">
        <f t="shared" si="6"/>
        <v>87.532133676092556</v>
      </c>
      <c r="P81">
        <f t="shared" si="8"/>
        <v>97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750</v>
      </c>
      <c r="F82">
        <f>SUMIF(DATA!$A:$A,PPL!$A82,DATA!D:D)</f>
        <v>484</v>
      </c>
      <c r="G82">
        <f>SUMIF(DATA!$A:$A,PPL!$A82,DATA!E:E)</f>
        <v>12</v>
      </c>
      <c r="H82">
        <f>SUMIF(DATA!$A:$A,PPL!$A82,DATA!F:F)</f>
        <v>18</v>
      </c>
      <c r="I82">
        <f>SUMIF(DATA!$A:$A,PPL!$A82,DATA!G:G)</f>
        <v>49</v>
      </c>
      <c r="J82">
        <f>SUMIF(DATA!$A:$A,PPL!$A82,DATA!H:H)</f>
        <v>1</v>
      </c>
      <c r="K82">
        <f>SUMIF(DATA!$A:$A,PPL!$A82,DATA!I:I)</f>
        <v>186</v>
      </c>
      <c r="L82">
        <f>SUMIF(DATA!$A:$A,PPL!$A82,DATA!J:J)</f>
        <v>0</v>
      </c>
      <c r="M82">
        <f t="shared" si="7"/>
        <v>450</v>
      </c>
      <c r="N82">
        <f t="shared" si="5"/>
        <v>720</v>
      </c>
      <c r="O82" s="3">
        <f t="shared" si="6"/>
        <v>96</v>
      </c>
      <c r="P82">
        <f t="shared" si="8"/>
        <v>30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723</v>
      </c>
      <c r="F83">
        <f>SUMIF(DATA!$A:$A,PPL!$A83,DATA!D:D)</f>
        <v>373</v>
      </c>
      <c r="G83">
        <f>SUMIF(DATA!$A:$A,PPL!$A83,DATA!E:E)</f>
        <v>9</v>
      </c>
      <c r="H83">
        <f>SUMIF(DATA!$A:$A,PPL!$A83,DATA!F:F)</f>
        <v>22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315</v>
      </c>
      <c r="L83">
        <f>SUMIF(DATA!$A:$A,PPL!$A83,DATA!J:J)</f>
        <v>0</v>
      </c>
      <c r="M83">
        <f t="shared" si="7"/>
        <v>426</v>
      </c>
      <c r="N83">
        <f t="shared" si="5"/>
        <v>692</v>
      </c>
      <c r="O83" s="3">
        <f t="shared" si="6"/>
        <v>95.712309820193639</v>
      </c>
      <c r="P83">
        <f t="shared" si="8"/>
        <v>31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689</v>
      </c>
      <c r="F84">
        <f>SUMIF(DATA!$A:$A,PPL!$A84,DATA!D:D)</f>
        <v>505</v>
      </c>
      <c r="G84">
        <f>SUMIF(DATA!$A:$A,PPL!$A84,DATA!E:E)</f>
        <v>14</v>
      </c>
      <c r="H84">
        <f>SUMIF(DATA!$A:$A,PPL!$A84,DATA!F:F)</f>
        <v>67</v>
      </c>
      <c r="I84">
        <f>SUMIF(DATA!$A:$A,PPL!$A84,DATA!G:G)</f>
        <v>0</v>
      </c>
      <c r="J84">
        <f>SUMIF(DATA!$A:$A,PPL!$A84,DATA!H:H)</f>
        <v>2</v>
      </c>
      <c r="K84">
        <f>SUMIF(DATA!$A:$A,PPL!$A84,DATA!I:I)</f>
        <v>101</v>
      </c>
      <c r="L84">
        <f>SUMIF(DATA!$A:$A,PPL!$A84,DATA!J:J)</f>
        <v>0</v>
      </c>
      <c r="M84">
        <f t="shared" si="7"/>
        <v>407</v>
      </c>
      <c r="N84">
        <f t="shared" si="5"/>
        <v>608</v>
      </c>
      <c r="O84" s="3">
        <f t="shared" si="6"/>
        <v>88.243831640058062</v>
      </c>
      <c r="P84">
        <f t="shared" si="8"/>
        <v>81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659</v>
      </c>
      <c r="F85">
        <f>SUMIF(DATA!$A:$A,PPL!$A85,DATA!D:D)</f>
        <v>274</v>
      </c>
      <c r="G85">
        <f>SUMIF(DATA!$A:$A,PPL!$A85,DATA!E:E)</f>
        <v>90</v>
      </c>
      <c r="H85">
        <f>SUMIF(DATA!$A:$A,PPL!$A85,DATA!F:F)</f>
        <v>73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221</v>
      </c>
      <c r="L85">
        <f>SUMIF(DATA!$A:$A,PPL!$A85,DATA!J:J)</f>
        <v>0</v>
      </c>
      <c r="M85">
        <f t="shared" si="7"/>
        <v>356</v>
      </c>
      <c r="N85">
        <f t="shared" si="5"/>
        <v>496</v>
      </c>
      <c r="O85" s="3">
        <f t="shared" si="6"/>
        <v>75.265553869499243</v>
      </c>
      <c r="P85">
        <f t="shared" si="8"/>
        <v>163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694</v>
      </c>
      <c r="F86">
        <f>SUMIF(DATA!$A:$A,PPL!$A86,DATA!D:D)</f>
        <v>581</v>
      </c>
      <c r="G86">
        <f>SUMIF(DATA!$A:$A,PPL!$A86,DATA!E:E)</f>
        <v>0</v>
      </c>
      <c r="H86">
        <f>SUMIF(DATA!$A:$A,PPL!$A86,DATA!F:F)</f>
        <v>3</v>
      </c>
      <c r="I86">
        <f>SUMIF(DATA!$A:$A,PPL!$A86,DATA!G:G)</f>
        <v>8</v>
      </c>
      <c r="J86">
        <f>SUMIF(DATA!$A:$A,PPL!$A86,DATA!H:H)</f>
        <v>3</v>
      </c>
      <c r="K86">
        <f>SUMIF(DATA!$A:$A,PPL!$A86,DATA!I:I)</f>
        <v>99</v>
      </c>
      <c r="L86">
        <f>SUMIF(DATA!$A:$A,PPL!$A86,DATA!J:J)</f>
        <v>0</v>
      </c>
      <c r="M86">
        <f t="shared" si="7"/>
        <v>540</v>
      </c>
      <c r="N86">
        <f t="shared" si="5"/>
        <v>691</v>
      </c>
      <c r="O86" s="3">
        <f t="shared" si="6"/>
        <v>99.567723342939487</v>
      </c>
      <c r="P86">
        <f t="shared" si="8"/>
        <v>3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745</v>
      </c>
      <c r="F87">
        <f>SUMIF(DATA!$A:$A,PPL!$A87,DATA!D:D)</f>
        <v>164</v>
      </c>
      <c r="G87">
        <f>SUMIF(DATA!$A:$A,PPL!$A87,DATA!E:E)</f>
        <v>92</v>
      </c>
      <c r="H87">
        <f>SUMIF(DATA!$A:$A,PPL!$A87,DATA!F:F)</f>
        <v>93</v>
      </c>
      <c r="I87">
        <f>SUMIF(DATA!$A:$A,PPL!$A87,DATA!G:G)</f>
        <v>92</v>
      </c>
      <c r="J87">
        <f>SUMIF(DATA!$A:$A,PPL!$A87,DATA!H:H)</f>
        <v>8</v>
      </c>
      <c r="K87">
        <f>SUMIF(DATA!$A:$A,PPL!$A87,DATA!I:I)</f>
        <v>296</v>
      </c>
      <c r="L87">
        <f>SUMIF(DATA!$A:$A,PPL!$A87,DATA!J:J)</f>
        <v>0</v>
      </c>
      <c r="M87">
        <f t="shared" si="7"/>
        <v>377</v>
      </c>
      <c r="N87">
        <f t="shared" si="5"/>
        <v>560</v>
      </c>
      <c r="O87" s="3">
        <f t="shared" si="6"/>
        <v>75.167785234899327</v>
      </c>
      <c r="P87">
        <f t="shared" si="8"/>
        <v>185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730</v>
      </c>
      <c r="F88">
        <f>SUMIF(DATA!$A:$A,PPL!$A88,DATA!D:D)</f>
        <v>216</v>
      </c>
      <c r="G88">
        <f>SUMIF(DATA!$A:$A,PPL!$A88,DATA!E:E)</f>
        <v>61</v>
      </c>
      <c r="H88">
        <f>SUMIF(DATA!$A:$A,PPL!$A88,DATA!F:F)</f>
        <v>136</v>
      </c>
      <c r="I88">
        <f>SUMIF(DATA!$A:$A,PPL!$A88,DATA!G:G)</f>
        <v>14</v>
      </c>
      <c r="J88">
        <f>SUMIF(DATA!$A:$A,PPL!$A88,DATA!H:H)</f>
        <v>0</v>
      </c>
      <c r="K88">
        <f>SUMIF(DATA!$A:$A,PPL!$A88,DATA!I:I)</f>
        <v>303</v>
      </c>
      <c r="L88">
        <f>SUMIF(DATA!$A:$A,PPL!$A88,DATA!J:J)</f>
        <v>0</v>
      </c>
      <c r="M88">
        <f t="shared" si="7"/>
        <v>361</v>
      </c>
      <c r="N88">
        <f t="shared" si="5"/>
        <v>533</v>
      </c>
      <c r="O88" s="3">
        <f t="shared" si="6"/>
        <v>73.013698630136986</v>
      </c>
      <c r="P88">
        <f t="shared" si="8"/>
        <v>197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662</v>
      </c>
      <c r="F89">
        <f>SUMIF(DATA!$A:$A,PPL!$A89,DATA!D:D)</f>
        <v>337</v>
      </c>
      <c r="G89">
        <f>SUMIF(DATA!$A:$A,PPL!$A89,DATA!E:E)</f>
        <v>33</v>
      </c>
      <c r="H89">
        <f>SUMIF(DATA!$A:$A,PPL!$A89,DATA!F:F)</f>
        <v>67</v>
      </c>
      <c r="I89">
        <f>SUMIF(DATA!$A:$A,PPL!$A89,DATA!G:G)</f>
        <v>12</v>
      </c>
      <c r="J89">
        <f>SUMIF(DATA!$A:$A,PPL!$A89,DATA!H:H)</f>
        <v>1</v>
      </c>
      <c r="K89">
        <f>SUMIF(DATA!$A:$A,PPL!$A89,DATA!I:I)</f>
        <v>212</v>
      </c>
      <c r="L89">
        <f>SUMIF(DATA!$A:$A,PPL!$A89,DATA!J:J)</f>
        <v>0</v>
      </c>
      <c r="M89">
        <f t="shared" si="7"/>
        <v>321</v>
      </c>
      <c r="N89">
        <f t="shared" si="5"/>
        <v>562</v>
      </c>
      <c r="O89" s="3">
        <f t="shared" si="6"/>
        <v>84.894259818731115</v>
      </c>
      <c r="P89">
        <f t="shared" si="8"/>
        <v>100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675</v>
      </c>
      <c r="F90">
        <f>SUMIF(DATA!$A:$A,PPL!$A90,DATA!D:D)</f>
        <v>283</v>
      </c>
      <c r="G90">
        <f>SUMIF(DATA!$A:$A,PPL!$A90,DATA!E:E)</f>
        <v>26</v>
      </c>
      <c r="H90">
        <f>SUMIF(DATA!$A:$A,PPL!$A90,DATA!F:F)</f>
        <v>83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261</v>
      </c>
      <c r="L90">
        <f>SUMIF(DATA!$A:$A,PPL!$A90,DATA!J:J)</f>
        <v>0</v>
      </c>
      <c r="M90">
        <f t="shared" si="7"/>
        <v>345</v>
      </c>
      <c r="N90">
        <f t="shared" si="5"/>
        <v>566</v>
      </c>
      <c r="O90" s="3">
        <f t="shared" si="6"/>
        <v>83.851851851851862</v>
      </c>
      <c r="P90">
        <f t="shared" si="8"/>
        <v>109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681</v>
      </c>
      <c r="F91">
        <f>SUMIF(DATA!$A:$A,PPL!$A91,DATA!D:D)</f>
        <v>165</v>
      </c>
      <c r="G91">
        <f>SUMIF(DATA!$A:$A,PPL!$A91,DATA!E:E)</f>
        <v>121</v>
      </c>
      <c r="H91">
        <f>SUMIF(DATA!$A:$A,PPL!$A91,DATA!F:F)</f>
        <v>129</v>
      </c>
      <c r="I91">
        <f>SUMIF(DATA!$A:$A,PPL!$A91,DATA!G:G)</f>
        <v>70</v>
      </c>
      <c r="J91">
        <f>SUMIF(DATA!$A:$A,PPL!$A91,DATA!H:H)</f>
        <v>9</v>
      </c>
      <c r="K91">
        <f>SUMIF(DATA!$A:$A,PPL!$A91,DATA!I:I)</f>
        <v>187</v>
      </c>
      <c r="L91">
        <f>SUMIF(DATA!$A:$A,PPL!$A91,DATA!J:J)</f>
        <v>0</v>
      </c>
      <c r="M91">
        <f t="shared" si="7"/>
        <v>222</v>
      </c>
      <c r="N91">
        <f t="shared" si="5"/>
        <v>431</v>
      </c>
      <c r="O91" s="3">
        <f t="shared" si="6"/>
        <v>63.289280469897214</v>
      </c>
      <c r="P91">
        <f t="shared" si="8"/>
        <v>250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687</v>
      </c>
      <c r="F92">
        <f>SUMIF(DATA!$A:$A,PPL!$A92,DATA!D:D)</f>
        <v>259</v>
      </c>
      <c r="G92">
        <f>SUMIF(DATA!$A:$A,PPL!$A92,DATA!E:E)</f>
        <v>0</v>
      </c>
      <c r="H92">
        <f>SUMIF(DATA!$A:$A,PPL!$A92,DATA!F:F)</f>
        <v>71</v>
      </c>
      <c r="I92">
        <f>SUMIF(DATA!$A:$A,PPL!$A92,DATA!G:G)</f>
        <v>12</v>
      </c>
      <c r="J92">
        <f>SUMIF(DATA!$A:$A,PPL!$A92,DATA!H:H)</f>
        <v>1</v>
      </c>
      <c r="K92">
        <f>SUMIF(DATA!$A:$A,PPL!$A92,DATA!I:I)</f>
        <v>344</v>
      </c>
      <c r="L92">
        <f>SUMIF(DATA!$A:$A,PPL!$A92,DATA!J:J)</f>
        <v>0</v>
      </c>
      <c r="M92">
        <f t="shared" si="7"/>
        <v>399</v>
      </c>
      <c r="N92">
        <f t="shared" si="5"/>
        <v>616</v>
      </c>
      <c r="O92" s="3">
        <f t="shared" si="6"/>
        <v>89.66521106259097</v>
      </c>
      <c r="P92">
        <f t="shared" si="8"/>
        <v>71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743</v>
      </c>
      <c r="F93">
        <f>SUMIF(DATA!$A:$A,PPL!$A93,DATA!D:D)</f>
        <v>329</v>
      </c>
      <c r="G93">
        <f>SUMIF(DATA!$A:$A,PPL!$A93,DATA!E:E)</f>
        <v>18</v>
      </c>
      <c r="H93">
        <f>SUMIF(DATA!$A:$A,PPL!$A93,DATA!F:F)</f>
        <v>21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374</v>
      </c>
      <c r="L93">
        <f>SUMIF(DATA!$A:$A,PPL!$A93,DATA!J:J)</f>
        <v>0</v>
      </c>
      <c r="M93">
        <f t="shared" si="7"/>
        <v>412</v>
      </c>
      <c r="N93">
        <f t="shared" si="5"/>
        <v>704</v>
      </c>
      <c r="O93" s="3">
        <f t="shared" si="6"/>
        <v>94.751009421265138</v>
      </c>
      <c r="P93">
        <f t="shared" si="8"/>
        <v>39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824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4</v>
      </c>
      <c r="J94">
        <f>SUMIF(DATA!$A:$A,PPL!$A94,DATA!H:H)</f>
        <v>3</v>
      </c>
      <c r="K94">
        <f>SUMIF(DATA!$A:$A,PPL!$A94,DATA!I:I)</f>
        <v>3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838</v>
      </c>
      <c r="F95">
        <f>SUMIF(DATA!$A:$A,PPL!$A95,DATA!D:D)</f>
        <v>640</v>
      </c>
      <c r="G95">
        <f>SUMIF(DATA!$A:$A,PPL!$A95,DATA!E:E)</f>
        <v>5</v>
      </c>
      <c r="H95">
        <f>SUMIF(DATA!$A:$A,PPL!$A95,DATA!F:F)</f>
        <v>33</v>
      </c>
      <c r="I95">
        <f>SUMIF(DATA!$A:$A,PPL!$A95,DATA!G:G)</f>
        <v>9</v>
      </c>
      <c r="J95">
        <f>SUMIF(DATA!$A:$A,PPL!$A95,DATA!H:H)</f>
        <v>6</v>
      </c>
      <c r="K95">
        <f>SUMIF(DATA!$A:$A,PPL!$A95,DATA!I:I)</f>
        <v>145</v>
      </c>
      <c r="L95">
        <f>SUMIF(DATA!$A:$A,PPL!$A95,DATA!J:J)</f>
        <v>0</v>
      </c>
      <c r="M95">
        <f t="shared" si="7"/>
        <v>575</v>
      </c>
      <c r="N95">
        <f t="shared" si="5"/>
        <v>800</v>
      </c>
      <c r="O95" s="3">
        <f t="shared" si="6"/>
        <v>95.465393794749403</v>
      </c>
      <c r="P95">
        <f t="shared" si="8"/>
        <v>38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579</v>
      </c>
      <c r="F96">
        <f>SUMIF(DATA!$A:$A,PPL!$A96,DATA!D:D)</f>
        <v>240</v>
      </c>
      <c r="G96">
        <f>SUMIF(DATA!$A:$A,PPL!$A96,DATA!E:E)</f>
        <v>14</v>
      </c>
      <c r="H96">
        <f>SUMIF(DATA!$A:$A,PPL!$A96,DATA!F:F)</f>
        <v>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323</v>
      </c>
      <c r="L96">
        <f>SUMIF(DATA!$A:$A,PPL!$A96,DATA!J:J)</f>
        <v>0</v>
      </c>
      <c r="M96">
        <f t="shared" si="7"/>
        <v>391</v>
      </c>
      <c r="N96">
        <f t="shared" si="5"/>
        <v>563</v>
      </c>
      <c r="O96" s="3">
        <f t="shared" si="6"/>
        <v>97.236614853195164</v>
      </c>
      <c r="P96">
        <f t="shared" si="8"/>
        <v>16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684</v>
      </c>
      <c r="F97">
        <f>SUMIF(DATA!$A:$A,PPL!$A97,DATA!D:D)</f>
        <v>286</v>
      </c>
      <c r="G97">
        <f>SUMIF(DATA!$A:$A,PPL!$A97,DATA!E:E)</f>
        <v>55</v>
      </c>
      <c r="H97">
        <f>SUMIF(DATA!$A:$A,PPL!$A97,DATA!F:F)</f>
        <v>101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241</v>
      </c>
      <c r="L97">
        <f>SUMIF(DATA!$A:$A,PPL!$A97,DATA!J:J)</f>
        <v>0</v>
      </c>
      <c r="M97">
        <f t="shared" si="7"/>
        <v>439</v>
      </c>
      <c r="N97">
        <f t="shared" si="5"/>
        <v>528</v>
      </c>
      <c r="O97" s="3">
        <f t="shared" si="6"/>
        <v>77.192982456140342</v>
      </c>
      <c r="P97">
        <f t="shared" si="8"/>
        <v>156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824</v>
      </c>
      <c r="F98">
        <f>SUMIF(DATA!$A:$A,PPL!$A98,DATA!D:D)</f>
        <v>401</v>
      </c>
      <c r="G98">
        <f>SUMIF(DATA!$A:$A,PPL!$A98,DATA!E:E)</f>
        <v>65</v>
      </c>
      <c r="H98">
        <f>SUMIF(DATA!$A:$A,PPL!$A98,DATA!F:F)</f>
        <v>172</v>
      </c>
      <c r="I98">
        <f>SUMIF(DATA!$A:$A,PPL!$A98,DATA!G:G)</f>
        <v>3</v>
      </c>
      <c r="J98">
        <f>SUMIF(DATA!$A:$A,PPL!$A98,DATA!H:H)</f>
        <v>1</v>
      </c>
      <c r="K98">
        <f>SUMIF(DATA!$A:$A,PPL!$A98,DATA!I:I)</f>
        <v>182</v>
      </c>
      <c r="L98">
        <f>SUMIF(DATA!$A:$A,PPL!$A98,DATA!J:J)</f>
        <v>0</v>
      </c>
      <c r="M98">
        <f t="shared" ref="M98:M129" si="9">N98-Q98</f>
        <v>427</v>
      </c>
      <c r="N98">
        <f t="shared" si="5"/>
        <v>587</v>
      </c>
      <c r="O98" s="3">
        <f t="shared" si="6"/>
        <v>71.237864077669897</v>
      </c>
      <c r="P98">
        <f t="shared" si="8"/>
        <v>237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766</v>
      </c>
      <c r="F99">
        <f>SUMIF(DATA!$A:$A,PPL!$A99,DATA!D:D)</f>
        <v>610</v>
      </c>
      <c r="G99">
        <f>SUMIF(DATA!$A:$A,PPL!$A99,DATA!E:E)</f>
        <v>70</v>
      </c>
      <c r="H99">
        <f>SUMIF(DATA!$A:$A,PPL!$A99,DATA!F:F)</f>
        <v>3</v>
      </c>
      <c r="I99">
        <f>SUMIF(DATA!$A:$A,PPL!$A99,DATA!G:G)</f>
        <v>18</v>
      </c>
      <c r="J99">
        <f>SUMIF(DATA!$A:$A,PPL!$A99,DATA!H:H)</f>
        <v>1</v>
      </c>
      <c r="K99">
        <f>SUMIF(DATA!$A:$A,PPL!$A99,DATA!I:I)</f>
        <v>64</v>
      </c>
      <c r="L99">
        <f>SUMIF(DATA!$A:$A,PPL!$A99,DATA!J:J)</f>
        <v>0</v>
      </c>
      <c r="M99">
        <f t="shared" si="9"/>
        <v>411</v>
      </c>
      <c r="N99">
        <f t="shared" si="5"/>
        <v>693</v>
      </c>
      <c r="O99" s="3">
        <f t="shared" si="6"/>
        <v>90.469973890339432</v>
      </c>
      <c r="P99">
        <f t="shared" si="8"/>
        <v>73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928</v>
      </c>
      <c r="F100">
        <f>SUMIF(DATA!$A:$A,PPL!$A100,DATA!D:D)</f>
        <v>818</v>
      </c>
      <c r="G100">
        <f>SUMIF(DATA!$A:$A,PPL!$A100,DATA!E:E)</f>
        <v>27</v>
      </c>
      <c r="H100">
        <f>SUMIF(DATA!$A:$A,PPL!$A100,DATA!F:F)</f>
        <v>12</v>
      </c>
      <c r="I100">
        <f>SUMIF(DATA!$A:$A,PPL!$A100,DATA!G:G)</f>
        <v>7</v>
      </c>
      <c r="J100">
        <f>SUMIF(DATA!$A:$A,PPL!$A100,DATA!H:H)</f>
        <v>0</v>
      </c>
      <c r="K100">
        <f>SUMIF(DATA!$A:$A,PPL!$A100,DATA!I:I)</f>
        <v>64</v>
      </c>
      <c r="L100">
        <f>SUMIF(DATA!$A:$A,PPL!$A100,DATA!J:J)</f>
        <v>0</v>
      </c>
      <c r="M100">
        <f t="shared" si="9"/>
        <v>431</v>
      </c>
      <c r="N100">
        <f t="shared" si="5"/>
        <v>889</v>
      </c>
      <c r="O100" s="3">
        <f t="shared" si="6"/>
        <v>95.797413793103445</v>
      </c>
      <c r="P100">
        <f t="shared" si="8"/>
        <v>39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864</v>
      </c>
      <c r="F101">
        <f>SUMIF(DATA!$A:$A,PPL!$A101,DATA!D:D)</f>
        <v>623</v>
      </c>
      <c r="G101">
        <f>SUMIF(DATA!$A:$A,PPL!$A101,DATA!E:E)</f>
        <v>163</v>
      </c>
      <c r="H101">
        <f>SUMIF(DATA!$A:$A,PPL!$A101,DATA!F:F)</f>
        <v>28</v>
      </c>
      <c r="I101">
        <f>SUMIF(DATA!$A:$A,PPL!$A101,DATA!G:G)</f>
        <v>19</v>
      </c>
      <c r="J101">
        <f>SUMIF(DATA!$A:$A,PPL!$A101,DATA!H:H)</f>
        <v>0</v>
      </c>
      <c r="K101">
        <f>SUMIF(DATA!$A:$A,PPL!$A101,DATA!I:I)</f>
        <v>31</v>
      </c>
      <c r="L101">
        <f>SUMIF(DATA!$A:$A,PPL!$A101,DATA!J:J)</f>
        <v>0</v>
      </c>
      <c r="M101">
        <f t="shared" si="9"/>
        <v>335</v>
      </c>
      <c r="N101">
        <f t="shared" si="5"/>
        <v>673</v>
      </c>
      <c r="O101" s="3">
        <f t="shared" si="6"/>
        <v>77.893518518518519</v>
      </c>
      <c r="P101">
        <f t="shared" si="8"/>
        <v>191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750</v>
      </c>
      <c r="G102">
        <f>SUMIF(DATA!$A:$A,PPL!$A102,DATA!E:E)</f>
        <v>11</v>
      </c>
      <c r="H102">
        <f>SUMIF(DATA!$A:$A,PPL!$A102,DATA!F:F)</f>
        <v>1</v>
      </c>
      <c r="I102">
        <f>SUMIF(DATA!$A:$A,PPL!$A102,DATA!G:G)</f>
        <v>4</v>
      </c>
      <c r="J102">
        <f>SUMIF(DATA!$A:$A,PPL!$A102,DATA!H:H)</f>
        <v>1</v>
      </c>
      <c r="K102">
        <f>SUMIF(DATA!$A:$A,PPL!$A102,DATA!I:I)</f>
        <v>5</v>
      </c>
      <c r="L102">
        <f>SUMIF(DATA!$A:$A,PPL!$A102,DATA!J:J)</f>
        <v>0</v>
      </c>
      <c r="M102">
        <f t="shared" si="9"/>
        <v>442</v>
      </c>
      <c r="N102">
        <f t="shared" si="5"/>
        <v>760</v>
      </c>
      <c r="O102" s="3">
        <f t="shared" si="6"/>
        <v>98.445595854922274</v>
      </c>
      <c r="P102">
        <f t="shared" si="8"/>
        <v>12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792</v>
      </c>
      <c r="F103">
        <f>SUMIF(DATA!$A:$A,PPL!$A103,DATA!D:D)</f>
        <v>617</v>
      </c>
      <c r="G103">
        <f>SUMIF(DATA!$A:$A,PPL!$A103,DATA!E:E)</f>
        <v>93</v>
      </c>
      <c r="H103">
        <f>SUMIF(DATA!$A:$A,PPL!$A103,DATA!F:F)</f>
        <v>44</v>
      </c>
      <c r="I103">
        <f>SUMIF(DATA!$A:$A,PPL!$A103,DATA!G:G)</f>
        <v>3</v>
      </c>
      <c r="J103">
        <f>SUMIF(DATA!$A:$A,PPL!$A103,DATA!H:H)</f>
        <v>1</v>
      </c>
      <c r="K103">
        <f>SUMIF(DATA!$A:$A,PPL!$A103,DATA!I:I)</f>
        <v>34</v>
      </c>
      <c r="L103">
        <f>SUMIF(DATA!$A:$A,PPL!$A103,DATA!J:J)</f>
        <v>0</v>
      </c>
      <c r="M103">
        <f t="shared" si="9"/>
        <v>446</v>
      </c>
      <c r="N103">
        <f t="shared" si="5"/>
        <v>655</v>
      </c>
      <c r="O103" s="3">
        <f t="shared" si="6"/>
        <v>82.702020202020194</v>
      </c>
      <c r="P103">
        <f t="shared" si="8"/>
        <v>137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747</v>
      </c>
      <c r="F104">
        <f>SUMIF(DATA!$A:$A,PPL!$A104,DATA!D:D)</f>
        <v>648</v>
      </c>
      <c r="G104">
        <f>SUMIF(DATA!$A:$A,PPL!$A104,DATA!E:E)</f>
        <v>38</v>
      </c>
      <c r="H104">
        <f>SUMIF(DATA!$A:$A,PPL!$A104,DATA!F:F)</f>
        <v>53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7</v>
      </c>
      <c r="L104">
        <f>SUMIF(DATA!$A:$A,PPL!$A104,DATA!J:J)</f>
        <v>0</v>
      </c>
      <c r="M104">
        <f t="shared" si="9"/>
        <v>434</v>
      </c>
      <c r="N104">
        <f t="shared" si="5"/>
        <v>656</v>
      </c>
      <c r="O104" s="3">
        <f t="shared" si="6"/>
        <v>87.817938420348057</v>
      </c>
      <c r="P104">
        <f t="shared" si="8"/>
        <v>91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617</v>
      </c>
      <c r="F105">
        <f>SUMIF(DATA!$A:$A,PPL!$A105,DATA!D:D)</f>
        <v>488</v>
      </c>
      <c r="G105">
        <f>SUMIF(DATA!$A:$A,PPL!$A105,DATA!E:E)</f>
        <v>25</v>
      </c>
      <c r="H105">
        <f>SUMIF(DATA!$A:$A,PPL!$A105,DATA!F:F)</f>
        <v>72</v>
      </c>
      <c r="I105">
        <f>SUMIF(DATA!$A:$A,PPL!$A105,DATA!G:G)</f>
        <v>13</v>
      </c>
      <c r="J105">
        <f>SUMIF(DATA!$A:$A,PPL!$A105,DATA!H:H)</f>
        <v>0</v>
      </c>
      <c r="K105">
        <f>SUMIF(DATA!$A:$A,PPL!$A105,DATA!I:I)</f>
        <v>19</v>
      </c>
      <c r="L105">
        <f>SUMIF(DATA!$A:$A,PPL!$A105,DATA!J:J)</f>
        <v>0</v>
      </c>
      <c r="M105">
        <f t="shared" si="9"/>
        <v>316</v>
      </c>
      <c r="N105">
        <f t="shared" si="5"/>
        <v>520</v>
      </c>
      <c r="O105" s="3">
        <f t="shared" si="6"/>
        <v>84.278768233387353</v>
      </c>
      <c r="P105">
        <f t="shared" si="8"/>
        <v>97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759</v>
      </c>
      <c r="F106">
        <f>SUMIF(DATA!$A:$A,PPL!$A106,DATA!D:D)</f>
        <v>741</v>
      </c>
      <c r="G106">
        <f>SUMIF(DATA!$A:$A,PPL!$A106,DATA!E:E)</f>
        <v>16</v>
      </c>
      <c r="H106">
        <f>SUMIF(DATA!$A:$A,PPL!$A106,DATA!F:F)</f>
        <v>1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0</v>
      </c>
      <c r="L106">
        <f>SUMIF(DATA!$A:$A,PPL!$A106,DATA!J:J)</f>
        <v>0</v>
      </c>
      <c r="M106">
        <f t="shared" si="9"/>
        <v>532</v>
      </c>
      <c r="N106">
        <f t="shared" si="5"/>
        <v>742</v>
      </c>
      <c r="O106" s="3">
        <f t="shared" si="6"/>
        <v>97.760210803689063</v>
      </c>
      <c r="P106">
        <f t="shared" si="8"/>
        <v>17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712</v>
      </c>
      <c r="F107">
        <f>SUMIF(DATA!$A:$A,PPL!$A107,DATA!D:D)</f>
        <v>516</v>
      </c>
      <c r="G107">
        <f>SUMIF(DATA!$A:$A,PPL!$A107,DATA!E:E)</f>
        <v>134</v>
      </c>
      <c r="H107">
        <f>SUMIF(DATA!$A:$A,PPL!$A107,DATA!F:F)</f>
        <v>29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32</v>
      </c>
      <c r="L107">
        <f>SUMIF(DATA!$A:$A,PPL!$A107,DATA!J:J)</f>
        <v>0</v>
      </c>
      <c r="M107">
        <f t="shared" si="9"/>
        <v>352</v>
      </c>
      <c r="N107">
        <f t="shared" si="5"/>
        <v>549</v>
      </c>
      <c r="O107" s="3">
        <f t="shared" si="6"/>
        <v>77.106741573033716</v>
      </c>
      <c r="P107">
        <f t="shared" si="8"/>
        <v>163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657</v>
      </c>
      <c r="F108">
        <f>SUMIF(DATA!$A:$A,PPL!$A108,DATA!D:D)</f>
        <v>490</v>
      </c>
      <c r="G108">
        <f>SUMIF(DATA!$A:$A,PPL!$A108,DATA!E:E)</f>
        <v>36</v>
      </c>
      <c r="H108">
        <f>SUMIF(DATA!$A:$A,PPL!$A108,DATA!F:F)</f>
        <v>127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2</v>
      </c>
      <c r="L108">
        <f>SUMIF(DATA!$A:$A,PPL!$A108,DATA!J:J)</f>
        <v>0</v>
      </c>
      <c r="M108">
        <f t="shared" si="9"/>
        <v>271</v>
      </c>
      <c r="N108">
        <f t="shared" si="5"/>
        <v>494</v>
      </c>
      <c r="O108" s="3">
        <f t="shared" si="6"/>
        <v>75.19025875190259</v>
      </c>
      <c r="P108">
        <f t="shared" si="8"/>
        <v>163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669</v>
      </c>
      <c r="F109">
        <f>SUMIF(DATA!$A:$A,PPL!$A109,DATA!D:D)</f>
        <v>543</v>
      </c>
      <c r="G109">
        <f>SUMIF(DATA!$A:$A,PPL!$A109,DATA!E:E)</f>
        <v>69</v>
      </c>
      <c r="H109">
        <f>SUMIF(DATA!$A:$A,PPL!$A109,DATA!F:F)</f>
        <v>49</v>
      </c>
      <c r="I109">
        <f>SUMIF(DATA!$A:$A,PPL!$A109,DATA!G:G)</f>
        <v>4</v>
      </c>
      <c r="J109">
        <f>SUMIF(DATA!$A:$A,PPL!$A109,DATA!H:H)</f>
        <v>0</v>
      </c>
      <c r="K109">
        <f>SUMIF(DATA!$A:$A,PPL!$A109,DATA!I:I)</f>
        <v>4</v>
      </c>
      <c r="L109">
        <f>SUMIF(DATA!$A:$A,PPL!$A109,DATA!J:J)</f>
        <v>0</v>
      </c>
      <c r="M109">
        <f t="shared" si="9"/>
        <v>360</v>
      </c>
      <c r="N109">
        <f t="shared" si="5"/>
        <v>551</v>
      </c>
      <c r="O109" s="3">
        <f t="shared" si="6"/>
        <v>82.36173393124065</v>
      </c>
      <c r="P109">
        <f t="shared" si="8"/>
        <v>118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643</v>
      </c>
      <c r="F110">
        <f>SUMIF(DATA!$A:$A,PPL!$A110,DATA!D:D)</f>
        <v>497</v>
      </c>
      <c r="G110">
        <f>SUMIF(DATA!$A:$A,PPL!$A110,DATA!E:E)</f>
        <v>67</v>
      </c>
      <c r="H110">
        <f>SUMIF(DATA!$A:$A,PPL!$A110,DATA!F:F)</f>
        <v>7</v>
      </c>
      <c r="I110">
        <f>SUMIF(DATA!$A:$A,PPL!$A110,DATA!G:G)</f>
        <v>2</v>
      </c>
      <c r="J110">
        <f>SUMIF(DATA!$A:$A,PPL!$A110,DATA!H:H)</f>
        <v>0</v>
      </c>
      <c r="K110">
        <f>SUMIF(DATA!$A:$A,PPL!$A110,DATA!I:I)</f>
        <v>70</v>
      </c>
      <c r="L110">
        <f>SUMIF(DATA!$A:$A,PPL!$A110,DATA!J:J)</f>
        <v>0</v>
      </c>
      <c r="M110">
        <f t="shared" si="9"/>
        <v>405</v>
      </c>
      <c r="N110">
        <f t="shared" si="5"/>
        <v>569</v>
      </c>
      <c r="O110" s="3">
        <f t="shared" si="6"/>
        <v>88.491446345256605</v>
      </c>
      <c r="P110">
        <f t="shared" si="8"/>
        <v>74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682</v>
      </c>
      <c r="F111">
        <f>SUMIF(DATA!$A:$A,PPL!$A111,DATA!D:D)</f>
        <v>512</v>
      </c>
      <c r="G111">
        <f>SUMIF(DATA!$A:$A,PPL!$A111,DATA!E:E)</f>
        <v>12</v>
      </c>
      <c r="H111">
        <f>SUMIF(DATA!$A:$A,PPL!$A111,DATA!F:F)</f>
        <v>2</v>
      </c>
      <c r="I111">
        <f>SUMIF(DATA!$A:$A,PPL!$A111,DATA!G:G)</f>
        <v>6</v>
      </c>
      <c r="J111">
        <f>SUMIF(DATA!$A:$A,PPL!$A111,DATA!H:H)</f>
        <v>1</v>
      </c>
      <c r="K111">
        <f>SUMIF(DATA!$A:$A,PPL!$A111,DATA!I:I)</f>
        <v>149</v>
      </c>
      <c r="L111">
        <f>SUMIF(DATA!$A:$A,PPL!$A111,DATA!J:J)</f>
        <v>0</v>
      </c>
      <c r="M111">
        <f t="shared" si="9"/>
        <v>437</v>
      </c>
      <c r="N111">
        <f t="shared" si="5"/>
        <v>668</v>
      </c>
      <c r="O111" s="3">
        <f t="shared" si="6"/>
        <v>97.94721407624634</v>
      </c>
      <c r="P111">
        <f t="shared" si="8"/>
        <v>14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731</v>
      </c>
      <c r="F112">
        <f>SUMIF(DATA!$A:$A,PPL!$A112,DATA!D:D)</f>
        <v>438</v>
      </c>
      <c r="G112">
        <f>SUMIF(DATA!$A:$A,PPL!$A112,DATA!E:E)</f>
        <v>111</v>
      </c>
      <c r="H112">
        <f>SUMIF(DATA!$A:$A,PPL!$A112,DATA!F:F)</f>
        <v>57</v>
      </c>
      <c r="I112">
        <f>SUMIF(DATA!$A:$A,PPL!$A112,DATA!G:G)</f>
        <v>12</v>
      </c>
      <c r="J112">
        <f>SUMIF(DATA!$A:$A,PPL!$A112,DATA!H:H)</f>
        <v>0</v>
      </c>
      <c r="K112">
        <f>SUMIF(DATA!$A:$A,PPL!$A112,DATA!I:I)</f>
        <v>113</v>
      </c>
      <c r="L112">
        <f>SUMIF(DATA!$A:$A,PPL!$A112,DATA!J:J)</f>
        <v>0</v>
      </c>
      <c r="M112">
        <f t="shared" si="9"/>
        <v>270</v>
      </c>
      <c r="N112">
        <f t="shared" si="5"/>
        <v>563</v>
      </c>
      <c r="O112" s="3">
        <f t="shared" si="6"/>
        <v>77.017783857729142</v>
      </c>
      <c r="P112">
        <f t="shared" si="8"/>
        <v>168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831</v>
      </c>
      <c r="F113">
        <f>SUMIF(DATA!$A:$A,PPL!$A113,DATA!D:D)</f>
        <v>747</v>
      </c>
      <c r="G113">
        <f>SUMIF(DATA!$A:$A,PPL!$A113,DATA!E:E)</f>
        <v>20</v>
      </c>
      <c r="H113">
        <f>SUMIF(DATA!$A:$A,PPL!$A113,DATA!F:F)</f>
        <v>13</v>
      </c>
      <c r="I113">
        <f>SUMIF(DATA!$A:$A,PPL!$A113,DATA!G:G)</f>
        <v>5</v>
      </c>
      <c r="J113">
        <f>SUMIF(DATA!$A:$A,PPL!$A113,DATA!H:H)</f>
        <v>1</v>
      </c>
      <c r="K113">
        <f>SUMIF(DATA!$A:$A,PPL!$A113,DATA!I:I)</f>
        <v>44</v>
      </c>
      <c r="L113">
        <f>SUMIF(DATA!$A:$A,PPL!$A113,DATA!J:J)</f>
        <v>1</v>
      </c>
      <c r="M113">
        <f t="shared" si="9"/>
        <v>458</v>
      </c>
      <c r="N113">
        <f t="shared" si="5"/>
        <v>798</v>
      </c>
      <c r="O113" s="3">
        <f t="shared" si="6"/>
        <v>96.028880866425993</v>
      </c>
      <c r="P113">
        <f t="shared" si="8"/>
        <v>33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755</v>
      </c>
      <c r="F114">
        <f>SUMIF(DATA!$A:$A,PPL!$A114,DATA!D:D)</f>
        <v>694</v>
      </c>
      <c r="G114">
        <f>SUMIF(DATA!$A:$A,PPL!$A114,DATA!E:E)</f>
        <v>35</v>
      </c>
      <c r="H114">
        <f>SUMIF(DATA!$A:$A,PPL!$A114,DATA!F:F)</f>
        <v>16</v>
      </c>
      <c r="I114">
        <f>SUMIF(DATA!$A:$A,PPL!$A114,DATA!G:G)</f>
        <v>5</v>
      </c>
      <c r="J114">
        <f>SUMIF(DATA!$A:$A,PPL!$A114,DATA!H:H)</f>
        <v>1</v>
      </c>
      <c r="K114">
        <f>SUMIF(DATA!$A:$A,PPL!$A114,DATA!I:I)</f>
        <v>4</v>
      </c>
      <c r="L114">
        <f>SUMIF(DATA!$A:$A,PPL!$A114,DATA!J:J)</f>
        <v>0</v>
      </c>
      <c r="M114">
        <f t="shared" si="9"/>
        <v>441</v>
      </c>
      <c r="N114">
        <f t="shared" si="5"/>
        <v>704</v>
      </c>
      <c r="O114" s="3">
        <f t="shared" si="6"/>
        <v>93.245033112582789</v>
      </c>
      <c r="P114">
        <f t="shared" si="8"/>
        <v>51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905</v>
      </c>
      <c r="F115">
        <f>SUMIF(DATA!$A:$A,PPL!$A115,DATA!D:D)</f>
        <v>846</v>
      </c>
      <c r="G115">
        <f>SUMIF(DATA!$A:$A,PPL!$A115,DATA!E:E)</f>
        <v>35</v>
      </c>
      <c r="H115">
        <f>SUMIF(DATA!$A:$A,PPL!$A115,DATA!F:F)</f>
        <v>16</v>
      </c>
      <c r="I115">
        <f>SUMIF(DATA!$A:$A,PPL!$A115,DATA!G:G)</f>
        <v>6</v>
      </c>
      <c r="J115">
        <f>SUMIF(DATA!$A:$A,PPL!$A115,DATA!H:H)</f>
        <v>2</v>
      </c>
      <c r="K115">
        <f>SUMIF(DATA!$A:$A,PPL!$A115,DATA!I:I)</f>
        <v>0</v>
      </c>
      <c r="L115">
        <f>SUMIF(DATA!$A:$A,PPL!$A115,DATA!J:J)</f>
        <v>0</v>
      </c>
      <c r="M115">
        <f t="shared" si="9"/>
        <v>537</v>
      </c>
      <c r="N115">
        <f t="shared" si="5"/>
        <v>854</v>
      </c>
      <c r="O115" s="3">
        <f t="shared" si="6"/>
        <v>94.364640883977899</v>
      </c>
      <c r="P115">
        <f t="shared" si="8"/>
        <v>51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727</v>
      </c>
      <c r="F116">
        <f>SUMIF(DATA!$A:$A,PPL!$A116,DATA!D:D)</f>
        <v>548</v>
      </c>
      <c r="G116">
        <f>SUMIF(DATA!$A:$A,PPL!$A116,DATA!E:E)</f>
        <v>33</v>
      </c>
      <c r="H116">
        <f>SUMIF(DATA!$A:$A,PPL!$A116,DATA!F:F)</f>
        <v>140</v>
      </c>
      <c r="I116">
        <f>SUMIF(DATA!$A:$A,PPL!$A116,DATA!G:G)</f>
        <v>3</v>
      </c>
      <c r="J116">
        <f>SUMIF(DATA!$A:$A,PPL!$A116,DATA!H:H)</f>
        <v>2</v>
      </c>
      <c r="K116">
        <f>SUMIF(DATA!$A:$A,PPL!$A116,DATA!I:I)</f>
        <v>1</v>
      </c>
      <c r="L116">
        <f>SUMIF(DATA!$A:$A,PPL!$A116,DATA!J:J)</f>
        <v>0</v>
      </c>
      <c r="M116">
        <f t="shared" si="9"/>
        <v>353</v>
      </c>
      <c r="N116">
        <f t="shared" si="5"/>
        <v>554</v>
      </c>
      <c r="O116" s="3">
        <f t="shared" si="6"/>
        <v>76.203576341127928</v>
      </c>
      <c r="P116">
        <f t="shared" si="8"/>
        <v>173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703</v>
      </c>
      <c r="F117">
        <f>SUMIF(DATA!$A:$A,PPL!$A117,DATA!D:D)</f>
        <v>535</v>
      </c>
      <c r="G117">
        <f>SUMIF(DATA!$A:$A,PPL!$A117,DATA!E:E)</f>
        <v>15</v>
      </c>
      <c r="H117">
        <f>SUMIF(DATA!$A:$A,PPL!$A117,DATA!F:F)</f>
        <v>134</v>
      </c>
      <c r="I117">
        <f>SUMIF(DATA!$A:$A,PPL!$A117,DATA!G:G)</f>
        <v>17</v>
      </c>
      <c r="J117">
        <f>SUMIF(DATA!$A:$A,PPL!$A117,DATA!H:H)</f>
        <v>2</v>
      </c>
      <c r="K117">
        <f>SUMIF(DATA!$A:$A,PPL!$A117,DATA!I:I)</f>
        <v>0</v>
      </c>
      <c r="L117">
        <f>SUMIF(DATA!$A:$A,PPL!$A117,DATA!J:J)</f>
        <v>0</v>
      </c>
      <c r="M117">
        <f t="shared" si="9"/>
        <v>370</v>
      </c>
      <c r="N117">
        <f t="shared" si="5"/>
        <v>554</v>
      </c>
      <c r="O117" s="3">
        <f t="shared" si="6"/>
        <v>78.805120910384062</v>
      </c>
      <c r="P117">
        <f t="shared" si="8"/>
        <v>149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730</v>
      </c>
      <c r="F118">
        <f>SUMIF(DATA!$A:$A,PPL!$A118,DATA!D:D)</f>
        <v>507</v>
      </c>
      <c r="G118">
        <f>SUMIF(DATA!$A:$A,PPL!$A118,DATA!E:E)</f>
        <v>78</v>
      </c>
      <c r="H118">
        <f>SUMIF(DATA!$A:$A,PPL!$A118,DATA!F:F)</f>
        <v>51</v>
      </c>
      <c r="I118">
        <f>SUMIF(DATA!$A:$A,PPL!$A118,DATA!G:G)</f>
        <v>7</v>
      </c>
      <c r="J118">
        <f>SUMIF(DATA!$A:$A,PPL!$A118,DATA!H:H)</f>
        <v>4</v>
      </c>
      <c r="K118">
        <f>SUMIF(DATA!$A:$A,PPL!$A118,DATA!I:I)</f>
        <v>83</v>
      </c>
      <c r="L118">
        <f>SUMIF(DATA!$A:$A,PPL!$A118,DATA!J:J)</f>
        <v>0</v>
      </c>
      <c r="M118">
        <f t="shared" si="9"/>
        <v>397</v>
      </c>
      <c r="N118">
        <f t="shared" si="5"/>
        <v>601</v>
      </c>
      <c r="O118" s="3">
        <f t="shared" si="6"/>
        <v>82.328767123287676</v>
      </c>
      <c r="P118">
        <f t="shared" si="8"/>
        <v>129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712</v>
      </c>
      <c r="F119">
        <f>SUMIF(DATA!$A:$A,PPL!$A119,DATA!D:D)</f>
        <v>506</v>
      </c>
      <c r="G119">
        <f>SUMIF(DATA!$A:$A,PPL!$A119,DATA!E:E)</f>
        <v>82</v>
      </c>
      <c r="H119">
        <f>SUMIF(DATA!$A:$A,PPL!$A119,DATA!F:F)</f>
        <v>54</v>
      </c>
      <c r="I119">
        <f>SUMIF(DATA!$A:$A,PPL!$A119,DATA!G:G)</f>
        <v>7</v>
      </c>
      <c r="J119">
        <f>SUMIF(DATA!$A:$A,PPL!$A119,DATA!H:H)</f>
        <v>1</v>
      </c>
      <c r="K119">
        <f>SUMIF(DATA!$A:$A,PPL!$A119,DATA!I:I)</f>
        <v>62</v>
      </c>
      <c r="L119">
        <f>SUMIF(DATA!$A:$A,PPL!$A119,DATA!J:J)</f>
        <v>0</v>
      </c>
      <c r="M119">
        <f t="shared" si="9"/>
        <v>323</v>
      </c>
      <c r="N119">
        <f t="shared" si="5"/>
        <v>576</v>
      </c>
      <c r="O119" s="3">
        <f t="shared" si="6"/>
        <v>80.898876404494374</v>
      </c>
      <c r="P119">
        <f t="shared" si="8"/>
        <v>136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682</v>
      </c>
      <c r="F120">
        <f>SUMIF(DATA!$A:$A,PPL!$A120,DATA!D:D)</f>
        <v>452</v>
      </c>
      <c r="G120">
        <f>SUMIF(DATA!$A:$A,PPL!$A120,DATA!E:E)</f>
        <v>164</v>
      </c>
      <c r="H120">
        <f>SUMIF(DATA!$A:$A,PPL!$A120,DATA!F:F)</f>
        <v>19</v>
      </c>
      <c r="I120">
        <f>SUMIF(DATA!$A:$A,PPL!$A120,DATA!G:G)</f>
        <v>33</v>
      </c>
      <c r="J120">
        <f>SUMIF(DATA!$A:$A,PPL!$A120,DATA!H:H)</f>
        <v>0</v>
      </c>
      <c r="K120">
        <f>SUMIF(DATA!$A:$A,PPL!$A120,DATA!I:I)</f>
        <v>14</v>
      </c>
      <c r="L120">
        <f>SUMIF(DATA!$A:$A,PPL!$A120,DATA!J:J)</f>
        <v>0</v>
      </c>
      <c r="M120">
        <f t="shared" si="9"/>
        <v>295</v>
      </c>
      <c r="N120">
        <f t="shared" si="5"/>
        <v>499</v>
      </c>
      <c r="O120" s="3">
        <f t="shared" si="6"/>
        <v>73.167155425219946</v>
      </c>
      <c r="P120">
        <f t="shared" si="8"/>
        <v>183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675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674</v>
      </c>
      <c r="F122">
        <f>SUMIF(DATA!$A:$A,PPL!$A122,DATA!D:D)</f>
        <v>630</v>
      </c>
      <c r="G122">
        <f>SUMIF(DATA!$A:$A,PPL!$A122,DATA!E:E)</f>
        <v>24</v>
      </c>
      <c r="H122">
        <f>SUMIF(DATA!$A:$A,PPL!$A122,DATA!F:F)</f>
        <v>19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273</v>
      </c>
      <c r="N122">
        <f t="shared" si="5"/>
        <v>631</v>
      </c>
      <c r="O122" s="3">
        <f t="shared" si="6"/>
        <v>93.620178041543028</v>
      </c>
      <c r="P122">
        <f t="shared" si="8"/>
        <v>43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631</v>
      </c>
      <c r="G123">
        <f>SUMIF(DATA!$A:$A,PPL!$A123,DATA!E:E)</f>
        <v>0</v>
      </c>
      <c r="H123">
        <f>SUMIF(DATA!$A:$A,PPL!$A123,DATA!F:F)</f>
        <v>24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4</v>
      </c>
      <c r="L123">
        <f>SUMIF(DATA!$A:$A,PPL!$A123,DATA!J:J)</f>
        <v>1</v>
      </c>
      <c r="M123">
        <f t="shared" si="9"/>
        <v>412</v>
      </c>
      <c r="N123">
        <f t="shared" si="5"/>
        <v>638</v>
      </c>
      <c r="O123" s="3">
        <f t="shared" si="6"/>
        <v>96.374622356495465</v>
      </c>
      <c r="P123">
        <f t="shared" si="8"/>
        <v>24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688</v>
      </c>
      <c r="G124">
        <f>SUMIF(DATA!$A:$A,PPL!$A124,DATA!E:E)</f>
        <v>1</v>
      </c>
      <c r="H124">
        <f>SUMIF(DATA!$A:$A,PPL!$A124,DATA!F:F)</f>
        <v>56</v>
      </c>
      <c r="I124">
        <f>SUMIF(DATA!$A:$A,PPL!$A124,DATA!G:G)</f>
        <v>2</v>
      </c>
      <c r="J124">
        <f>SUMIF(DATA!$A:$A,PPL!$A124,DATA!H:H)</f>
        <v>0</v>
      </c>
      <c r="K124">
        <f>SUMIF(DATA!$A:$A,PPL!$A124,DATA!I:I)</f>
        <v>58</v>
      </c>
      <c r="L124">
        <f>SUMIF(DATA!$A:$A,PPL!$A124,DATA!J:J)</f>
        <v>0</v>
      </c>
      <c r="M124">
        <f t="shared" si="9"/>
        <v>560</v>
      </c>
      <c r="N124">
        <f t="shared" si="5"/>
        <v>748</v>
      </c>
      <c r="O124" s="3">
        <f t="shared" si="6"/>
        <v>92.9192546583851</v>
      </c>
      <c r="P124">
        <f t="shared" si="8"/>
        <v>57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609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34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729</v>
      </c>
      <c r="F126">
        <f>SUMIF(DATA!$A:$A,PPL!$A126,DATA!D:D)</f>
        <v>615</v>
      </c>
      <c r="G126">
        <f>SUMIF(DATA!$A:$A,PPL!$A126,DATA!E:E)</f>
        <v>65</v>
      </c>
      <c r="H126">
        <f>SUMIF(DATA!$A:$A,PPL!$A126,DATA!F:F)</f>
        <v>34</v>
      </c>
      <c r="I126">
        <f>SUMIF(DATA!$A:$A,PPL!$A126,DATA!G:G)</f>
        <v>7</v>
      </c>
      <c r="J126">
        <f>SUMIF(DATA!$A:$A,PPL!$A126,DATA!H:H)</f>
        <v>2</v>
      </c>
      <c r="K126">
        <f>SUMIF(DATA!$A:$A,PPL!$A126,DATA!I:I)</f>
        <v>6</v>
      </c>
      <c r="L126">
        <f>SUMIF(DATA!$A:$A,PPL!$A126,DATA!J:J)</f>
        <v>0</v>
      </c>
      <c r="M126">
        <f t="shared" si="9"/>
        <v>429</v>
      </c>
      <c r="N126">
        <f t="shared" si="10"/>
        <v>630</v>
      </c>
      <c r="O126" s="3">
        <f t="shared" si="11"/>
        <v>86.419753086419746</v>
      </c>
      <c r="P126">
        <f t="shared" si="8"/>
        <v>99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731</v>
      </c>
      <c r="F127">
        <f>SUMIF(DATA!$A:$A,PPL!$A127,DATA!D:D)</f>
        <v>665</v>
      </c>
      <c r="G127">
        <f>SUMIF(DATA!$A:$A,PPL!$A127,DATA!E:E)</f>
        <v>3</v>
      </c>
      <c r="H127">
        <f>SUMIF(DATA!$A:$A,PPL!$A127,DATA!F:F)</f>
        <v>41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16</v>
      </c>
      <c r="L127">
        <f>SUMIF(DATA!$A:$A,PPL!$A127,DATA!J:J)</f>
        <v>0</v>
      </c>
      <c r="M127">
        <f t="shared" si="9"/>
        <v>482</v>
      </c>
      <c r="N127">
        <f t="shared" si="10"/>
        <v>687</v>
      </c>
      <c r="O127" s="3">
        <f t="shared" si="11"/>
        <v>93.980848153214765</v>
      </c>
      <c r="P127">
        <f t="shared" si="8"/>
        <v>44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609</v>
      </c>
      <c r="F128">
        <f>SUMIF(DATA!$A:$A,PPL!$A128,DATA!D:D)</f>
        <v>507</v>
      </c>
      <c r="G128">
        <f>SUMIF(DATA!$A:$A,PPL!$A128,DATA!E:E)</f>
        <v>28</v>
      </c>
      <c r="H128">
        <f>SUMIF(DATA!$A:$A,PPL!$A128,DATA!F:F)</f>
        <v>32</v>
      </c>
      <c r="I128">
        <f>SUMIF(DATA!$A:$A,PPL!$A128,DATA!G:G)</f>
        <v>9</v>
      </c>
      <c r="J128">
        <f>SUMIF(DATA!$A:$A,PPL!$A128,DATA!H:H)</f>
        <v>0</v>
      </c>
      <c r="K128">
        <f>SUMIF(DATA!$A:$A,PPL!$A128,DATA!I:I)</f>
        <v>33</v>
      </c>
      <c r="L128">
        <f>SUMIF(DATA!$A:$A,PPL!$A128,DATA!J:J)</f>
        <v>0</v>
      </c>
      <c r="M128">
        <f t="shared" si="9"/>
        <v>401</v>
      </c>
      <c r="N128">
        <f t="shared" si="10"/>
        <v>549</v>
      </c>
      <c r="O128" s="3">
        <f t="shared" si="11"/>
        <v>90.14778325123153</v>
      </c>
      <c r="P128">
        <f t="shared" si="8"/>
        <v>60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838</v>
      </c>
      <c r="F129">
        <f>SUMIF(DATA!$A:$A,PPL!$A129,DATA!D:D)</f>
        <v>635</v>
      </c>
      <c r="G129">
        <f>SUMIF(DATA!$A:$A,PPL!$A129,DATA!E:E)</f>
        <v>24</v>
      </c>
      <c r="H129">
        <f>SUMIF(DATA!$A:$A,PPL!$A129,DATA!F:F)</f>
        <v>18</v>
      </c>
      <c r="I129">
        <f>SUMIF(DATA!$A:$A,PPL!$A129,DATA!G:G)</f>
        <v>3</v>
      </c>
      <c r="J129">
        <f>SUMIF(DATA!$A:$A,PPL!$A129,DATA!H:H)</f>
        <v>2</v>
      </c>
      <c r="K129">
        <f>SUMIF(DATA!$A:$A,PPL!$A129,DATA!I:I)</f>
        <v>156</v>
      </c>
      <c r="L129">
        <f>SUMIF(DATA!$A:$A,PPL!$A129,DATA!J:J)</f>
        <v>0</v>
      </c>
      <c r="M129">
        <f t="shared" si="9"/>
        <v>592</v>
      </c>
      <c r="N129">
        <f t="shared" si="10"/>
        <v>796</v>
      </c>
      <c r="O129" s="3">
        <f t="shared" si="11"/>
        <v>94.988066825775647</v>
      </c>
      <c r="P129">
        <f t="shared" si="8"/>
        <v>42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689</v>
      </c>
      <c r="F130">
        <f>SUMIF(DATA!$A:$A,PPL!$A130,DATA!D:D)</f>
        <v>487</v>
      </c>
      <c r="G130">
        <f>SUMIF(DATA!$A:$A,PPL!$A130,DATA!E:E)</f>
        <v>17</v>
      </c>
      <c r="H130">
        <f>SUMIF(DATA!$A:$A,PPL!$A130,DATA!F:F)</f>
        <v>0</v>
      </c>
      <c r="I130">
        <f>SUMIF(DATA!$A:$A,PPL!$A130,DATA!G:G)</f>
        <v>20</v>
      </c>
      <c r="J130">
        <f>SUMIF(DATA!$A:$A,PPL!$A130,DATA!H:H)</f>
        <v>4</v>
      </c>
      <c r="K130">
        <f>SUMIF(DATA!$A:$A,PPL!$A130,DATA!I:I)</f>
        <v>161</v>
      </c>
      <c r="L130">
        <f>SUMIF(DATA!$A:$A,PPL!$A130,DATA!J:J)</f>
        <v>0</v>
      </c>
      <c r="M130">
        <f t="shared" ref="M130:M139" si="12">N130-Q130</f>
        <v>430</v>
      </c>
      <c r="N130">
        <f t="shared" si="10"/>
        <v>672</v>
      </c>
      <c r="O130" s="3">
        <f t="shared" si="11"/>
        <v>97.53265602322206</v>
      </c>
      <c r="P130">
        <f t="shared" si="8"/>
        <v>17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766</v>
      </c>
      <c r="F131">
        <f>SUMIF(DATA!$A:$A,PPL!$A131,DATA!D:D)</f>
        <v>523</v>
      </c>
      <c r="G131">
        <f>SUMIF(DATA!$A:$A,PPL!$A131,DATA!E:E)</f>
        <v>54</v>
      </c>
      <c r="H131">
        <f>SUMIF(DATA!$A:$A,PPL!$A131,DATA!F:F)</f>
        <v>85</v>
      </c>
      <c r="I131">
        <f>SUMIF(DATA!$A:$A,PPL!$A131,DATA!G:G)</f>
        <v>10</v>
      </c>
      <c r="J131">
        <f>SUMIF(DATA!$A:$A,PPL!$A131,DATA!H:H)</f>
        <v>0</v>
      </c>
      <c r="K131">
        <f>SUMIF(DATA!$A:$A,PPL!$A131,DATA!I:I)</f>
        <v>94</v>
      </c>
      <c r="L131">
        <f>SUMIF(DATA!$A:$A,PPL!$A131,DATA!J:J)</f>
        <v>0</v>
      </c>
      <c r="M131">
        <f t="shared" si="12"/>
        <v>429</v>
      </c>
      <c r="N131">
        <f t="shared" si="10"/>
        <v>627</v>
      </c>
      <c r="O131" s="3">
        <f t="shared" si="11"/>
        <v>81.853785900783294</v>
      </c>
      <c r="P131">
        <f t="shared" ref="P131:P139" si="13">CEILING((E131-N131)/1,1)</f>
        <v>139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970</v>
      </c>
      <c r="F132">
        <f>SUMIF(DATA!$A:$A,PPL!$A132,DATA!D:D)</f>
        <v>589</v>
      </c>
      <c r="G132">
        <f>SUMIF(DATA!$A:$A,PPL!$A132,DATA!E:E)</f>
        <v>141</v>
      </c>
      <c r="H132">
        <f>SUMIF(DATA!$A:$A,PPL!$A132,DATA!F:F)</f>
        <v>109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130</v>
      </c>
      <c r="L132">
        <f>SUMIF(DATA!$A:$A,PPL!$A132,DATA!J:J)</f>
        <v>0</v>
      </c>
      <c r="M132">
        <f t="shared" si="12"/>
        <v>313</v>
      </c>
      <c r="N132">
        <f t="shared" si="10"/>
        <v>720</v>
      </c>
      <c r="O132" s="3">
        <f t="shared" si="11"/>
        <v>74.226804123711347</v>
      </c>
      <c r="P132">
        <f t="shared" si="13"/>
        <v>250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843</v>
      </c>
      <c r="F133">
        <f>SUMIF(DATA!$A:$A,PPL!$A133,DATA!D:D)</f>
        <v>333</v>
      </c>
      <c r="G133">
        <f>SUMIF(DATA!$A:$A,PPL!$A133,DATA!E:E)</f>
        <v>15</v>
      </c>
      <c r="H133">
        <f>SUMIF(DATA!$A:$A,PPL!$A133,DATA!F:F)</f>
        <v>232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250</v>
      </c>
      <c r="L133">
        <f>SUMIF(DATA!$A:$A,PPL!$A133,DATA!J:J)</f>
        <v>0</v>
      </c>
      <c r="M133">
        <f t="shared" si="12"/>
        <v>458</v>
      </c>
      <c r="N133">
        <f t="shared" ref="N133:N136" si="14">F133+I133+J133+K133+L133</f>
        <v>596</v>
      </c>
      <c r="O133" s="3">
        <f t="shared" ref="O133:O136" si="15">(N133/E133)*100</f>
        <v>70.699881376037965</v>
      </c>
      <c r="P133">
        <f t="shared" si="13"/>
        <v>247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548</v>
      </c>
      <c r="F134">
        <f>SUMIF(DATA!$A:$A,PPL!$A134,DATA!D:D)</f>
        <v>319</v>
      </c>
      <c r="G134">
        <f>SUMIF(DATA!$A:$A,PPL!$A134,DATA!E:E)</f>
        <v>4</v>
      </c>
      <c r="H134">
        <f>SUMIF(DATA!$A:$A,PPL!$A134,DATA!F:F)</f>
        <v>50</v>
      </c>
      <c r="I134">
        <f>SUMIF(DATA!$A:$A,PPL!$A134,DATA!G:G)</f>
        <v>3</v>
      </c>
      <c r="J134">
        <f>SUMIF(DATA!$A:$A,PPL!$A134,DATA!H:H)</f>
        <v>1</v>
      </c>
      <c r="K134">
        <f>SUMIF(DATA!$A:$A,PPL!$A134,DATA!I:I)</f>
        <v>171</v>
      </c>
      <c r="L134">
        <f>SUMIF(DATA!$A:$A,PPL!$A134,DATA!J:J)</f>
        <v>0</v>
      </c>
      <c r="M134">
        <f t="shared" si="12"/>
        <v>368</v>
      </c>
      <c r="N134">
        <f t="shared" si="14"/>
        <v>494</v>
      </c>
      <c r="O134" s="3">
        <f t="shared" si="15"/>
        <v>90.145985401459853</v>
      </c>
      <c r="P134">
        <f t="shared" si="13"/>
        <v>54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700</v>
      </c>
      <c r="F135">
        <f>SUMIF(DATA!$A:$A,PPL!$A135,DATA!D:D)</f>
        <v>373</v>
      </c>
      <c r="G135">
        <f>SUMIF(DATA!$A:$A,PPL!$A135,DATA!E:E)</f>
        <v>39</v>
      </c>
      <c r="H135">
        <f>SUMIF(DATA!$A:$A,PPL!$A135,DATA!F:F)</f>
        <v>151</v>
      </c>
      <c r="I135">
        <f>SUMIF(DATA!$A:$A,PPL!$A135,DATA!G:G)</f>
        <v>21</v>
      </c>
      <c r="J135">
        <f>SUMIF(DATA!$A:$A,PPL!$A135,DATA!H:H)</f>
        <v>0</v>
      </c>
      <c r="K135">
        <f>SUMIF(DATA!$A:$A,PPL!$A135,DATA!I:I)</f>
        <v>116</v>
      </c>
      <c r="L135">
        <f>SUMIF(DATA!$A:$A,PPL!$A135,DATA!J:J)</f>
        <v>0</v>
      </c>
      <c r="M135">
        <f t="shared" si="12"/>
        <v>366</v>
      </c>
      <c r="N135">
        <f t="shared" si="14"/>
        <v>510</v>
      </c>
      <c r="O135" s="3">
        <f t="shared" si="15"/>
        <v>72.857142857142847</v>
      </c>
      <c r="P135">
        <f t="shared" si="13"/>
        <v>190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800</v>
      </c>
      <c r="F136">
        <f>SUMIF(DATA!$A:$A,PPL!$A136,DATA!D:D)</f>
        <v>328</v>
      </c>
      <c r="G136">
        <f>SUMIF(DATA!$A:$A,PPL!$A136,DATA!E:E)</f>
        <v>62</v>
      </c>
      <c r="H136">
        <f>SUMIF(DATA!$A:$A,PPL!$A136,DATA!F:F)</f>
        <v>49</v>
      </c>
      <c r="I136">
        <f>SUMIF(DATA!$A:$A,PPL!$A136,DATA!G:G)</f>
        <v>3</v>
      </c>
      <c r="J136">
        <f>SUMIF(DATA!$A:$A,PPL!$A136,DATA!H:H)</f>
        <v>0</v>
      </c>
      <c r="K136">
        <f>SUMIF(DATA!$A:$A,PPL!$A136,DATA!I:I)</f>
        <v>358</v>
      </c>
      <c r="L136">
        <f>SUMIF(DATA!$A:$A,PPL!$A136,DATA!J:J)</f>
        <v>0</v>
      </c>
      <c r="M136">
        <f t="shared" si="12"/>
        <v>435</v>
      </c>
      <c r="N136">
        <f t="shared" si="14"/>
        <v>689</v>
      </c>
      <c r="O136" s="3">
        <f t="shared" si="15"/>
        <v>86.125</v>
      </c>
      <c r="P136">
        <f t="shared" si="13"/>
        <v>111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988</v>
      </c>
      <c r="F137">
        <f>SUMIF(DATA!$A:$A,PPL!$A137,DATA!D:D)</f>
        <v>518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468</v>
      </c>
      <c r="L137">
        <f>SUMIF(DATA!$A:$A,PPL!$A137,DATA!J:J)</f>
        <v>0</v>
      </c>
      <c r="M137">
        <f t="shared" si="12"/>
        <v>658</v>
      </c>
      <c r="N137">
        <f t="shared" ref="N137:N139" si="16">F137+I137+J137+K137+L137</f>
        <v>988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788</v>
      </c>
      <c r="F138">
        <f>SUMIF(DATA!$A:$A,PPL!$A138,DATA!D:D)</f>
        <v>309</v>
      </c>
      <c r="G138">
        <f>SUMIF(DATA!$A:$A,PPL!$A138,DATA!E:E)</f>
        <v>118</v>
      </c>
      <c r="H138">
        <f>SUMIF(DATA!$A:$A,PPL!$A138,DATA!F:F)</f>
        <v>122</v>
      </c>
      <c r="I138">
        <f>SUMIF(DATA!$A:$A,PPL!$A138,DATA!G:G)</f>
        <v>10</v>
      </c>
      <c r="J138">
        <f>SUMIF(DATA!$A:$A,PPL!$A138,DATA!H:H)</f>
        <v>0</v>
      </c>
      <c r="K138">
        <f>SUMIF(DATA!$A:$A,PPL!$A138,DATA!I:I)</f>
        <v>229</v>
      </c>
      <c r="L138">
        <f>SUMIF(DATA!$A:$A,PPL!$A138,DATA!J:J)</f>
        <v>0</v>
      </c>
      <c r="M138">
        <f t="shared" si="12"/>
        <v>385</v>
      </c>
      <c r="N138">
        <f t="shared" si="16"/>
        <v>548</v>
      </c>
      <c r="O138" s="3">
        <f t="shared" si="17"/>
        <v>69.543147208121823</v>
      </c>
      <c r="P138">
        <f t="shared" si="13"/>
        <v>240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621</v>
      </c>
      <c r="F139">
        <f>SUMIF(DATA!$A:$A,PPL!$A139,DATA!D:D)</f>
        <v>375</v>
      </c>
      <c r="G139">
        <f>SUMIF(DATA!$A:$A,PPL!$A139,DATA!E:E)</f>
        <v>4</v>
      </c>
      <c r="H139">
        <f>SUMIF(DATA!$A:$A,PPL!$A139,DATA!F:F)</f>
        <v>114</v>
      </c>
      <c r="I139">
        <f>SUMIF(DATA!$A:$A,PPL!$A139,DATA!G:G)</f>
        <v>14</v>
      </c>
      <c r="J139">
        <f>SUMIF(DATA!$A:$A,PPL!$A139,DATA!H:H)</f>
        <v>1</v>
      </c>
      <c r="K139">
        <f>SUMIF(DATA!$A:$A,PPL!$A139,DATA!I:I)</f>
        <v>113</v>
      </c>
      <c r="L139">
        <f>SUMIF(DATA!$A:$A,PPL!$A139,DATA!J:J)</f>
        <v>0</v>
      </c>
      <c r="M139">
        <f t="shared" si="12"/>
        <v>390</v>
      </c>
      <c r="N139">
        <f t="shared" si="16"/>
        <v>503</v>
      </c>
      <c r="O139" s="3">
        <f t="shared" si="17"/>
        <v>80.998389694041876</v>
      </c>
      <c r="P139">
        <f t="shared" si="13"/>
        <v>118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5004</v>
      </c>
      <c r="D2">
        <f>SUMIF(PPL!$C:$C,PML!$A2,PPL!F:F)</f>
        <v>3089</v>
      </c>
      <c r="E2">
        <f>SUMIF(PPL!$C:$C,PML!$A2,PPL!G:G)</f>
        <v>154</v>
      </c>
      <c r="F2">
        <f>SUMIF(PPL!$C:$C,PML!$A2,PPL!H:H)</f>
        <v>239</v>
      </c>
      <c r="G2">
        <f>SUMIF(PPL!$C:$C,PML!$A2,PPL!I:I)</f>
        <v>29</v>
      </c>
      <c r="H2">
        <f>SUMIF(PPL!$C:$C,PML!$A2,PPL!J:J)</f>
        <v>0</v>
      </c>
      <c r="I2">
        <f>SUMIF(PPL!$C:$C,PML!$A2,PPL!K:K)</f>
        <v>1493</v>
      </c>
      <c r="J2">
        <f>SUMIF(PPL!$C:$C,PML!$A2,PPL!L:L)</f>
        <v>0</v>
      </c>
      <c r="K2">
        <f>D2</f>
        <v>3089</v>
      </c>
      <c r="L2" s="3">
        <f>(SUM(D2)/C2)*100</f>
        <v>61.730615507593924</v>
      </c>
    </row>
    <row r="3" spans="1:12" x14ac:dyDescent="0.25">
      <c r="A3" t="s">
        <v>163</v>
      </c>
      <c r="B3" t="s">
        <v>187</v>
      </c>
      <c r="C3">
        <f>SUMIF(PPL!$C:$C,PML!$A3,PPL!E:E)</f>
        <v>5032</v>
      </c>
      <c r="D3">
        <f>SUMIF(PPL!$C:$C,PML!$A3,PPL!F:F)</f>
        <v>3358</v>
      </c>
      <c r="E3">
        <f>SUMIF(PPL!$C:$C,PML!$A3,PPL!G:G)</f>
        <v>48</v>
      </c>
      <c r="F3">
        <f>SUMIF(PPL!$C:$C,PML!$A3,PPL!H:H)</f>
        <v>238</v>
      </c>
      <c r="G3">
        <f>SUMIF(PPL!$C:$C,PML!$A3,PPL!I:I)</f>
        <v>72</v>
      </c>
      <c r="H3">
        <f>SUMIF(PPL!$C:$C,PML!$A3,PPL!J:J)</f>
        <v>4</v>
      </c>
      <c r="I3">
        <f>SUMIF(PPL!$C:$C,PML!$A3,PPL!K:K)</f>
        <v>1312</v>
      </c>
      <c r="J3">
        <f>SUMIF(PPL!$C:$C,PML!$A3,PPL!L:L)</f>
        <v>0</v>
      </c>
      <c r="K3">
        <f t="shared" ref="K3:K20" si="0">D3</f>
        <v>3358</v>
      </c>
      <c r="L3" s="3">
        <f t="shared" ref="L3:L20" si="1">(SUM(D3)/C3)*100</f>
        <v>66.732909379968206</v>
      </c>
    </row>
    <row r="4" spans="1:12" x14ac:dyDescent="0.25">
      <c r="A4" t="s">
        <v>164</v>
      </c>
      <c r="B4" t="s">
        <v>190</v>
      </c>
      <c r="C4">
        <f>SUMIF(PPL!$C:$C,PML!$A4,PPL!E:E)</f>
        <v>5787</v>
      </c>
      <c r="D4">
        <f>SUMIF(PPL!$C:$C,PML!$A4,PPL!F:F)</f>
        <v>4636</v>
      </c>
      <c r="E4">
        <f>SUMIF(PPL!$C:$C,PML!$A4,PPL!G:G)</f>
        <v>37</v>
      </c>
      <c r="F4">
        <f>SUMIF(PPL!$C:$C,PML!$A4,PPL!H:H)</f>
        <v>43</v>
      </c>
      <c r="G4">
        <f>SUMIF(PPL!$C:$C,PML!$A4,PPL!I:I)</f>
        <v>116</v>
      </c>
      <c r="H4">
        <f>SUMIF(PPL!$C:$C,PML!$A4,PPL!J:J)</f>
        <v>1</v>
      </c>
      <c r="I4">
        <f>SUMIF(PPL!$C:$C,PML!$A4,PPL!K:K)</f>
        <v>953</v>
      </c>
      <c r="J4">
        <f>SUMIF(PPL!$C:$C,PML!$A4,PPL!L:L)</f>
        <v>1</v>
      </c>
      <c r="K4">
        <f t="shared" si="0"/>
        <v>4636</v>
      </c>
      <c r="L4" s="3">
        <f t="shared" si="1"/>
        <v>80.11059270779333</v>
      </c>
    </row>
    <row r="5" spans="1:12" x14ac:dyDescent="0.25">
      <c r="A5" t="s">
        <v>165</v>
      </c>
      <c r="B5" t="s">
        <v>181</v>
      </c>
      <c r="C5">
        <f>SUMIF(PPL!$C:$C,PML!$A5,PPL!E:E)</f>
        <v>6954</v>
      </c>
      <c r="D5">
        <f>SUMIF(PPL!$C:$C,PML!$A5,PPL!F:F)</f>
        <v>4341</v>
      </c>
      <c r="E5">
        <f>SUMIF(PPL!$C:$C,PML!$A5,PPL!G:G)</f>
        <v>667</v>
      </c>
      <c r="F5">
        <f>SUMIF(PPL!$C:$C,PML!$A5,PPL!H:H)</f>
        <v>630</v>
      </c>
      <c r="G5">
        <f>SUMIF(PPL!$C:$C,PML!$A5,PPL!I:I)</f>
        <v>118</v>
      </c>
      <c r="H5">
        <f>SUMIF(PPL!$C:$C,PML!$A5,PPL!J:J)</f>
        <v>13</v>
      </c>
      <c r="I5">
        <f>SUMIF(PPL!$C:$C,PML!$A5,PPL!K:K)</f>
        <v>1185</v>
      </c>
      <c r="J5">
        <f>SUMIF(PPL!$C:$C,PML!$A5,PPL!L:L)</f>
        <v>0</v>
      </c>
      <c r="K5">
        <f t="shared" si="0"/>
        <v>4341</v>
      </c>
      <c r="L5" s="3">
        <f t="shared" si="1"/>
        <v>62.424503882657469</v>
      </c>
    </row>
    <row r="6" spans="1:12" x14ac:dyDescent="0.25">
      <c r="A6" t="s">
        <v>166</v>
      </c>
      <c r="B6" t="s">
        <v>189</v>
      </c>
      <c r="C6">
        <f>SUMIF(PPL!$C:$C,PML!$A6,PPL!E:E)</f>
        <v>6118</v>
      </c>
      <c r="D6">
        <f>SUMIF(PPL!$C:$C,PML!$A6,PPL!F:F)</f>
        <v>3505</v>
      </c>
      <c r="E6">
        <f>SUMIF(PPL!$C:$C,PML!$A6,PPL!G:G)</f>
        <v>224</v>
      </c>
      <c r="F6">
        <f>SUMIF(PPL!$C:$C,PML!$A6,PPL!H:H)</f>
        <v>722</v>
      </c>
      <c r="G6">
        <f>SUMIF(PPL!$C:$C,PML!$A6,PPL!I:I)</f>
        <v>102</v>
      </c>
      <c r="H6">
        <f>SUMIF(PPL!$C:$C,PML!$A6,PPL!J:J)</f>
        <v>4</v>
      </c>
      <c r="I6">
        <f>SUMIF(PPL!$C:$C,PML!$A6,PPL!K:K)</f>
        <v>1559</v>
      </c>
      <c r="J6">
        <f>SUMIF(PPL!$C:$C,PML!$A6,PPL!L:L)</f>
        <v>2</v>
      </c>
      <c r="K6">
        <f t="shared" si="0"/>
        <v>3505</v>
      </c>
      <c r="L6" s="3">
        <f t="shared" si="1"/>
        <v>57.28996404053612</v>
      </c>
    </row>
    <row r="7" spans="1:12" x14ac:dyDescent="0.25">
      <c r="A7" t="s">
        <v>167</v>
      </c>
      <c r="B7" t="s">
        <v>182</v>
      </c>
      <c r="C7">
        <f>SUMIF(PPL!$C:$C,PML!$A7,PPL!E:E)</f>
        <v>6576</v>
      </c>
      <c r="D7">
        <f>SUMIF(PPL!$C:$C,PML!$A7,PPL!F:F)</f>
        <v>2858</v>
      </c>
      <c r="E7">
        <f>SUMIF(PPL!$C:$C,PML!$A7,PPL!G:G)</f>
        <v>276</v>
      </c>
      <c r="F7">
        <f>SUMIF(PPL!$C:$C,PML!$A7,PPL!H:H)</f>
        <v>281</v>
      </c>
      <c r="G7">
        <f>SUMIF(PPL!$C:$C,PML!$A7,PPL!I:I)</f>
        <v>114</v>
      </c>
      <c r="H7">
        <f>SUMIF(PPL!$C:$C,PML!$A7,PPL!J:J)</f>
        <v>2</v>
      </c>
      <c r="I7">
        <f>SUMIF(PPL!$C:$C,PML!$A7,PPL!K:K)</f>
        <v>3044</v>
      </c>
      <c r="J7">
        <f>SUMIF(PPL!$C:$C,PML!$A7,PPL!L:L)</f>
        <v>1</v>
      </c>
      <c r="K7">
        <f t="shared" si="0"/>
        <v>2858</v>
      </c>
      <c r="L7" s="3">
        <f t="shared" si="1"/>
        <v>43.461070559610704</v>
      </c>
    </row>
    <row r="8" spans="1:12" x14ac:dyDescent="0.25">
      <c r="A8" t="s">
        <v>168</v>
      </c>
      <c r="B8" t="s">
        <v>197</v>
      </c>
      <c r="C8">
        <f>SUMIF(PPL!$C:$C,PML!$A8,PPL!E:E)</f>
        <v>5857</v>
      </c>
      <c r="D8">
        <f>SUMIF(PPL!$C:$C,PML!$A8,PPL!F:F)</f>
        <v>2617</v>
      </c>
      <c r="E8">
        <f>SUMIF(PPL!$C:$C,PML!$A8,PPL!G:G)</f>
        <v>193</v>
      </c>
      <c r="F8">
        <f>SUMIF(PPL!$C:$C,PML!$A8,PPL!H:H)</f>
        <v>318</v>
      </c>
      <c r="G8">
        <f>SUMIF(PPL!$C:$C,PML!$A8,PPL!I:I)</f>
        <v>410</v>
      </c>
      <c r="H8">
        <f>SUMIF(PPL!$C:$C,PML!$A8,PPL!J:J)</f>
        <v>26</v>
      </c>
      <c r="I8">
        <f>SUMIF(PPL!$C:$C,PML!$A8,PPL!K:K)</f>
        <v>2293</v>
      </c>
      <c r="J8">
        <f>SUMIF(PPL!$C:$C,PML!$A8,PPL!L:L)</f>
        <v>0</v>
      </c>
      <c r="K8">
        <f t="shared" si="0"/>
        <v>2617</v>
      </c>
      <c r="L8" s="3">
        <f t="shared" si="1"/>
        <v>44.681577599453647</v>
      </c>
    </row>
    <row r="9" spans="1:12" x14ac:dyDescent="0.25">
      <c r="A9" t="s">
        <v>169</v>
      </c>
      <c r="B9" t="s">
        <v>199</v>
      </c>
      <c r="C9">
        <f>SUMIF(PPL!$C:$C,PML!$A9,PPL!E:E)</f>
        <v>6238</v>
      </c>
      <c r="D9">
        <f>SUMIF(PPL!$C:$C,PML!$A9,PPL!F:F)</f>
        <v>4192</v>
      </c>
      <c r="E9">
        <f>SUMIF(PPL!$C:$C,PML!$A9,PPL!G:G)</f>
        <v>98</v>
      </c>
      <c r="F9">
        <f>SUMIF(PPL!$C:$C,PML!$A9,PPL!H:H)</f>
        <v>61</v>
      </c>
      <c r="G9">
        <f>SUMIF(PPL!$C:$C,PML!$A9,PPL!I:I)</f>
        <v>327</v>
      </c>
      <c r="H9">
        <f>SUMIF(PPL!$C:$C,PML!$A9,PPL!J:J)</f>
        <v>7</v>
      </c>
      <c r="I9">
        <f>SUMIF(PPL!$C:$C,PML!$A9,PPL!K:K)</f>
        <v>1553</v>
      </c>
      <c r="J9">
        <f>SUMIF(PPL!$C:$C,PML!$A9,PPL!L:L)</f>
        <v>0</v>
      </c>
      <c r="K9">
        <f t="shared" si="0"/>
        <v>4192</v>
      </c>
      <c r="L9" s="3">
        <f t="shared" si="1"/>
        <v>67.201025969862144</v>
      </c>
    </row>
    <row r="10" spans="1:12" x14ac:dyDescent="0.25">
      <c r="A10" t="s">
        <v>170</v>
      </c>
      <c r="B10" t="s">
        <v>196</v>
      </c>
      <c r="C10">
        <f>SUMIF(PPL!$C:$C,PML!$A10,PPL!E:E)</f>
        <v>6023</v>
      </c>
      <c r="D10">
        <f>SUMIF(PPL!$C:$C,PML!$A10,PPL!F:F)</f>
        <v>3883</v>
      </c>
      <c r="E10">
        <f>SUMIF(PPL!$C:$C,PML!$A10,PPL!G:G)</f>
        <v>64</v>
      </c>
      <c r="F10">
        <f>SUMIF(PPL!$C:$C,PML!$A10,PPL!H:H)</f>
        <v>16</v>
      </c>
      <c r="G10">
        <f>SUMIF(PPL!$C:$C,PML!$A10,PPL!I:I)</f>
        <v>321</v>
      </c>
      <c r="H10">
        <f>SUMIF(PPL!$C:$C,PML!$A10,PPL!J:J)</f>
        <v>3</v>
      </c>
      <c r="I10">
        <f>SUMIF(PPL!$C:$C,PML!$A10,PPL!K:K)</f>
        <v>1735</v>
      </c>
      <c r="J10">
        <f>SUMIF(PPL!$C:$C,PML!$A10,PPL!L:L)</f>
        <v>1</v>
      </c>
      <c r="K10">
        <f t="shared" si="0"/>
        <v>3883</v>
      </c>
      <c r="L10" s="3">
        <f t="shared" si="1"/>
        <v>64.469533455088822</v>
      </c>
    </row>
    <row r="11" spans="1:12" x14ac:dyDescent="0.25">
      <c r="A11" t="s">
        <v>171</v>
      </c>
      <c r="B11" t="s">
        <v>195</v>
      </c>
      <c r="C11">
        <f>SUMIF(PPL!$C:$C,PML!$A11,PPL!E:E)</f>
        <v>4361</v>
      </c>
      <c r="D11">
        <f>SUMIF(PPL!$C:$C,PML!$A11,PPL!F:F)</f>
        <v>2455</v>
      </c>
      <c r="E11">
        <f>SUMIF(PPL!$C:$C,PML!$A11,PPL!G:G)</f>
        <v>17</v>
      </c>
      <c r="F11">
        <f>SUMIF(PPL!$C:$C,PML!$A11,PPL!H:H)</f>
        <v>217</v>
      </c>
      <c r="G11">
        <f>SUMIF(PPL!$C:$C,PML!$A11,PPL!I:I)</f>
        <v>126</v>
      </c>
      <c r="H11">
        <f>SUMIF(PPL!$C:$C,PML!$A11,PPL!J:J)</f>
        <v>13</v>
      </c>
      <c r="I11">
        <f>SUMIF(PPL!$C:$C,PML!$A11,PPL!K:K)</f>
        <v>1533</v>
      </c>
      <c r="J11">
        <f>SUMIF(PPL!$C:$C,PML!$A11,PPL!L:L)</f>
        <v>0</v>
      </c>
      <c r="K11">
        <f t="shared" si="0"/>
        <v>2455</v>
      </c>
      <c r="L11" s="3">
        <f t="shared" si="1"/>
        <v>56.294427883512952</v>
      </c>
    </row>
    <row r="12" spans="1:12" x14ac:dyDescent="0.25">
      <c r="A12" t="s">
        <v>172</v>
      </c>
      <c r="B12" t="s">
        <v>193</v>
      </c>
      <c r="C12">
        <f>SUMIF(PPL!$C:$C,PML!$A12,PPL!E:E)</f>
        <v>3888</v>
      </c>
      <c r="D12">
        <f>SUMIF(PPL!$C:$C,PML!$A12,PPL!F:F)</f>
        <v>3149</v>
      </c>
      <c r="E12">
        <f>SUMIF(PPL!$C:$C,PML!$A12,PPL!G:G)</f>
        <v>72</v>
      </c>
      <c r="F12">
        <f>SUMIF(PPL!$C:$C,PML!$A12,PPL!H:H)</f>
        <v>90</v>
      </c>
      <c r="G12">
        <f>SUMIF(PPL!$C:$C,PML!$A12,PPL!I:I)</f>
        <v>89</v>
      </c>
      <c r="H12">
        <f>SUMIF(PPL!$C:$C,PML!$A12,PPL!J:J)</f>
        <v>29</v>
      </c>
      <c r="I12">
        <f>SUMIF(PPL!$C:$C,PML!$A12,PPL!K:K)</f>
        <v>459</v>
      </c>
      <c r="J12">
        <f>SUMIF(PPL!$C:$C,PML!$A12,PPL!L:L)</f>
        <v>0</v>
      </c>
      <c r="K12">
        <f t="shared" si="0"/>
        <v>3149</v>
      </c>
      <c r="L12" s="3">
        <f t="shared" si="1"/>
        <v>80.992798353909464</v>
      </c>
    </row>
    <row r="13" spans="1:12" x14ac:dyDescent="0.25">
      <c r="A13" t="s">
        <v>173</v>
      </c>
      <c r="B13" t="s">
        <v>186</v>
      </c>
      <c r="C13">
        <f>SUMIF(PPL!$C:$C,PML!$A13,PPL!E:E)</f>
        <v>4533</v>
      </c>
      <c r="D13">
        <f>SUMIF(PPL!$C:$C,PML!$A13,PPL!F:F)</f>
        <v>3542</v>
      </c>
      <c r="E13">
        <f>SUMIF(PPL!$C:$C,PML!$A13,PPL!G:G)</f>
        <v>59</v>
      </c>
      <c r="F13">
        <f>SUMIF(PPL!$C:$C,PML!$A13,PPL!H:H)</f>
        <v>350</v>
      </c>
      <c r="G13">
        <f>SUMIF(PPL!$C:$C,PML!$A13,PPL!I:I)</f>
        <v>62</v>
      </c>
      <c r="H13">
        <f>SUMIF(PPL!$C:$C,PML!$A13,PPL!J:J)</f>
        <v>17</v>
      </c>
      <c r="I13">
        <f>SUMIF(PPL!$C:$C,PML!$A13,PPL!K:K)</f>
        <v>503</v>
      </c>
      <c r="J13">
        <f>SUMIF(PPL!$C:$C,PML!$A13,PPL!L:L)</f>
        <v>0</v>
      </c>
      <c r="K13">
        <f t="shared" si="0"/>
        <v>3542</v>
      </c>
      <c r="L13" s="3">
        <f t="shared" si="1"/>
        <v>78.138098389587469</v>
      </c>
    </row>
    <row r="14" spans="1:12" x14ac:dyDescent="0.25">
      <c r="A14" t="s">
        <v>174</v>
      </c>
      <c r="B14" t="s">
        <v>185</v>
      </c>
      <c r="C14">
        <f>SUMIF(PPL!$C:$C,PML!$A14,PPL!E:E)</f>
        <v>4254</v>
      </c>
      <c r="D14">
        <f>SUMIF(PPL!$C:$C,PML!$A14,PPL!F:F)</f>
        <v>2065</v>
      </c>
      <c r="E14">
        <f>SUMIF(PPL!$C:$C,PML!$A14,PPL!G:G)</f>
        <v>281</v>
      </c>
      <c r="F14">
        <f>SUMIF(PPL!$C:$C,PML!$A14,PPL!H:H)</f>
        <v>514</v>
      </c>
      <c r="G14">
        <f>SUMIF(PPL!$C:$C,PML!$A14,PPL!I:I)</f>
        <v>87</v>
      </c>
      <c r="H14">
        <f>SUMIF(PPL!$C:$C,PML!$A14,PPL!J:J)</f>
        <v>4</v>
      </c>
      <c r="I14">
        <f>SUMIF(PPL!$C:$C,PML!$A14,PPL!K:K)</f>
        <v>1303</v>
      </c>
      <c r="J14">
        <f>SUMIF(PPL!$C:$C,PML!$A14,PPL!L:L)</f>
        <v>0</v>
      </c>
      <c r="K14">
        <f t="shared" si="0"/>
        <v>2065</v>
      </c>
      <c r="L14" s="3">
        <f t="shared" si="1"/>
        <v>48.542548189938884</v>
      </c>
    </row>
    <row r="15" spans="1:12" x14ac:dyDescent="0.25">
      <c r="A15" t="s">
        <v>175</v>
      </c>
      <c r="B15" t="s">
        <v>188</v>
      </c>
      <c r="C15">
        <f>SUMIF(PPL!$C:$C,PML!$A15,PPL!E:E)</f>
        <v>4888</v>
      </c>
      <c r="D15">
        <f>SUMIF(PPL!$C:$C,PML!$A15,PPL!F:F)</f>
        <v>1746</v>
      </c>
      <c r="E15">
        <f>SUMIF(PPL!$C:$C,PML!$A15,PPL!G:G)</f>
        <v>315</v>
      </c>
      <c r="F15">
        <f>SUMIF(PPL!$C:$C,PML!$A15,PPL!H:H)</f>
        <v>474</v>
      </c>
      <c r="G15">
        <f>SUMIF(PPL!$C:$C,PML!$A15,PPL!I:I)</f>
        <v>193</v>
      </c>
      <c r="H15">
        <f>SUMIF(PPL!$C:$C,PML!$A15,PPL!J:J)</f>
        <v>18</v>
      </c>
      <c r="I15">
        <f>SUMIF(PPL!$C:$C,PML!$A15,PPL!K:K)</f>
        <v>2142</v>
      </c>
      <c r="J15">
        <f>SUMIF(PPL!$C:$C,PML!$A15,PPL!L:L)</f>
        <v>0</v>
      </c>
      <c r="K15">
        <f t="shared" si="0"/>
        <v>1746</v>
      </c>
      <c r="L15" s="3">
        <f t="shared" si="1"/>
        <v>35.720130932896893</v>
      </c>
    </row>
    <row r="16" spans="1:12" x14ac:dyDescent="0.25">
      <c r="A16" t="s">
        <v>176</v>
      </c>
      <c r="B16" t="s">
        <v>194</v>
      </c>
      <c r="C16">
        <f>SUMIF(PPL!$C:$C,PML!$A16,PPL!E:E)</f>
        <v>5386</v>
      </c>
      <c r="D16">
        <f>SUMIF(PPL!$C:$C,PML!$A16,PPL!F:F)</f>
        <v>4248</v>
      </c>
      <c r="E16">
        <f>SUMIF(PPL!$C:$C,PML!$A16,PPL!G:G)</f>
        <v>461</v>
      </c>
      <c r="F16">
        <f>SUMIF(PPL!$C:$C,PML!$A16,PPL!H:H)</f>
        <v>110</v>
      </c>
      <c r="G16">
        <f>SUMIF(PPL!$C:$C,PML!$A16,PPL!I:I)</f>
        <v>68</v>
      </c>
      <c r="H16">
        <f>SUMIF(PPL!$C:$C,PML!$A16,PPL!J:J)</f>
        <v>3</v>
      </c>
      <c r="I16">
        <f>SUMIF(PPL!$C:$C,PML!$A16,PPL!K:K)</f>
        <v>496</v>
      </c>
      <c r="J16">
        <f>SUMIF(PPL!$C:$C,PML!$A16,PPL!L:L)</f>
        <v>0</v>
      </c>
      <c r="K16">
        <f t="shared" si="0"/>
        <v>4248</v>
      </c>
      <c r="L16" s="3">
        <f t="shared" si="1"/>
        <v>78.871147419235058</v>
      </c>
    </row>
    <row r="17" spans="1:12" x14ac:dyDescent="0.25">
      <c r="A17" t="s">
        <v>177</v>
      </c>
      <c r="B17" t="s">
        <v>192</v>
      </c>
      <c r="C17">
        <f>SUMIF(PPL!$C:$C,PML!$A17,PPL!E:E)</f>
        <v>5324</v>
      </c>
      <c r="D17">
        <f>SUMIF(PPL!$C:$C,PML!$A17,PPL!F:F)</f>
        <v>4253</v>
      </c>
      <c r="E17">
        <f>SUMIF(PPL!$C:$C,PML!$A17,PPL!G:G)</f>
        <v>371</v>
      </c>
      <c r="F17">
        <f>SUMIF(PPL!$C:$C,PML!$A17,PPL!H:H)</f>
        <v>455</v>
      </c>
      <c r="G17">
        <f>SUMIF(PPL!$C:$C,PML!$A17,PPL!I:I)</f>
        <v>48</v>
      </c>
      <c r="H17">
        <f>SUMIF(PPL!$C:$C,PML!$A17,PPL!J:J)</f>
        <v>13</v>
      </c>
      <c r="I17">
        <f>SUMIF(PPL!$C:$C,PML!$A17,PPL!K:K)</f>
        <v>184</v>
      </c>
      <c r="J17">
        <f>SUMIF(PPL!$C:$C,PML!$A17,PPL!L:L)</f>
        <v>0</v>
      </c>
      <c r="K17">
        <f t="shared" si="0"/>
        <v>4253</v>
      </c>
      <c r="L17" s="3">
        <f t="shared" si="1"/>
        <v>79.883546205860256</v>
      </c>
    </row>
    <row r="18" spans="1:12" x14ac:dyDescent="0.25">
      <c r="A18" t="s">
        <v>178</v>
      </c>
      <c r="B18" t="s">
        <v>2067</v>
      </c>
      <c r="C18">
        <f>SUMIF(PPL!$C:$C,PML!$A18,PPL!E:E)</f>
        <v>4992</v>
      </c>
      <c r="D18">
        <f>SUMIF(PPL!$C:$C,PML!$A18,PPL!F:F)</f>
        <v>4173</v>
      </c>
      <c r="E18">
        <f>SUMIF(PPL!$C:$C,PML!$A18,PPL!G:G)</f>
        <v>338</v>
      </c>
      <c r="F18">
        <f>SUMIF(PPL!$C:$C,PML!$A18,PPL!H:H)</f>
        <v>344</v>
      </c>
      <c r="G18">
        <f>SUMIF(PPL!$C:$C,PML!$A18,PPL!I:I)</f>
        <v>24</v>
      </c>
      <c r="H18">
        <f>SUMIF(PPL!$C:$C,PML!$A18,PPL!J:J)</f>
        <v>4</v>
      </c>
      <c r="I18">
        <f>SUMIF(PPL!$C:$C,PML!$A18,PPL!K:K)</f>
        <v>108</v>
      </c>
      <c r="J18">
        <f>SUMIF(PPL!$C:$C,PML!$A18,PPL!L:L)</f>
        <v>1</v>
      </c>
      <c r="K18">
        <f t="shared" si="0"/>
        <v>4173</v>
      </c>
      <c r="L18" s="3">
        <f t="shared" si="1"/>
        <v>83.59375</v>
      </c>
    </row>
    <row r="19" spans="1:12" x14ac:dyDescent="0.25">
      <c r="A19" t="s">
        <v>179</v>
      </c>
      <c r="B19" t="s">
        <v>184</v>
      </c>
      <c r="C19">
        <f>SUMIF(PPL!$C:$C,PML!$A19,PPL!E:E)</f>
        <v>4313</v>
      </c>
      <c r="D19">
        <f>SUMIF(PPL!$C:$C,PML!$A19,PPL!F:F)</f>
        <v>3219</v>
      </c>
      <c r="E19">
        <f>SUMIF(PPL!$C:$C,PML!$A19,PPL!G:G)</f>
        <v>352</v>
      </c>
      <c r="F19">
        <f>SUMIF(PPL!$C:$C,PML!$A19,PPL!H:H)</f>
        <v>188</v>
      </c>
      <c r="G19">
        <f>SUMIF(PPL!$C:$C,PML!$A19,PPL!I:I)</f>
        <v>82</v>
      </c>
      <c r="H19">
        <f>SUMIF(PPL!$C:$C,PML!$A19,PPL!J:J)</f>
        <v>8</v>
      </c>
      <c r="I19">
        <f>SUMIF(PPL!$C:$C,PML!$A19,PPL!K:K)</f>
        <v>464</v>
      </c>
      <c r="J19">
        <f>SUMIF(PPL!$C:$C,PML!$A19,PPL!L:L)</f>
        <v>0</v>
      </c>
      <c r="K19">
        <f t="shared" si="0"/>
        <v>3219</v>
      </c>
      <c r="L19" s="3">
        <f t="shared" si="1"/>
        <v>74.634824947832129</v>
      </c>
    </row>
    <row r="20" spans="1:12" x14ac:dyDescent="0.25">
      <c r="A20" t="s">
        <v>180</v>
      </c>
      <c r="B20" t="s">
        <v>183</v>
      </c>
      <c r="C20">
        <f>SUMIF(PPL!$C:$C,PML!$A20,PPL!E:E)</f>
        <v>5947</v>
      </c>
      <c r="D20">
        <f>SUMIF(PPL!$C:$C,PML!$A20,PPL!F:F)</f>
        <v>5183</v>
      </c>
      <c r="E20">
        <f>SUMIF(PPL!$C:$C,PML!$A20,PPL!G:G)</f>
        <v>192</v>
      </c>
      <c r="F20">
        <f>SUMIF(PPL!$C:$C,PML!$A20,PPL!H:H)</f>
        <v>302</v>
      </c>
      <c r="G20">
        <f>SUMIF(PPL!$C:$C,PML!$A20,PPL!I:I)</f>
        <v>4</v>
      </c>
      <c r="H20">
        <f>SUMIF(PPL!$C:$C,PML!$A20,PPL!J:J)</f>
        <v>9</v>
      </c>
      <c r="I20">
        <f>SUMIF(PPL!$C:$C,PML!$A20,PPL!K:K)</f>
        <v>256</v>
      </c>
      <c r="J20">
        <f>SUMIF(PPL!$C:$C,PML!$A20,PPL!L:L)</f>
        <v>1</v>
      </c>
      <c r="K20">
        <f t="shared" si="0"/>
        <v>5183</v>
      </c>
      <c r="L20" s="3">
        <f t="shared" si="1"/>
        <v>87.153186480578455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2026-08-25T07:57:06Z</dcterms:modified>
</cp:coreProperties>
</file>