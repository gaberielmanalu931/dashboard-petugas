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5B1C3C69-0011-43F5-A2C1-1E81F494B25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heet1" sheetId="1" r:id="rId1"/>
    <sheet name="region_summary (52)" sheetId="43" r:id="rId2"/>
    <sheet name="DATA" sheetId="2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2" hidden="1">DATA!$A$1:$J$1058</definedName>
    <definedName name="_xlnm._FilterDatabase" localSheetId="3" hidden="1">HARIAN!$A$1:$I$153</definedName>
    <definedName name="_xlnm._FilterDatabase" localSheetId="9" hidden="1">INFO!$A$1:$A$2</definedName>
    <definedName name="_xlnm._FilterDatabase" localSheetId="0" hidden="1">Sheet1!$A$1:$E$139</definedName>
    <definedName name="ExternalData_1" localSheetId="1" hidden="1">'region_summary (52)'!$A$1:$L$1058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43" l="1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733" i="43"/>
  <c r="M734" i="43"/>
  <c r="M735" i="43"/>
  <c r="M736" i="43"/>
  <c r="M737" i="43"/>
  <c r="M738" i="43"/>
  <c r="M739" i="43"/>
  <c r="M740" i="43"/>
  <c r="M741" i="43"/>
  <c r="M742" i="43"/>
  <c r="M743" i="43"/>
  <c r="M744" i="43"/>
  <c r="M745" i="43"/>
  <c r="M746" i="43"/>
  <c r="M747" i="43"/>
  <c r="M748" i="43"/>
  <c r="M749" i="43"/>
  <c r="M750" i="43"/>
  <c r="M751" i="43"/>
  <c r="M752" i="43"/>
  <c r="M753" i="43"/>
  <c r="M754" i="43"/>
  <c r="M755" i="43"/>
  <c r="M756" i="43"/>
  <c r="M757" i="43"/>
  <c r="M758" i="43"/>
  <c r="M759" i="43"/>
  <c r="M760" i="43"/>
  <c r="M761" i="43"/>
  <c r="M762" i="43"/>
  <c r="M763" i="43"/>
  <c r="M764" i="43"/>
  <c r="M765" i="43"/>
  <c r="M766" i="43"/>
  <c r="M767" i="43"/>
  <c r="M768" i="43"/>
  <c r="M769" i="43"/>
  <c r="M770" i="43"/>
  <c r="M771" i="43"/>
  <c r="M772" i="43"/>
  <c r="M773" i="43"/>
  <c r="M774" i="43"/>
  <c r="M775" i="43"/>
  <c r="M776" i="43"/>
  <c r="M777" i="43"/>
  <c r="M778" i="43"/>
  <c r="M779" i="43"/>
  <c r="M780" i="43"/>
  <c r="M781" i="43"/>
  <c r="M782" i="43"/>
  <c r="M783" i="43"/>
  <c r="M784" i="43"/>
  <c r="M785" i="43"/>
  <c r="M786" i="43"/>
  <c r="M787" i="43"/>
  <c r="M788" i="43"/>
  <c r="M789" i="43"/>
  <c r="M790" i="43"/>
  <c r="M791" i="43"/>
  <c r="M792" i="43"/>
  <c r="M793" i="43"/>
  <c r="M794" i="43"/>
  <c r="M795" i="43"/>
  <c r="M796" i="43"/>
  <c r="M797" i="43"/>
  <c r="M798" i="43"/>
  <c r="M799" i="43"/>
  <c r="M800" i="43"/>
  <c r="M801" i="43"/>
  <c r="M802" i="43"/>
  <c r="M803" i="43"/>
  <c r="M804" i="43"/>
  <c r="M805" i="43"/>
  <c r="M806" i="43"/>
  <c r="M807" i="43"/>
  <c r="M808" i="43"/>
  <c r="M809" i="43"/>
  <c r="M810" i="43"/>
  <c r="M811" i="43"/>
  <c r="M812" i="43"/>
  <c r="M813" i="43"/>
  <c r="M814" i="43"/>
  <c r="M815" i="43"/>
  <c r="M816" i="43"/>
  <c r="M817" i="43"/>
  <c r="M818" i="43"/>
  <c r="M819" i="43"/>
  <c r="M820" i="43"/>
  <c r="M821" i="43"/>
  <c r="M822" i="43"/>
  <c r="M823" i="43"/>
  <c r="M824" i="43"/>
  <c r="M825" i="43"/>
  <c r="M826" i="43"/>
  <c r="M827" i="43"/>
  <c r="M828" i="43"/>
  <c r="M829" i="43"/>
  <c r="M830" i="43"/>
  <c r="M831" i="43"/>
  <c r="M832" i="43"/>
  <c r="M833" i="43"/>
  <c r="M834" i="43"/>
  <c r="M835" i="43"/>
  <c r="M836" i="43"/>
  <c r="M837" i="43"/>
  <c r="M838" i="43"/>
  <c r="M839" i="43"/>
  <c r="M840" i="43"/>
  <c r="M841" i="43"/>
  <c r="M842" i="43"/>
  <c r="M843" i="43"/>
  <c r="M844" i="43"/>
  <c r="M845" i="43"/>
  <c r="M846" i="43"/>
  <c r="M847" i="43"/>
  <c r="M848" i="43"/>
  <c r="M849" i="43"/>
  <c r="M850" i="43"/>
  <c r="M851" i="43"/>
  <c r="M852" i="43"/>
  <c r="M853" i="43"/>
  <c r="M854" i="43"/>
  <c r="M855" i="43"/>
  <c r="M856" i="43"/>
  <c r="M857" i="43"/>
  <c r="M858" i="43"/>
  <c r="M859" i="43"/>
  <c r="M860" i="43"/>
  <c r="M861" i="43"/>
  <c r="M862" i="43"/>
  <c r="M863" i="43"/>
  <c r="M864" i="43"/>
  <c r="M865" i="43"/>
  <c r="M866" i="43"/>
  <c r="M867" i="43"/>
  <c r="M868" i="43"/>
  <c r="M869" i="43"/>
  <c r="M870" i="43"/>
  <c r="M871" i="43"/>
  <c r="M872" i="43"/>
  <c r="M873" i="43"/>
  <c r="M874" i="43"/>
  <c r="M875" i="43"/>
  <c r="M876" i="43"/>
  <c r="M877" i="43"/>
  <c r="M878" i="43"/>
  <c r="M879" i="43"/>
  <c r="M880" i="43"/>
  <c r="M881" i="43"/>
  <c r="M882" i="43"/>
  <c r="M883" i="43"/>
  <c r="M884" i="43"/>
  <c r="M885" i="43"/>
  <c r="M886" i="43"/>
  <c r="M887" i="43"/>
  <c r="M888" i="43"/>
  <c r="M889" i="43"/>
  <c r="M890" i="43"/>
  <c r="M891" i="43"/>
  <c r="M892" i="43"/>
  <c r="M893" i="43"/>
  <c r="M894" i="43"/>
  <c r="M895" i="43"/>
  <c r="M896" i="43"/>
  <c r="M897" i="43"/>
  <c r="M898" i="43"/>
  <c r="M899" i="43"/>
  <c r="M900" i="43"/>
  <c r="M901" i="43"/>
  <c r="M902" i="43"/>
  <c r="M903" i="43"/>
  <c r="M904" i="43"/>
  <c r="M905" i="43"/>
  <c r="M906" i="43"/>
  <c r="M907" i="43"/>
  <c r="M908" i="43"/>
  <c r="M909" i="43"/>
  <c r="M910" i="43"/>
  <c r="M911" i="43"/>
  <c r="M912" i="43"/>
  <c r="M913" i="43"/>
  <c r="M914" i="43"/>
  <c r="M915" i="43"/>
  <c r="M916" i="43"/>
  <c r="M917" i="43"/>
  <c r="M918" i="43"/>
  <c r="M919" i="43"/>
  <c r="M920" i="43"/>
  <c r="M921" i="43"/>
  <c r="M922" i="43"/>
  <c r="M923" i="43"/>
  <c r="M924" i="43"/>
  <c r="M925" i="43"/>
  <c r="M926" i="43"/>
  <c r="M927" i="43"/>
  <c r="M928" i="43"/>
  <c r="M929" i="43"/>
  <c r="M930" i="43"/>
  <c r="M931" i="43"/>
  <c r="M932" i="43"/>
  <c r="M933" i="43"/>
  <c r="M934" i="43"/>
  <c r="M935" i="43"/>
  <c r="M936" i="43"/>
  <c r="M937" i="43"/>
  <c r="M938" i="43"/>
  <c r="M939" i="43"/>
  <c r="M940" i="43"/>
  <c r="M941" i="43"/>
  <c r="M942" i="43"/>
  <c r="M943" i="43"/>
  <c r="M944" i="43"/>
  <c r="M945" i="43"/>
  <c r="M946" i="43"/>
  <c r="M947" i="43"/>
  <c r="M948" i="43"/>
  <c r="M949" i="43"/>
  <c r="M950" i="43"/>
  <c r="M951" i="43"/>
  <c r="M952" i="43"/>
  <c r="M953" i="43"/>
  <c r="M954" i="43"/>
  <c r="M955" i="43"/>
  <c r="M956" i="43"/>
  <c r="M957" i="43"/>
  <c r="M958" i="43"/>
  <c r="M959" i="43"/>
  <c r="M960" i="43"/>
  <c r="M961" i="43"/>
  <c r="M962" i="43"/>
  <c r="M963" i="43"/>
  <c r="M964" i="43"/>
  <c r="M965" i="43"/>
  <c r="M966" i="43"/>
  <c r="M967" i="43"/>
  <c r="M968" i="43"/>
  <c r="M969" i="43"/>
  <c r="M970" i="43"/>
  <c r="M971" i="43"/>
  <c r="M972" i="43"/>
  <c r="M973" i="43"/>
  <c r="M974" i="43"/>
  <c r="M975" i="43"/>
  <c r="M976" i="43"/>
  <c r="M977" i="43"/>
  <c r="M978" i="43"/>
  <c r="M979" i="43"/>
  <c r="M980" i="43"/>
  <c r="M981" i="43"/>
  <c r="M982" i="43"/>
  <c r="M983" i="43"/>
  <c r="M984" i="43"/>
  <c r="M985" i="43"/>
  <c r="M986" i="43"/>
  <c r="M987" i="43"/>
  <c r="M988" i="43"/>
  <c r="M989" i="43"/>
  <c r="M990" i="43"/>
  <c r="M991" i="43"/>
  <c r="M992" i="43"/>
  <c r="M993" i="43"/>
  <c r="M994" i="43"/>
  <c r="M995" i="43"/>
  <c r="M996" i="43"/>
  <c r="M997" i="43"/>
  <c r="M998" i="43"/>
  <c r="M999" i="43"/>
  <c r="M1000" i="43"/>
  <c r="M1001" i="43"/>
  <c r="M1002" i="43"/>
  <c r="M1003" i="43"/>
  <c r="M1004" i="43"/>
  <c r="M1005" i="43"/>
  <c r="M1006" i="43"/>
  <c r="M1007" i="43"/>
  <c r="M1008" i="43"/>
  <c r="M1009" i="43"/>
  <c r="M1010" i="43"/>
  <c r="M1011" i="43"/>
  <c r="M1012" i="43"/>
  <c r="M1013" i="43"/>
  <c r="M1014" i="43"/>
  <c r="M1015" i="43"/>
  <c r="M1016" i="43"/>
  <c r="M1017" i="43"/>
  <c r="M1018" i="43"/>
  <c r="M1019" i="43"/>
  <c r="M1020" i="43"/>
  <c r="M1021" i="43"/>
  <c r="M1022" i="43"/>
  <c r="M1023" i="43"/>
  <c r="M1024" i="43"/>
  <c r="M1025" i="43"/>
  <c r="M1026" i="43"/>
  <c r="M1027" i="43"/>
  <c r="M1028" i="43"/>
  <c r="M1029" i="43"/>
  <c r="M1030" i="43"/>
  <c r="M1031" i="43"/>
  <c r="M1032" i="43"/>
  <c r="M1033" i="43"/>
  <c r="M1034" i="43"/>
  <c r="M1035" i="43"/>
  <c r="M1036" i="43"/>
  <c r="M1037" i="43"/>
  <c r="M1038" i="43"/>
  <c r="M1039" i="43"/>
  <c r="M1040" i="43"/>
  <c r="M1041" i="43"/>
  <c r="M1042" i="43"/>
  <c r="M1043" i="43"/>
  <c r="M1044" i="43"/>
  <c r="M1045" i="43"/>
  <c r="M1046" i="43"/>
  <c r="M1047" i="43"/>
  <c r="M1048" i="43"/>
  <c r="M1049" i="43"/>
  <c r="M1050" i="43"/>
  <c r="M1051" i="43"/>
  <c r="M1052" i="43"/>
  <c r="M1053" i="43"/>
  <c r="M1054" i="43"/>
  <c r="M1055" i="43"/>
  <c r="M1056" i="43"/>
  <c r="M1057" i="43"/>
  <c r="M1058" i="43"/>
  <c r="B158" i="9" l="1"/>
  <c r="C158" i="9"/>
  <c r="B159" i="9"/>
  <c r="C159" i="9"/>
  <c r="B160" i="9"/>
  <c r="C160" i="9"/>
  <c r="E140" i="4"/>
  <c r="O140" i="4" s="1"/>
  <c r="F140" i="4"/>
  <c r="G140" i="4"/>
  <c r="H140" i="4"/>
  <c r="I140" i="4"/>
  <c r="J140" i="4"/>
  <c r="K140" i="4"/>
  <c r="L140" i="4"/>
  <c r="E141" i="4"/>
  <c r="O141" i="4" s="1"/>
  <c r="F141" i="4"/>
  <c r="G141" i="4"/>
  <c r="H141" i="4"/>
  <c r="I141" i="4"/>
  <c r="J141" i="4"/>
  <c r="K141" i="4"/>
  <c r="L141" i="4"/>
  <c r="E142" i="4"/>
  <c r="O142" i="4" s="1"/>
  <c r="F142" i="4"/>
  <c r="G142" i="4"/>
  <c r="H142" i="4"/>
  <c r="I142" i="4"/>
  <c r="J142" i="4"/>
  <c r="K142" i="4"/>
  <c r="L142" i="4"/>
  <c r="D140" i="4"/>
  <c r="D141" i="4"/>
  <c r="D142" i="4"/>
  <c r="B155" i="9"/>
  <c r="B156" i="9"/>
  <c r="B157" i="9"/>
  <c r="C154" i="9"/>
  <c r="B154" i="9"/>
  <c r="D136" i="4"/>
  <c r="E136" i="4"/>
  <c r="O136" i="4" s="1"/>
  <c r="F136" i="4"/>
  <c r="G136" i="4"/>
  <c r="H136" i="4"/>
  <c r="I136" i="4"/>
  <c r="J136" i="4"/>
  <c r="K136" i="4"/>
  <c r="L136" i="4"/>
  <c r="D137" i="4"/>
  <c r="C155" i="9" s="1"/>
  <c r="E137" i="4"/>
  <c r="O137" i="4" s="1"/>
  <c r="F137" i="4"/>
  <c r="G137" i="4"/>
  <c r="H137" i="4"/>
  <c r="I137" i="4"/>
  <c r="J137" i="4"/>
  <c r="K137" i="4"/>
  <c r="L137" i="4"/>
  <c r="D138" i="4"/>
  <c r="C156" i="9" s="1"/>
  <c r="E138" i="4"/>
  <c r="O138" i="4" s="1"/>
  <c r="F138" i="4"/>
  <c r="G138" i="4"/>
  <c r="H138" i="4"/>
  <c r="I138" i="4"/>
  <c r="J138" i="4"/>
  <c r="K138" i="4"/>
  <c r="L138" i="4"/>
  <c r="D139" i="4"/>
  <c r="C157" i="9" s="1"/>
  <c r="E139" i="4"/>
  <c r="O139" i="4" s="1"/>
  <c r="F139" i="4"/>
  <c r="G139" i="4"/>
  <c r="H139" i="4"/>
  <c r="I139" i="4"/>
  <c r="J139" i="4"/>
  <c r="K139" i="4"/>
  <c r="L139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4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35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C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2" i="9"/>
  <c r="E135" i="4"/>
  <c r="O135" i="4" s="1"/>
  <c r="F135" i="4"/>
  <c r="G135" i="4"/>
  <c r="H135" i="4"/>
  <c r="I135" i="4"/>
  <c r="J135" i="4"/>
  <c r="K135" i="4"/>
  <c r="L135" i="4"/>
  <c r="D135" i="4"/>
  <c r="C134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D74" i="4"/>
  <c r="C73" i="9" s="1"/>
  <c r="D75" i="4"/>
  <c r="C74" i="9" s="1"/>
  <c r="D76" i="4"/>
  <c r="C75" i="9" s="1"/>
  <c r="D77" i="4"/>
  <c r="C76" i="9" s="1"/>
  <c r="D78" i="4"/>
  <c r="C77" i="9" s="1"/>
  <c r="D79" i="4"/>
  <c r="C78" i="9" s="1"/>
  <c r="D80" i="4"/>
  <c r="C79" i="9" s="1"/>
  <c r="D81" i="4"/>
  <c r="C80" i="9" s="1"/>
  <c r="D82" i="4"/>
  <c r="C81" i="9" s="1"/>
  <c r="D83" i="4"/>
  <c r="C82" i="9" s="1"/>
  <c r="D84" i="4"/>
  <c r="C83" i="9" s="1"/>
  <c r="D85" i="4"/>
  <c r="C84" i="9" s="1"/>
  <c r="D86" i="4"/>
  <c r="C85" i="9" s="1"/>
  <c r="D87" i="4"/>
  <c r="C86" i="9" s="1"/>
  <c r="D88" i="4"/>
  <c r="C87" i="9" s="1"/>
  <c r="D89" i="4"/>
  <c r="C88" i="9" s="1"/>
  <c r="D90" i="4"/>
  <c r="C89" i="9" s="1"/>
  <c r="D91" i="4"/>
  <c r="C90" i="9" s="1"/>
  <c r="D92" i="4"/>
  <c r="C91" i="9" s="1"/>
  <c r="D93" i="4"/>
  <c r="C92" i="9" s="1"/>
  <c r="D94" i="4"/>
  <c r="C93" i="9" s="1"/>
  <c r="D95" i="4"/>
  <c r="C94" i="9" s="1"/>
  <c r="D96" i="4"/>
  <c r="C95" i="9" s="1"/>
  <c r="D97" i="4"/>
  <c r="C96" i="9" s="1"/>
  <c r="D98" i="4"/>
  <c r="C97" i="9" s="1"/>
  <c r="D99" i="4"/>
  <c r="C98" i="9" s="1"/>
  <c r="D100" i="4"/>
  <c r="C99" i="9" s="1"/>
  <c r="D101" i="4"/>
  <c r="C100" i="9" s="1"/>
  <c r="D102" i="4"/>
  <c r="C101" i="9" s="1"/>
  <c r="D103" i="4"/>
  <c r="C102" i="9" s="1"/>
  <c r="D104" i="4"/>
  <c r="C103" i="9" s="1"/>
  <c r="D105" i="4"/>
  <c r="C104" i="9" s="1"/>
  <c r="D106" i="4"/>
  <c r="C105" i="9" s="1"/>
  <c r="D107" i="4"/>
  <c r="C106" i="9" s="1"/>
  <c r="D108" i="4"/>
  <c r="C107" i="9" s="1"/>
  <c r="D109" i="4"/>
  <c r="C108" i="9" s="1"/>
  <c r="D110" i="4"/>
  <c r="C109" i="9" s="1"/>
  <c r="D111" i="4"/>
  <c r="D112" i="4"/>
  <c r="C111" i="9" s="1"/>
  <c r="D113" i="4"/>
  <c r="C112" i="9" s="1"/>
  <c r="D114" i="4"/>
  <c r="C113" i="9" s="1"/>
  <c r="D115" i="4"/>
  <c r="C114" i="9" s="1"/>
  <c r="D116" i="4"/>
  <c r="C115" i="9" s="1"/>
  <c r="D117" i="4"/>
  <c r="C116" i="9" s="1"/>
  <c r="D118" i="4"/>
  <c r="C117" i="9" s="1"/>
  <c r="D119" i="4"/>
  <c r="C118" i="9" s="1"/>
  <c r="D120" i="4"/>
  <c r="C119" i="9" s="1"/>
  <c r="D121" i="4"/>
  <c r="C120" i="9" s="1"/>
  <c r="D122" i="4"/>
  <c r="C121" i="9" s="1"/>
  <c r="D123" i="4"/>
  <c r="C122" i="9" s="1"/>
  <c r="D124" i="4"/>
  <c r="C123" i="9" s="1"/>
  <c r="D125" i="4"/>
  <c r="C124" i="9" s="1"/>
  <c r="D126" i="4"/>
  <c r="C125" i="9" s="1"/>
  <c r="D127" i="4"/>
  <c r="C126" i="9" s="1"/>
  <c r="D128" i="4"/>
  <c r="C127" i="9" s="1"/>
  <c r="D129" i="4"/>
  <c r="C128" i="9" s="1"/>
  <c r="D130" i="4"/>
  <c r="C129" i="9" s="1"/>
  <c r="D131" i="4"/>
  <c r="C130" i="9" s="1"/>
  <c r="D132" i="4"/>
  <c r="C131" i="9" s="1"/>
  <c r="D133" i="4"/>
  <c r="C132" i="9" s="1"/>
  <c r="D134" i="4"/>
  <c r="C133" i="9" s="1"/>
  <c r="D2" i="4"/>
  <c r="C2" i="9" s="1"/>
  <c r="E3" i="4"/>
  <c r="O3" i="4" s="1"/>
  <c r="G3" i="4"/>
  <c r="H3" i="4"/>
  <c r="I3" i="4"/>
  <c r="J3" i="4"/>
  <c r="K3" i="4"/>
  <c r="L3" i="4"/>
  <c r="E4" i="4"/>
  <c r="O4" i="4" s="1"/>
  <c r="F4" i="4"/>
  <c r="G4" i="4"/>
  <c r="H4" i="4"/>
  <c r="I4" i="4"/>
  <c r="J4" i="4"/>
  <c r="K4" i="4"/>
  <c r="L4" i="4"/>
  <c r="E5" i="4"/>
  <c r="O5" i="4" s="1"/>
  <c r="F5" i="4"/>
  <c r="G5" i="4"/>
  <c r="H5" i="4"/>
  <c r="I5" i="4"/>
  <c r="J5" i="4"/>
  <c r="K5" i="4"/>
  <c r="L5" i="4"/>
  <c r="E6" i="4"/>
  <c r="O6" i="4" s="1"/>
  <c r="F6" i="4"/>
  <c r="G6" i="4"/>
  <c r="H6" i="4"/>
  <c r="I6" i="4"/>
  <c r="J6" i="4"/>
  <c r="K6" i="4"/>
  <c r="L6" i="4"/>
  <c r="E7" i="4"/>
  <c r="O7" i="4" s="1"/>
  <c r="G7" i="4"/>
  <c r="H7" i="4"/>
  <c r="I7" i="4"/>
  <c r="J7" i="4"/>
  <c r="K7" i="4"/>
  <c r="L7" i="4"/>
  <c r="E8" i="4"/>
  <c r="O8" i="4" s="1"/>
  <c r="F8" i="4"/>
  <c r="G8" i="4"/>
  <c r="H8" i="4"/>
  <c r="I8" i="4"/>
  <c r="J8" i="4"/>
  <c r="K8" i="4"/>
  <c r="L8" i="4"/>
  <c r="E9" i="4"/>
  <c r="O9" i="4" s="1"/>
  <c r="G9" i="4"/>
  <c r="H9" i="4"/>
  <c r="I9" i="4"/>
  <c r="J9" i="4"/>
  <c r="K9" i="4"/>
  <c r="L9" i="4"/>
  <c r="E10" i="4"/>
  <c r="O10" i="4" s="1"/>
  <c r="F10" i="4"/>
  <c r="G10" i="4"/>
  <c r="H10" i="4"/>
  <c r="I10" i="4"/>
  <c r="J10" i="4"/>
  <c r="K10" i="4"/>
  <c r="L10" i="4"/>
  <c r="E11" i="4"/>
  <c r="O11" i="4" s="1"/>
  <c r="F11" i="4"/>
  <c r="G11" i="4"/>
  <c r="H11" i="4"/>
  <c r="I11" i="4"/>
  <c r="J11" i="4"/>
  <c r="K11" i="4"/>
  <c r="L11" i="4"/>
  <c r="E12" i="4"/>
  <c r="O12" i="4" s="1"/>
  <c r="G12" i="4"/>
  <c r="H12" i="4"/>
  <c r="I12" i="4"/>
  <c r="J12" i="4"/>
  <c r="K12" i="4"/>
  <c r="L12" i="4"/>
  <c r="E13" i="4"/>
  <c r="O13" i="4" s="1"/>
  <c r="F13" i="4"/>
  <c r="G13" i="4"/>
  <c r="H13" i="4"/>
  <c r="I13" i="4"/>
  <c r="J13" i="4"/>
  <c r="K13" i="4"/>
  <c r="L13" i="4"/>
  <c r="E14" i="4"/>
  <c r="O14" i="4" s="1"/>
  <c r="F14" i="4"/>
  <c r="G14" i="4"/>
  <c r="H14" i="4"/>
  <c r="I14" i="4"/>
  <c r="J14" i="4"/>
  <c r="K14" i="4"/>
  <c r="L14" i="4"/>
  <c r="E15" i="4"/>
  <c r="O15" i="4" s="1"/>
  <c r="F15" i="4"/>
  <c r="G15" i="4"/>
  <c r="H15" i="4"/>
  <c r="I15" i="4"/>
  <c r="J15" i="4"/>
  <c r="K15" i="4"/>
  <c r="L15" i="4"/>
  <c r="E16" i="4"/>
  <c r="O16" i="4" s="1"/>
  <c r="F16" i="4"/>
  <c r="G16" i="4"/>
  <c r="H16" i="4"/>
  <c r="I16" i="4"/>
  <c r="J16" i="4"/>
  <c r="K16" i="4"/>
  <c r="L16" i="4"/>
  <c r="E17" i="4"/>
  <c r="O17" i="4" s="1"/>
  <c r="F17" i="4"/>
  <c r="G17" i="4"/>
  <c r="H17" i="4"/>
  <c r="I17" i="4"/>
  <c r="J17" i="4"/>
  <c r="K17" i="4"/>
  <c r="L17" i="4"/>
  <c r="E18" i="4"/>
  <c r="O18" i="4" s="1"/>
  <c r="F18" i="4"/>
  <c r="G18" i="4"/>
  <c r="H18" i="4"/>
  <c r="I18" i="4"/>
  <c r="J18" i="4"/>
  <c r="K18" i="4"/>
  <c r="L18" i="4"/>
  <c r="E19" i="4"/>
  <c r="O19" i="4" s="1"/>
  <c r="F19" i="4"/>
  <c r="G19" i="4"/>
  <c r="H19" i="4"/>
  <c r="I19" i="4"/>
  <c r="J19" i="4"/>
  <c r="K19" i="4"/>
  <c r="L19" i="4"/>
  <c r="E20" i="4"/>
  <c r="O20" i="4" s="1"/>
  <c r="F20" i="4"/>
  <c r="G20" i="4"/>
  <c r="H20" i="4"/>
  <c r="I20" i="4"/>
  <c r="J20" i="4"/>
  <c r="K20" i="4"/>
  <c r="L20" i="4"/>
  <c r="E21" i="4"/>
  <c r="O21" i="4" s="1"/>
  <c r="F21" i="4"/>
  <c r="G21" i="4"/>
  <c r="H21" i="4"/>
  <c r="I21" i="4"/>
  <c r="J21" i="4"/>
  <c r="K21" i="4"/>
  <c r="L21" i="4"/>
  <c r="E22" i="4"/>
  <c r="O22" i="4" s="1"/>
  <c r="F22" i="4"/>
  <c r="G22" i="4"/>
  <c r="H22" i="4"/>
  <c r="I22" i="4"/>
  <c r="J22" i="4"/>
  <c r="K22" i="4"/>
  <c r="L22" i="4"/>
  <c r="E23" i="4"/>
  <c r="O23" i="4" s="1"/>
  <c r="F23" i="4"/>
  <c r="G23" i="4"/>
  <c r="H23" i="4"/>
  <c r="I23" i="4"/>
  <c r="J23" i="4"/>
  <c r="K23" i="4"/>
  <c r="L23" i="4"/>
  <c r="E24" i="4"/>
  <c r="O24" i="4" s="1"/>
  <c r="F24" i="4"/>
  <c r="G24" i="4"/>
  <c r="H24" i="4"/>
  <c r="I24" i="4"/>
  <c r="J24" i="4"/>
  <c r="K24" i="4"/>
  <c r="L24" i="4"/>
  <c r="E25" i="4"/>
  <c r="O25" i="4" s="1"/>
  <c r="F25" i="4"/>
  <c r="G25" i="4"/>
  <c r="H25" i="4"/>
  <c r="I25" i="4"/>
  <c r="J25" i="4"/>
  <c r="K25" i="4"/>
  <c r="L25" i="4"/>
  <c r="E26" i="4"/>
  <c r="O26" i="4" s="1"/>
  <c r="F26" i="4"/>
  <c r="G26" i="4"/>
  <c r="H26" i="4"/>
  <c r="I26" i="4"/>
  <c r="J26" i="4"/>
  <c r="K26" i="4"/>
  <c r="L26" i="4"/>
  <c r="E27" i="4"/>
  <c r="O27" i="4" s="1"/>
  <c r="F27" i="4"/>
  <c r="G27" i="4"/>
  <c r="H27" i="4"/>
  <c r="I27" i="4"/>
  <c r="J27" i="4"/>
  <c r="K27" i="4"/>
  <c r="L27" i="4"/>
  <c r="E28" i="4"/>
  <c r="O28" i="4" s="1"/>
  <c r="F28" i="4"/>
  <c r="G28" i="4"/>
  <c r="H28" i="4"/>
  <c r="I28" i="4"/>
  <c r="J28" i="4"/>
  <c r="K28" i="4"/>
  <c r="L28" i="4"/>
  <c r="E29" i="4"/>
  <c r="O29" i="4" s="1"/>
  <c r="F29" i="4"/>
  <c r="G29" i="4"/>
  <c r="H29" i="4"/>
  <c r="I29" i="4"/>
  <c r="J29" i="4"/>
  <c r="K29" i="4"/>
  <c r="L29" i="4"/>
  <c r="E30" i="4"/>
  <c r="O30" i="4" s="1"/>
  <c r="F30" i="4"/>
  <c r="G30" i="4"/>
  <c r="H30" i="4"/>
  <c r="I30" i="4"/>
  <c r="J30" i="4"/>
  <c r="K30" i="4"/>
  <c r="L30" i="4"/>
  <c r="E31" i="4"/>
  <c r="O31" i="4" s="1"/>
  <c r="F31" i="4"/>
  <c r="G31" i="4"/>
  <c r="H31" i="4"/>
  <c r="I31" i="4"/>
  <c r="J31" i="4"/>
  <c r="K31" i="4"/>
  <c r="L31" i="4"/>
  <c r="E32" i="4"/>
  <c r="O32" i="4" s="1"/>
  <c r="F32" i="4"/>
  <c r="G32" i="4"/>
  <c r="H32" i="4"/>
  <c r="I32" i="4"/>
  <c r="J32" i="4"/>
  <c r="K32" i="4"/>
  <c r="L32" i="4"/>
  <c r="E33" i="4"/>
  <c r="O33" i="4" s="1"/>
  <c r="F33" i="4"/>
  <c r="G33" i="4"/>
  <c r="H33" i="4"/>
  <c r="I33" i="4"/>
  <c r="J33" i="4"/>
  <c r="K33" i="4"/>
  <c r="L33" i="4"/>
  <c r="E34" i="4"/>
  <c r="O34" i="4" s="1"/>
  <c r="F34" i="4"/>
  <c r="G34" i="4"/>
  <c r="H34" i="4"/>
  <c r="I34" i="4"/>
  <c r="J34" i="4"/>
  <c r="K34" i="4"/>
  <c r="L34" i="4"/>
  <c r="E35" i="4"/>
  <c r="O35" i="4" s="1"/>
  <c r="F35" i="4"/>
  <c r="G35" i="4"/>
  <c r="H35" i="4"/>
  <c r="I35" i="4"/>
  <c r="J35" i="4"/>
  <c r="K35" i="4"/>
  <c r="L35" i="4"/>
  <c r="E36" i="4"/>
  <c r="O36" i="4" s="1"/>
  <c r="F36" i="4"/>
  <c r="G36" i="4"/>
  <c r="H36" i="4"/>
  <c r="I36" i="4"/>
  <c r="J36" i="4"/>
  <c r="K36" i="4"/>
  <c r="L36" i="4"/>
  <c r="E37" i="4"/>
  <c r="O37" i="4" s="1"/>
  <c r="F37" i="4"/>
  <c r="G37" i="4"/>
  <c r="H37" i="4"/>
  <c r="I37" i="4"/>
  <c r="J37" i="4"/>
  <c r="K37" i="4"/>
  <c r="L37" i="4"/>
  <c r="E38" i="4"/>
  <c r="O38" i="4" s="1"/>
  <c r="F38" i="4"/>
  <c r="G38" i="4"/>
  <c r="H38" i="4"/>
  <c r="I38" i="4"/>
  <c r="J38" i="4"/>
  <c r="K38" i="4"/>
  <c r="L38" i="4"/>
  <c r="E39" i="4"/>
  <c r="O39" i="4" s="1"/>
  <c r="F39" i="4"/>
  <c r="G39" i="4"/>
  <c r="H39" i="4"/>
  <c r="I39" i="4"/>
  <c r="J39" i="4"/>
  <c r="K39" i="4"/>
  <c r="L39" i="4"/>
  <c r="E40" i="4"/>
  <c r="O40" i="4" s="1"/>
  <c r="F40" i="4"/>
  <c r="G40" i="4"/>
  <c r="H40" i="4"/>
  <c r="I40" i="4"/>
  <c r="J40" i="4"/>
  <c r="K40" i="4"/>
  <c r="L40" i="4"/>
  <c r="E41" i="4"/>
  <c r="O41" i="4" s="1"/>
  <c r="F41" i="4"/>
  <c r="G41" i="4"/>
  <c r="H41" i="4"/>
  <c r="I41" i="4"/>
  <c r="J41" i="4"/>
  <c r="K41" i="4"/>
  <c r="L41" i="4"/>
  <c r="E42" i="4"/>
  <c r="O42" i="4" s="1"/>
  <c r="F42" i="4"/>
  <c r="G42" i="4"/>
  <c r="H42" i="4"/>
  <c r="I42" i="4"/>
  <c r="J42" i="4"/>
  <c r="K42" i="4"/>
  <c r="L42" i="4"/>
  <c r="E43" i="4"/>
  <c r="O43" i="4" s="1"/>
  <c r="F43" i="4"/>
  <c r="G43" i="4"/>
  <c r="H43" i="4"/>
  <c r="I43" i="4"/>
  <c r="J43" i="4"/>
  <c r="K43" i="4"/>
  <c r="L43" i="4"/>
  <c r="E44" i="4"/>
  <c r="O44" i="4" s="1"/>
  <c r="F44" i="4"/>
  <c r="G44" i="4"/>
  <c r="H44" i="4"/>
  <c r="I44" i="4"/>
  <c r="J44" i="4"/>
  <c r="K44" i="4"/>
  <c r="L44" i="4"/>
  <c r="E45" i="4"/>
  <c r="O45" i="4" s="1"/>
  <c r="F45" i="4"/>
  <c r="G45" i="4"/>
  <c r="H45" i="4"/>
  <c r="I45" i="4"/>
  <c r="J45" i="4"/>
  <c r="K45" i="4"/>
  <c r="L45" i="4"/>
  <c r="E46" i="4"/>
  <c r="O46" i="4" s="1"/>
  <c r="F46" i="4"/>
  <c r="G46" i="4"/>
  <c r="H46" i="4"/>
  <c r="I46" i="4"/>
  <c r="J46" i="4"/>
  <c r="K46" i="4"/>
  <c r="L46" i="4"/>
  <c r="E47" i="4"/>
  <c r="O47" i="4" s="1"/>
  <c r="F47" i="4"/>
  <c r="G47" i="4"/>
  <c r="H47" i="4"/>
  <c r="I47" i="4"/>
  <c r="J47" i="4"/>
  <c r="K47" i="4"/>
  <c r="L47" i="4"/>
  <c r="E48" i="4"/>
  <c r="O48" i="4" s="1"/>
  <c r="F48" i="4"/>
  <c r="G48" i="4"/>
  <c r="H48" i="4"/>
  <c r="I48" i="4"/>
  <c r="J48" i="4"/>
  <c r="K48" i="4"/>
  <c r="L48" i="4"/>
  <c r="E49" i="4"/>
  <c r="O49" i="4" s="1"/>
  <c r="F49" i="4"/>
  <c r="G49" i="4"/>
  <c r="H49" i="4"/>
  <c r="I49" i="4"/>
  <c r="J49" i="4"/>
  <c r="K49" i="4"/>
  <c r="L49" i="4"/>
  <c r="E50" i="4"/>
  <c r="O50" i="4" s="1"/>
  <c r="F50" i="4"/>
  <c r="G50" i="4"/>
  <c r="H50" i="4"/>
  <c r="I50" i="4"/>
  <c r="J50" i="4"/>
  <c r="K50" i="4"/>
  <c r="L50" i="4"/>
  <c r="E51" i="4"/>
  <c r="O51" i="4" s="1"/>
  <c r="F51" i="4"/>
  <c r="G51" i="4"/>
  <c r="H51" i="4"/>
  <c r="I51" i="4"/>
  <c r="J51" i="4"/>
  <c r="K51" i="4"/>
  <c r="L51" i="4"/>
  <c r="E52" i="4"/>
  <c r="O52" i="4" s="1"/>
  <c r="F52" i="4"/>
  <c r="G52" i="4"/>
  <c r="H52" i="4"/>
  <c r="I52" i="4"/>
  <c r="J52" i="4"/>
  <c r="K52" i="4"/>
  <c r="L52" i="4"/>
  <c r="E53" i="4"/>
  <c r="O53" i="4" s="1"/>
  <c r="F53" i="4"/>
  <c r="G53" i="4"/>
  <c r="H53" i="4"/>
  <c r="I53" i="4"/>
  <c r="J53" i="4"/>
  <c r="K53" i="4"/>
  <c r="L53" i="4"/>
  <c r="E54" i="4"/>
  <c r="O54" i="4" s="1"/>
  <c r="F54" i="4"/>
  <c r="G54" i="4"/>
  <c r="H54" i="4"/>
  <c r="I54" i="4"/>
  <c r="J54" i="4"/>
  <c r="K54" i="4"/>
  <c r="L54" i="4"/>
  <c r="E55" i="4"/>
  <c r="O55" i="4" s="1"/>
  <c r="F55" i="4"/>
  <c r="G55" i="4"/>
  <c r="H55" i="4"/>
  <c r="I55" i="4"/>
  <c r="J55" i="4"/>
  <c r="K55" i="4"/>
  <c r="L55" i="4"/>
  <c r="E56" i="4"/>
  <c r="O56" i="4" s="1"/>
  <c r="F56" i="4"/>
  <c r="G56" i="4"/>
  <c r="H56" i="4"/>
  <c r="I56" i="4"/>
  <c r="J56" i="4"/>
  <c r="K56" i="4"/>
  <c r="L56" i="4"/>
  <c r="E57" i="4"/>
  <c r="O57" i="4" s="1"/>
  <c r="F57" i="4"/>
  <c r="G57" i="4"/>
  <c r="H57" i="4"/>
  <c r="I57" i="4"/>
  <c r="J57" i="4"/>
  <c r="K57" i="4"/>
  <c r="L57" i="4"/>
  <c r="E58" i="4"/>
  <c r="O58" i="4" s="1"/>
  <c r="F58" i="4"/>
  <c r="G58" i="4"/>
  <c r="H58" i="4"/>
  <c r="I58" i="4"/>
  <c r="J58" i="4"/>
  <c r="K58" i="4"/>
  <c r="L58" i="4"/>
  <c r="E59" i="4"/>
  <c r="O59" i="4" s="1"/>
  <c r="F59" i="4"/>
  <c r="G59" i="4"/>
  <c r="H59" i="4"/>
  <c r="I59" i="4"/>
  <c r="J59" i="4"/>
  <c r="K59" i="4"/>
  <c r="L59" i="4"/>
  <c r="E60" i="4"/>
  <c r="O60" i="4" s="1"/>
  <c r="F60" i="4"/>
  <c r="G60" i="4"/>
  <c r="H60" i="4"/>
  <c r="I60" i="4"/>
  <c r="J60" i="4"/>
  <c r="K60" i="4"/>
  <c r="L60" i="4"/>
  <c r="E61" i="4"/>
  <c r="O61" i="4" s="1"/>
  <c r="F61" i="4"/>
  <c r="G61" i="4"/>
  <c r="H61" i="4"/>
  <c r="I61" i="4"/>
  <c r="J61" i="4"/>
  <c r="K61" i="4"/>
  <c r="L61" i="4"/>
  <c r="E62" i="4"/>
  <c r="O62" i="4" s="1"/>
  <c r="F62" i="4"/>
  <c r="G62" i="4"/>
  <c r="H62" i="4"/>
  <c r="I62" i="4"/>
  <c r="J62" i="4"/>
  <c r="K62" i="4"/>
  <c r="L62" i="4"/>
  <c r="E63" i="4"/>
  <c r="O63" i="4" s="1"/>
  <c r="F63" i="4"/>
  <c r="G63" i="4"/>
  <c r="H63" i="4"/>
  <c r="I63" i="4"/>
  <c r="J63" i="4"/>
  <c r="K63" i="4"/>
  <c r="L63" i="4"/>
  <c r="E64" i="4"/>
  <c r="O64" i="4" s="1"/>
  <c r="F64" i="4"/>
  <c r="G64" i="4"/>
  <c r="H64" i="4"/>
  <c r="I64" i="4"/>
  <c r="J64" i="4"/>
  <c r="K64" i="4"/>
  <c r="L64" i="4"/>
  <c r="E65" i="4"/>
  <c r="O65" i="4" s="1"/>
  <c r="F65" i="4"/>
  <c r="G65" i="4"/>
  <c r="H65" i="4"/>
  <c r="I65" i="4"/>
  <c r="J65" i="4"/>
  <c r="K65" i="4"/>
  <c r="L65" i="4"/>
  <c r="E66" i="4"/>
  <c r="O66" i="4" s="1"/>
  <c r="F66" i="4"/>
  <c r="G66" i="4"/>
  <c r="H66" i="4"/>
  <c r="I66" i="4"/>
  <c r="J66" i="4"/>
  <c r="K66" i="4"/>
  <c r="L66" i="4"/>
  <c r="E67" i="4"/>
  <c r="O67" i="4" s="1"/>
  <c r="F67" i="4"/>
  <c r="G67" i="4"/>
  <c r="H67" i="4"/>
  <c r="I67" i="4"/>
  <c r="J67" i="4"/>
  <c r="K67" i="4"/>
  <c r="L67" i="4"/>
  <c r="E68" i="4"/>
  <c r="O68" i="4" s="1"/>
  <c r="F68" i="4"/>
  <c r="G68" i="4"/>
  <c r="H68" i="4"/>
  <c r="I68" i="4"/>
  <c r="J68" i="4"/>
  <c r="K68" i="4"/>
  <c r="L68" i="4"/>
  <c r="E69" i="4"/>
  <c r="O69" i="4" s="1"/>
  <c r="F69" i="4"/>
  <c r="G69" i="4"/>
  <c r="H69" i="4"/>
  <c r="I69" i="4"/>
  <c r="J69" i="4"/>
  <c r="K69" i="4"/>
  <c r="L69" i="4"/>
  <c r="E70" i="4"/>
  <c r="O70" i="4" s="1"/>
  <c r="F70" i="4"/>
  <c r="G70" i="4"/>
  <c r="H70" i="4"/>
  <c r="I70" i="4"/>
  <c r="J70" i="4"/>
  <c r="K70" i="4"/>
  <c r="L70" i="4"/>
  <c r="E71" i="4"/>
  <c r="O71" i="4" s="1"/>
  <c r="F71" i="4"/>
  <c r="G71" i="4"/>
  <c r="H71" i="4"/>
  <c r="I71" i="4"/>
  <c r="J71" i="4"/>
  <c r="K71" i="4"/>
  <c r="L71" i="4"/>
  <c r="E72" i="4"/>
  <c r="O72" i="4" s="1"/>
  <c r="F72" i="4"/>
  <c r="G72" i="4"/>
  <c r="H72" i="4"/>
  <c r="I72" i="4"/>
  <c r="J72" i="4"/>
  <c r="K72" i="4"/>
  <c r="L72" i="4"/>
  <c r="E73" i="4"/>
  <c r="O73" i="4" s="1"/>
  <c r="F73" i="4"/>
  <c r="G73" i="4"/>
  <c r="H73" i="4"/>
  <c r="I73" i="4"/>
  <c r="J73" i="4"/>
  <c r="K73" i="4"/>
  <c r="L73" i="4"/>
  <c r="E74" i="4"/>
  <c r="O74" i="4" s="1"/>
  <c r="F74" i="4"/>
  <c r="G74" i="4"/>
  <c r="H74" i="4"/>
  <c r="I74" i="4"/>
  <c r="J74" i="4"/>
  <c r="K74" i="4"/>
  <c r="L74" i="4"/>
  <c r="E75" i="4"/>
  <c r="O75" i="4" s="1"/>
  <c r="F75" i="4"/>
  <c r="G75" i="4"/>
  <c r="H75" i="4"/>
  <c r="I75" i="4"/>
  <c r="J75" i="4"/>
  <c r="K75" i="4"/>
  <c r="L75" i="4"/>
  <c r="E76" i="4"/>
  <c r="O76" i="4" s="1"/>
  <c r="F76" i="4"/>
  <c r="G76" i="4"/>
  <c r="H76" i="4"/>
  <c r="I76" i="4"/>
  <c r="J76" i="4"/>
  <c r="K76" i="4"/>
  <c r="L76" i="4"/>
  <c r="E77" i="4"/>
  <c r="O77" i="4" s="1"/>
  <c r="F77" i="4"/>
  <c r="G77" i="4"/>
  <c r="H77" i="4"/>
  <c r="I77" i="4"/>
  <c r="J77" i="4"/>
  <c r="K77" i="4"/>
  <c r="L77" i="4"/>
  <c r="E78" i="4"/>
  <c r="O78" i="4" s="1"/>
  <c r="F78" i="4"/>
  <c r="G78" i="4"/>
  <c r="H78" i="4"/>
  <c r="I78" i="4"/>
  <c r="J78" i="4"/>
  <c r="K78" i="4"/>
  <c r="L78" i="4"/>
  <c r="E79" i="4"/>
  <c r="O79" i="4" s="1"/>
  <c r="F79" i="4"/>
  <c r="G79" i="4"/>
  <c r="H79" i="4"/>
  <c r="I79" i="4"/>
  <c r="J79" i="4"/>
  <c r="K79" i="4"/>
  <c r="L79" i="4"/>
  <c r="E80" i="4"/>
  <c r="O80" i="4" s="1"/>
  <c r="F80" i="4"/>
  <c r="G80" i="4"/>
  <c r="H80" i="4"/>
  <c r="I80" i="4"/>
  <c r="J80" i="4"/>
  <c r="K80" i="4"/>
  <c r="L80" i="4"/>
  <c r="E81" i="4"/>
  <c r="O81" i="4" s="1"/>
  <c r="F81" i="4"/>
  <c r="G81" i="4"/>
  <c r="H81" i="4"/>
  <c r="I81" i="4"/>
  <c r="J81" i="4"/>
  <c r="K81" i="4"/>
  <c r="L81" i="4"/>
  <c r="E82" i="4"/>
  <c r="O82" i="4" s="1"/>
  <c r="F82" i="4"/>
  <c r="G82" i="4"/>
  <c r="H82" i="4"/>
  <c r="I82" i="4"/>
  <c r="J82" i="4"/>
  <c r="K82" i="4"/>
  <c r="L82" i="4"/>
  <c r="E83" i="4"/>
  <c r="O83" i="4" s="1"/>
  <c r="F83" i="4"/>
  <c r="G83" i="4"/>
  <c r="H83" i="4"/>
  <c r="I83" i="4"/>
  <c r="J83" i="4"/>
  <c r="K83" i="4"/>
  <c r="L83" i="4"/>
  <c r="E84" i="4"/>
  <c r="O84" i="4" s="1"/>
  <c r="F84" i="4"/>
  <c r="G84" i="4"/>
  <c r="H84" i="4"/>
  <c r="I84" i="4"/>
  <c r="J84" i="4"/>
  <c r="K84" i="4"/>
  <c r="L84" i="4"/>
  <c r="E85" i="4"/>
  <c r="O85" i="4" s="1"/>
  <c r="F85" i="4"/>
  <c r="G85" i="4"/>
  <c r="H85" i="4"/>
  <c r="I85" i="4"/>
  <c r="J85" i="4"/>
  <c r="K85" i="4"/>
  <c r="L85" i="4"/>
  <c r="E86" i="4"/>
  <c r="O86" i="4" s="1"/>
  <c r="F86" i="4"/>
  <c r="G86" i="4"/>
  <c r="H86" i="4"/>
  <c r="I86" i="4"/>
  <c r="J86" i="4"/>
  <c r="K86" i="4"/>
  <c r="L86" i="4"/>
  <c r="E87" i="4"/>
  <c r="O87" i="4" s="1"/>
  <c r="F87" i="4"/>
  <c r="G87" i="4"/>
  <c r="H87" i="4"/>
  <c r="I87" i="4"/>
  <c r="J87" i="4"/>
  <c r="K87" i="4"/>
  <c r="L87" i="4"/>
  <c r="E88" i="4"/>
  <c r="O88" i="4" s="1"/>
  <c r="F88" i="4"/>
  <c r="G88" i="4"/>
  <c r="H88" i="4"/>
  <c r="I88" i="4"/>
  <c r="J88" i="4"/>
  <c r="K88" i="4"/>
  <c r="L88" i="4"/>
  <c r="E89" i="4"/>
  <c r="O89" i="4" s="1"/>
  <c r="F89" i="4"/>
  <c r="G89" i="4"/>
  <c r="H89" i="4"/>
  <c r="I89" i="4"/>
  <c r="J89" i="4"/>
  <c r="K89" i="4"/>
  <c r="L89" i="4"/>
  <c r="E90" i="4"/>
  <c r="O90" i="4" s="1"/>
  <c r="F90" i="4"/>
  <c r="G90" i="4"/>
  <c r="H90" i="4"/>
  <c r="I90" i="4"/>
  <c r="J90" i="4"/>
  <c r="K90" i="4"/>
  <c r="L90" i="4"/>
  <c r="E91" i="4"/>
  <c r="O91" i="4" s="1"/>
  <c r="F91" i="4"/>
  <c r="G91" i="4"/>
  <c r="H91" i="4"/>
  <c r="I91" i="4"/>
  <c r="J91" i="4"/>
  <c r="K91" i="4"/>
  <c r="L91" i="4"/>
  <c r="E92" i="4"/>
  <c r="O92" i="4" s="1"/>
  <c r="F92" i="4"/>
  <c r="G92" i="4"/>
  <c r="H92" i="4"/>
  <c r="I92" i="4"/>
  <c r="J92" i="4"/>
  <c r="K92" i="4"/>
  <c r="L92" i="4"/>
  <c r="E93" i="4"/>
  <c r="O93" i="4" s="1"/>
  <c r="F93" i="4"/>
  <c r="G93" i="4"/>
  <c r="H93" i="4"/>
  <c r="I93" i="4"/>
  <c r="J93" i="4"/>
  <c r="K93" i="4"/>
  <c r="L93" i="4"/>
  <c r="E94" i="4"/>
  <c r="O94" i="4" s="1"/>
  <c r="F94" i="4"/>
  <c r="G94" i="4"/>
  <c r="H94" i="4"/>
  <c r="I94" i="4"/>
  <c r="J94" i="4"/>
  <c r="K94" i="4"/>
  <c r="L94" i="4"/>
  <c r="E95" i="4"/>
  <c r="O95" i="4" s="1"/>
  <c r="F95" i="4"/>
  <c r="G95" i="4"/>
  <c r="H95" i="4"/>
  <c r="I95" i="4"/>
  <c r="J95" i="4"/>
  <c r="K95" i="4"/>
  <c r="L95" i="4"/>
  <c r="E96" i="4"/>
  <c r="O96" i="4" s="1"/>
  <c r="F96" i="4"/>
  <c r="G96" i="4"/>
  <c r="H96" i="4"/>
  <c r="I96" i="4"/>
  <c r="J96" i="4"/>
  <c r="K96" i="4"/>
  <c r="L96" i="4"/>
  <c r="E97" i="4"/>
  <c r="O97" i="4" s="1"/>
  <c r="F97" i="4"/>
  <c r="G97" i="4"/>
  <c r="H97" i="4"/>
  <c r="I97" i="4"/>
  <c r="J97" i="4"/>
  <c r="K97" i="4"/>
  <c r="L97" i="4"/>
  <c r="E98" i="4"/>
  <c r="O98" i="4" s="1"/>
  <c r="F98" i="4"/>
  <c r="G98" i="4"/>
  <c r="H98" i="4"/>
  <c r="I98" i="4"/>
  <c r="J98" i="4"/>
  <c r="K98" i="4"/>
  <c r="L98" i="4"/>
  <c r="E99" i="4"/>
  <c r="O99" i="4" s="1"/>
  <c r="F99" i="4"/>
  <c r="G99" i="4"/>
  <c r="H99" i="4"/>
  <c r="I99" i="4"/>
  <c r="J99" i="4"/>
  <c r="K99" i="4"/>
  <c r="L99" i="4"/>
  <c r="E100" i="4"/>
  <c r="O100" i="4" s="1"/>
  <c r="F100" i="4"/>
  <c r="G100" i="4"/>
  <c r="H100" i="4"/>
  <c r="I100" i="4"/>
  <c r="J100" i="4"/>
  <c r="K100" i="4"/>
  <c r="L100" i="4"/>
  <c r="E101" i="4"/>
  <c r="O101" i="4" s="1"/>
  <c r="F101" i="4"/>
  <c r="G101" i="4"/>
  <c r="H101" i="4"/>
  <c r="I101" i="4"/>
  <c r="J101" i="4"/>
  <c r="K101" i="4"/>
  <c r="L101" i="4"/>
  <c r="E102" i="4"/>
  <c r="O102" i="4" s="1"/>
  <c r="F102" i="4"/>
  <c r="G102" i="4"/>
  <c r="H102" i="4"/>
  <c r="I102" i="4"/>
  <c r="J102" i="4"/>
  <c r="K102" i="4"/>
  <c r="L102" i="4"/>
  <c r="E103" i="4"/>
  <c r="O103" i="4" s="1"/>
  <c r="F103" i="4"/>
  <c r="G103" i="4"/>
  <c r="H103" i="4"/>
  <c r="I103" i="4"/>
  <c r="J103" i="4"/>
  <c r="K103" i="4"/>
  <c r="L103" i="4"/>
  <c r="E104" i="4"/>
  <c r="O104" i="4" s="1"/>
  <c r="F104" i="4"/>
  <c r="G104" i="4"/>
  <c r="H104" i="4"/>
  <c r="I104" i="4"/>
  <c r="J104" i="4"/>
  <c r="K104" i="4"/>
  <c r="L104" i="4"/>
  <c r="E105" i="4"/>
  <c r="O105" i="4" s="1"/>
  <c r="F105" i="4"/>
  <c r="G105" i="4"/>
  <c r="H105" i="4"/>
  <c r="I105" i="4"/>
  <c r="J105" i="4"/>
  <c r="K105" i="4"/>
  <c r="L105" i="4"/>
  <c r="E106" i="4"/>
  <c r="O106" i="4" s="1"/>
  <c r="F106" i="4"/>
  <c r="G106" i="4"/>
  <c r="H106" i="4"/>
  <c r="I106" i="4"/>
  <c r="J106" i="4"/>
  <c r="K106" i="4"/>
  <c r="L106" i="4"/>
  <c r="E107" i="4"/>
  <c r="O107" i="4" s="1"/>
  <c r="F107" i="4"/>
  <c r="G107" i="4"/>
  <c r="H107" i="4"/>
  <c r="I107" i="4"/>
  <c r="J107" i="4"/>
  <c r="K107" i="4"/>
  <c r="L107" i="4"/>
  <c r="E108" i="4"/>
  <c r="O108" i="4" s="1"/>
  <c r="F108" i="4"/>
  <c r="G108" i="4"/>
  <c r="H108" i="4"/>
  <c r="I108" i="4"/>
  <c r="J108" i="4"/>
  <c r="K108" i="4"/>
  <c r="L108" i="4"/>
  <c r="E109" i="4"/>
  <c r="O109" i="4" s="1"/>
  <c r="F109" i="4"/>
  <c r="G109" i="4"/>
  <c r="H109" i="4"/>
  <c r="I109" i="4"/>
  <c r="J109" i="4"/>
  <c r="K109" i="4"/>
  <c r="L109" i="4"/>
  <c r="E110" i="4"/>
  <c r="O110" i="4" s="1"/>
  <c r="F110" i="4"/>
  <c r="G110" i="4"/>
  <c r="H110" i="4"/>
  <c r="I110" i="4"/>
  <c r="J110" i="4"/>
  <c r="K110" i="4"/>
  <c r="L110" i="4"/>
  <c r="E111" i="4"/>
  <c r="O111" i="4" s="1"/>
  <c r="F111" i="4"/>
  <c r="G111" i="4"/>
  <c r="H111" i="4"/>
  <c r="I111" i="4"/>
  <c r="J111" i="4"/>
  <c r="K111" i="4"/>
  <c r="L111" i="4"/>
  <c r="E112" i="4"/>
  <c r="O112" i="4" s="1"/>
  <c r="F112" i="4"/>
  <c r="G112" i="4"/>
  <c r="H112" i="4"/>
  <c r="I112" i="4"/>
  <c r="J112" i="4"/>
  <c r="K112" i="4"/>
  <c r="L112" i="4"/>
  <c r="E113" i="4"/>
  <c r="O113" i="4" s="1"/>
  <c r="F113" i="4"/>
  <c r="G113" i="4"/>
  <c r="H113" i="4"/>
  <c r="I113" i="4"/>
  <c r="J113" i="4"/>
  <c r="K113" i="4"/>
  <c r="L113" i="4"/>
  <c r="E114" i="4"/>
  <c r="O114" i="4" s="1"/>
  <c r="F114" i="4"/>
  <c r="G114" i="4"/>
  <c r="H114" i="4"/>
  <c r="I114" i="4"/>
  <c r="J114" i="4"/>
  <c r="K114" i="4"/>
  <c r="L114" i="4"/>
  <c r="E115" i="4"/>
  <c r="O115" i="4" s="1"/>
  <c r="F115" i="4"/>
  <c r="G115" i="4"/>
  <c r="H115" i="4"/>
  <c r="I115" i="4"/>
  <c r="J115" i="4"/>
  <c r="K115" i="4"/>
  <c r="L115" i="4"/>
  <c r="E116" i="4"/>
  <c r="O116" i="4" s="1"/>
  <c r="F116" i="4"/>
  <c r="G116" i="4"/>
  <c r="H116" i="4"/>
  <c r="I116" i="4"/>
  <c r="J116" i="4"/>
  <c r="K116" i="4"/>
  <c r="L116" i="4"/>
  <c r="E117" i="4"/>
  <c r="O117" i="4" s="1"/>
  <c r="F117" i="4"/>
  <c r="G117" i="4"/>
  <c r="H117" i="4"/>
  <c r="I117" i="4"/>
  <c r="J117" i="4"/>
  <c r="K117" i="4"/>
  <c r="L117" i="4"/>
  <c r="E118" i="4"/>
  <c r="O118" i="4" s="1"/>
  <c r="F118" i="4"/>
  <c r="G118" i="4"/>
  <c r="H118" i="4"/>
  <c r="I118" i="4"/>
  <c r="J118" i="4"/>
  <c r="K118" i="4"/>
  <c r="L118" i="4"/>
  <c r="E119" i="4"/>
  <c r="O119" i="4" s="1"/>
  <c r="F119" i="4"/>
  <c r="G119" i="4"/>
  <c r="H119" i="4"/>
  <c r="I119" i="4"/>
  <c r="J119" i="4"/>
  <c r="K119" i="4"/>
  <c r="L119" i="4"/>
  <c r="E120" i="4"/>
  <c r="O120" i="4" s="1"/>
  <c r="F120" i="4"/>
  <c r="G120" i="4"/>
  <c r="H120" i="4"/>
  <c r="I120" i="4"/>
  <c r="J120" i="4"/>
  <c r="K120" i="4"/>
  <c r="L120" i="4"/>
  <c r="E121" i="4"/>
  <c r="O121" i="4" s="1"/>
  <c r="F121" i="4"/>
  <c r="G121" i="4"/>
  <c r="H121" i="4"/>
  <c r="I121" i="4"/>
  <c r="J121" i="4"/>
  <c r="K121" i="4"/>
  <c r="L121" i="4"/>
  <c r="E122" i="4"/>
  <c r="O122" i="4" s="1"/>
  <c r="F122" i="4"/>
  <c r="G122" i="4"/>
  <c r="H122" i="4"/>
  <c r="I122" i="4"/>
  <c r="J122" i="4"/>
  <c r="K122" i="4"/>
  <c r="L122" i="4"/>
  <c r="E123" i="4"/>
  <c r="O123" i="4" s="1"/>
  <c r="F123" i="4"/>
  <c r="G123" i="4"/>
  <c r="H123" i="4"/>
  <c r="I123" i="4"/>
  <c r="J123" i="4"/>
  <c r="K123" i="4"/>
  <c r="L123" i="4"/>
  <c r="E124" i="4"/>
  <c r="O124" i="4" s="1"/>
  <c r="F124" i="4"/>
  <c r="G124" i="4"/>
  <c r="H124" i="4"/>
  <c r="I124" i="4"/>
  <c r="J124" i="4"/>
  <c r="K124" i="4"/>
  <c r="L124" i="4"/>
  <c r="E125" i="4"/>
  <c r="O125" i="4" s="1"/>
  <c r="F125" i="4"/>
  <c r="G125" i="4"/>
  <c r="H125" i="4"/>
  <c r="I125" i="4"/>
  <c r="J125" i="4"/>
  <c r="K125" i="4"/>
  <c r="L125" i="4"/>
  <c r="E126" i="4"/>
  <c r="O126" i="4" s="1"/>
  <c r="F126" i="4"/>
  <c r="G126" i="4"/>
  <c r="H126" i="4"/>
  <c r="I126" i="4"/>
  <c r="J126" i="4"/>
  <c r="K126" i="4"/>
  <c r="L126" i="4"/>
  <c r="E127" i="4"/>
  <c r="O127" i="4" s="1"/>
  <c r="F127" i="4"/>
  <c r="G127" i="4"/>
  <c r="H127" i="4"/>
  <c r="I127" i="4"/>
  <c r="J127" i="4"/>
  <c r="K127" i="4"/>
  <c r="L127" i="4"/>
  <c r="E128" i="4"/>
  <c r="O128" i="4" s="1"/>
  <c r="F128" i="4"/>
  <c r="G128" i="4"/>
  <c r="H128" i="4"/>
  <c r="I128" i="4"/>
  <c r="J128" i="4"/>
  <c r="K128" i="4"/>
  <c r="L128" i="4"/>
  <c r="E129" i="4"/>
  <c r="O129" i="4" s="1"/>
  <c r="F129" i="4"/>
  <c r="G129" i="4"/>
  <c r="H129" i="4"/>
  <c r="I129" i="4"/>
  <c r="J129" i="4"/>
  <c r="K129" i="4"/>
  <c r="L129" i="4"/>
  <c r="E130" i="4"/>
  <c r="O130" i="4" s="1"/>
  <c r="F130" i="4"/>
  <c r="G130" i="4"/>
  <c r="H130" i="4"/>
  <c r="I130" i="4"/>
  <c r="J130" i="4"/>
  <c r="K130" i="4"/>
  <c r="L130" i="4"/>
  <c r="E131" i="4"/>
  <c r="O131" i="4" s="1"/>
  <c r="F131" i="4"/>
  <c r="G131" i="4"/>
  <c r="H131" i="4"/>
  <c r="I131" i="4"/>
  <c r="J131" i="4"/>
  <c r="K131" i="4"/>
  <c r="L131" i="4"/>
  <c r="E132" i="4"/>
  <c r="O132" i="4" s="1"/>
  <c r="F132" i="4"/>
  <c r="G132" i="4"/>
  <c r="H132" i="4"/>
  <c r="I132" i="4"/>
  <c r="J132" i="4"/>
  <c r="K132" i="4"/>
  <c r="L132" i="4"/>
  <c r="E133" i="4"/>
  <c r="O133" i="4" s="1"/>
  <c r="F133" i="4"/>
  <c r="G133" i="4"/>
  <c r="H133" i="4"/>
  <c r="I133" i="4"/>
  <c r="J133" i="4"/>
  <c r="K133" i="4"/>
  <c r="L133" i="4"/>
  <c r="E134" i="4"/>
  <c r="O134" i="4" s="1"/>
  <c r="F134" i="4"/>
  <c r="G134" i="4"/>
  <c r="H134" i="4"/>
  <c r="I134" i="4"/>
  <c r="J134" i="4"/>
  <c r="K134" i="4"/>
  <c r="L134" i="4"/>
  <c r="L2" i="4"/>
  <c r="F2" i="4"/>
  <c r="G2" i="4"/>
  <c r="H2" i="4"/>
  <c r="I2" i="4"/>
  <c r="J2" i="4"/>
  <c r="K2" i="4"/>
  <c r="E2" i="4"/>
  <c r="O2" i="4" s="1"/>
  <c r="M141" i="4" l="1"/>
  <c r="M142" i="4"/>
  <c r="M140" i="4"/>
  <c r="M139" i="4"/>
  <c r="N139" i="4" s="1"/>
  <c r="M137" i="4"/>
  <c r="M138" i="4"/>
  <c r="M136" i="4"/>
  <c r="M5" i="4"/>
  <c r="N5" i="4" s="1"/>
  <c r="M134" i="4"/>
  <c r="N134" i="4" s="1"/>
  <c r="M2" i="4"/>
  <c r="N2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40" i="4"/>
  <c r="N40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5" i="4"/>
  <c r="N135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G32" i="9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10" i="9" l="1"/>
  <c r="G56" i="9"/>
  <c r="G44" i="9"/>
  <c r="I44" i="9" s="1"/>
  <c r="G79" i="9"/>
  <c r="I79" i="9" s="1"/>
  <c r="G115" i="9"/>
  <c r="H115" i="9" s="1"/>
  <c r="G5" i="9"/>
  <c r="G72" i="9"/>
  <c r="H72" i="9" s="1"/>
  <c r="G88" i="9"/>
  <c r="I88" i="9" s="1"/>
  <c r="G99" i="9"/>
  <c r="I99" i="9" s="1"/>
  <c r="G124" i="9"/>
  <c r="H124" i="9" s="1"/>
  <c r="G37" i="9"/>
  <c r="H37" i="9" s="1"/>
  <c r="N140" i="4"/>
  <c r="G158" i="9"/>
  <c r="N142" i="4"/>
  <c r="G160" i="9"/>
  <c r="N141" i="4"/>
  <c r="G159" i="9"/>
  <c r="G26" i="9"/>
  <c r="I26" i="9" s="1"/>
  <c r="G126" i="9"/>
  <c r="I126" i="9" s="1"/>
  <c r="G55" i="9"/>
  <c r="I55" i="9" s="1"/>
  <c r="G60" i="9"/>
  <c r="I60" i="9" s="1"/>
  <c r="G90" i="9"/>
  <c r="H90" i="9" s="1"/>
  <c r="G73" i="9"/>
  <c r="I73" i="9" s="1"/>
  <c r="G157" i="9"/>
  <c r="H157" i="9" s="1"/>
  <c r="G28" i="9"/>
  <c r="H28" i="9" s="1"/>
  <c r="G82" i="9"/>
  <c r="H82" i="9" s="1"/>
  <c r="G2" i="9"/>
  <c r="I2" i="9" s="1"/>
  <c r="G93" i="9"/>
  <c r="I93" i="9" s="1"/>
  <c r="G118" i="9"/>
  <c r="H118" i="9" s="1"/>
  <c r="N136" i="4"/>
  <c r="G154" i="9"/>
  <c r="N138" i="4"/>
  <c r="G156" i="9"/>
  <c r="N137" i="4"/>
  <c r="G155" i="9"/>
  <c r="G131" i="9"/>
  <c r="I131" i="9" s="1"/>
  <c r="G95" i="9"/>
  <c r="I95" i="9" s="1"/>
  <c r="G21" i="9"/>
  <c r="H21" i="9" s="1"/>
  <c r="G22" i="9"/>
  <c r="H22" i="9" s="1"/>
  <c r="G53" i="9"/>
  <c r="I53" i="9" s="1"/>
  <c r="G13" i="9"/>
  <c r="H13" i="9" s="1"/>
  <c r="G128" i="9"/>
  <c r="H128" i="9" s="1"/>
  <c r="G47" i="9"/>
  <c r="H47" i="9" s="1"/>
  <c r="G31" i="9"/>
  <c r="H31" i="9" s="1"/>
  <c r="G102" i="9"/>
  <c r="H102" i="9" s="1"/>
  <c r="G34" i="9"/>
  <c r="H34" i="9" s="1"/>
  <c r="G112" i="9"/>
  <c r="H112" i="9" s="1"/>
  <c r="G41" i="9"/>
  <c r="H41" i="9" s="1"/>
  <c r="G76" i="9"/>
  <c r="H76" i="9" s="1"/>
  <c r="G129" i="9"/>
  <c r="I129" i="9" s="1"/>
  <c r="G58" i="9"/>
  <c r="I58" i="9" s="1"/>
  <c r="G65" i="9"/>
  <c r="I65" i="9" s="1"/>
  <c r="G67" i="9"/>
  <c r="I67" i="9" s="1"/>
  <c r="G85" i="9"/>
  <c r="H85" i="9" s="1"/>
  <c r="G127" i="9"/>
  <c r="H127" i="9" s="1"/>
  <c r="G16" i="9"/>
  <c r="I16" i="9" s="1"/>
  <c r="G81" i="9"/>
  <c r="I81" i="9" s="1"/>
  <c r="G51" i="9"/>
  <c r="H51" i="9" s="1"/>
  <c r="G19" i="9"/>
  <c r="I19" i="9" s="1"/>
  <c r="G121" i="9"/>
  <c r="H121" i="9" s="1"/>
  <c r="G117" i="9"/>
  <c r="H117" i="9" s="1"/>
  <c r="G61" i="9"/>
  <c r="H61" i="9" s="1"/>
  <c r="G36" i="9"/>
  <c r="I36" i="9" s="1"/>
  <c r="G96" i="9"/>
  <c r="H96" i="9" s="1"/>
  <c r="G27" i="9"/>
  <c r="I27" i="9" s="1"/>
  <c r="G50" i="9"/>
  <c r="H50" i="9" s="1"/>
  <c r="G78" i="9"/>
  <c r="H78" i="9" s="1"/>
  <c r="G101" i="9"/>
  <c r="I101" i="9" s="1"/>
  <c r="G104" i="9"/>
  <c r="H104" i="9" s="1"/>
  <c r="G122" i="9"/>
  <c r="H122" i="9" s="1"/>
  <c r="G133" i="9"/>
  <c r="I133" i="9" s="1"/>
  <c r="G98" i="9"/>
  <c r="I98" i="9" s="1"/>
  <c r="G11" i="9"/>
  <c r="I11" i="9" s="1"/>
  <c r="G111" i="9"/>
  <c r="H111" i="9" s="1"/>
  <c r="G116" i="9"/>
  <c r="I116" i="9" s="1"/>
  <c r="G30" i="9"/>
  <c r="H30" i="9" s="1"/>
  <c r="G75" i="9"/>
  <c r="H75" i="9" s="1"/>
  <c r="G80" i="9"/>
  <c r="I80" i="9" s="1"/>
  <c r="G132" i="9"/>
  <c r="H132" i="9" s="1"/>
  <c r="G45" i="9"/>
  <c r="I45" i="9" s="1"/>
  <c r="G100" i="9"/>
  <c r="H100" i="9" s="1"/>
  <c r="G63" i="9"/>
  <c r="H63" i="9" s="1"/>
  <c r="G69" i="9"/>
  <c r="H69" i="9" s="1"/>
  <c r="G24" i="9"/>
  <c r="H24" i="9" s="1"/>
  <c r="G91" i="9"/>
  <c r="H91" i="9" s="1"/>
  <c r="G8" i="9"/>
  <c r="I8" i="9" s="1"/>
  <c r="G66" i="9"/>
  <c r="H66" i="9" s="1"/>
  <c r="G107" i="9"/>
  <c r="H107" i="9" s="1"/>
  <c r="G64" i="9"/>
  <c r="I64" i="9" s="1"/>
  <c r="G29" i="9"/>
  <c r="I29" i="9" s="1"/>
  <c r="L8" i="5"/>
  <c r="G83" i="9"/>
  <c r="I83" i="9" s="1"/>
  <c r="G48" i="9"/>
  <c r="H48" i="9" s="1"/>
  <c r="G33" i="9"/>
  <c r="I33" i="9" s="1"/>
  <c r="G114" i="9"/>
  <c r="I114" i="9" s="1"/>
  <c r="G119" i="9"/>
  <c r="H119" i="9" s="1"/>
  <c r="G14" i="9"/>
  <c r="I14" i="9" s="1"/>
  <c r="G17" i="9"/>
  <c r="H17" i="9" s="1"/>
  <c r="G43" i="9"/>
  <c r="H43" i="9" s="1"/>
  <c r="G68" i="9"/>
  <c r="H68" i="9" s="1"/>
  <c r="G86" i="9"/>
  <c r="H86" i="9" s="1"/>
  <c r="G106" i="9"/>
  <c r="I106" i="9" s="1"/>
  <c r="G71" i="9"/>
  <c r="H71" i="9" s="1"/>
  <c r="G103" i="9"/>
  <c r="H103" i="9" s="1"/>
  <c r="G46" i="9"/>
  <c r="I46" i="9" s="1"/>
  <c r="G9" i="9"/>
  <c r="H9" i="9" s="1"/>
  <c r="G12" i="9"/>
  <c r="H12" i="9" s="1"/>
  <c r="G134" i="9"/>
  <c r="H134" i="9" s="1"/>
  <c r="L2" i="5"/>
  <c r="L14" i="5"/>
  <c r="G105" i="9"/>
  <c r="I105" i="9" s="1"/>
  <c r="L18" i="5"/>
  <c r="L17" i="5"/>
  <c r="L10" i="5"/>
  <c r="L11" i="5"/>
  <c r="L15" i="5"/>
  <c r="G109" i="9"/>
  <c r="H109" i="9" s="1"/>
  <c r="G15" i="9"/>
  <c r="I15" i="9" s="1"/>
  <c r="G120" i="9"/>
  <c r="H120" i="9" s="1"/>
  <c r="G87" i="9"/>
  <c r="H87" i="9" s="1"/>
  <c r="G123" i="9"/>
  <c r="H123" i="9" s="1"/>
  <c r="G89" i="9"/>
  <c r="H89" i="9" s="1"/>
  <c r="G125" i="9"/>
  <c r="H125" i="9" s="1"/>
  <c r="G49" i="9"/>
  <c r="I49" i="9" s="1"/>
  <c r="G42" i="9"/>
  <c r="H42" i="9" s="1"/>
  <c r="G84" i="9"/>
  <c r="I84" i="9" s="1"/>
  <c r="G18" i="9"/>
  <c r="H18" i="9" s="1"/>
  <c r="G52" i="9"/>
  <c r="H52" i="9" s="1"/>
  <c r="G23" i="9"/>
  <c r="H23" i="9" s="1"/>
  <c r="G57" i="9"/>
  <c r="I57" i="9" s="1"/>
  <c r="G92" i="9"/>
  <c r="I92" i="9" s="1"/>
  <c r="G20" i="9"/>
  <c r="I20" i="9" s="1"/>
  <c r="G54" i="9"/>
  <c r="H54" i="9" s="1"/>
  <c r="G70" i="9"/>
  <c r="H70" i="9" s="1"/>
  <c r="G4" i="9"/>
  <c r="H4" i="9" s="1"/>
  <c r="G39" i="9"/>
  <c r="I39" i="9" s="1"/>
  <c r="G7" i="9"/>
  <c r="H7" i="9" s="1"/>
  <c r="G6" i="9"/>
  <c r="H6" i="9" s="1"/>
  <c r="G40" i="9"/>
  <c r="H40" i="9" s="1"/>
  <c r="G35" i="9"/>
  <c r="H35" i="9" s="1"/>
  <c r="G108" i="9"/>
  <c r="I108" i="9" s="1"/>
  <c r="G38" i="9"/>
  <c r="H38" i="9" s="1"/>
  <c r="G130" i="9"/>
  <c r="H130" i="9" s="1"/>
  <c r="G74" i="9"/>
  <c r="H74" i="9" s="1"/>
  <c r="G59" i="9"/>
  <c r="H59" i="9" s="1"/>
  <c r="G25" i="9"/>
  <c r="H25" i="9" s="1"/>
  <c r="G77" i="9"/>
  <c r="H77" i="9" s="1"/>
  <c r="G62" i="9"/>
  <c r="H62" i="9" s="1"/>
  <c r="G110" i="9"/>
  <c r="H110" i="9" s="1"/>
  <c r="G94" i="9"/>
  <c r="H94" i="9" s="1"/>
  <c r="G113" i="9"/>
  <c r="I113" i="9" s="1"/>
  <c r="G97" i="9"/>
  <c r="H97" i="9" s="1"/>
  <c r="L20" i="5"/>
  <c r="L12" i="5"/>
  <c r="L4" i="5"/>
  <c r="L3" i="5"/>
  <c r="L5" i="5"/>
  <c r="L6" i="5"/>
  <c r="L19" i="5"/>
  <c r="L16" i="5"/>
  <c r="L7" i="5"/>
  <c r="L9" i="5"/>
  <c r="L13" i="5"/>
  <c r="G135" i="9"/>
  <c r="G139" i="9"/>
  <c r="H56" i="9"/>
  <c r="I56" i="9"/>
  <c r="H44" i="9"/>
  <c r="H5" i="9"/>
  <c r="I5" i="9"/>
  <c r="H10" i="9"/>
  <c r="I10" i="9"/>
  <c r="H32" i="9"/>
  <c r="I32" i="9"/>
  <c r="H3" i="9"/>
  <c r="I3" i="9"/>
  <c r="H79" i="9"/>
  <c r="G148" i="9"/>
  <c r="G146" i="9"/>
  <c r="G141" i="9"/>
  <c r="G137" i="9"/>
  <c r="G151" i="9"/>
  <c r="G153" i="9"/>
  <c r="G143" i="9"/>
  <c r="G138" i="9"/>
  <c r="G149" i="9"/>
  <c r="G150" i="9"/>
  <c r="G145" i="9"/>
  <c r="G140" i="9"/>
  <c r="G152" i="9"/>
  <c r="G144" i="9"/>
  <c r="G136" i="9"/>
  <c r="G147" i="9"/>
  <c r="G142" i="9"/>
  <c r="I124" i="9" l="1"/>
  <c r="H60" i="9"/>
  <c r="H99" i="9"/>
  <c r="H88" i="9"/>
  <c r="H55" i="9"/>
  <c r="H73" i="9"/>
  <c r="I37" i="9"/>
  <c r="I72" i="9"/>
  <c r="I115" i="9"/>
  <c r="H126" i="9"/>
  <c r="H93" i="9"/>
  <c r="I118" i="9"/>
  <c r="H26" i="9"/>
  <c r="I28" i="9"/>
  <c r="I90" i="9"/>
  <c r="I159" i="9"/>
  <c r="H159" i="9"/>
  <c r="H160" i="9"/>
  <c r="I160" i="9"/>
  <c r="H158" i="9"/>
  <c r="I158" i="9"/>
  <c r="H2" i="9"/>
  <c r="I22" i="9"/>
  <c r="I157" i="9"/>
  <c r="I82" i="9"/>
  <c r="H155" i="9"/>
  <c r="I155" i="9"/>
  <c r="H156" i="9"/>
  <c r="I156" i="9"/>
  <c r="I154" i="9"/>
  <c r="H154" i="9"/>
  <c r="H131" i="9"/>
  <c r="H53" i="9"/>
  <c r="I21" i="9"/>
  <c r="H95" i="9"/>
  <c r="I127" i="9"/>
  <c r="I76" i="9"/>
  <c r="I13" i="9"/>
  <c r="I128" i="9"/>
  <c r="I102" i="9"/>
  <c r="I112" i="9"/>
  <c r="I31" i="9"/>
  <c r="H19" i="9"/>
  <c r="I47" i="9"/>
  <c r="H81" i="9"/>
  <c r="I34" i="9"/>
  <c r="I85" i="9"/>
  <c r="H16" i="9"/>
  <c r="H27" i="9"/>
  <c r="H129" i="9"/>
  <c r="I117" i="9"/>
  <c r="H58" i="9"/>
  <c r="H65" i="9"/>
  <c r="I78" i="9"/>
  <c r="H67" i="9"/>
  <c r="I41" i="9"/>
  <c r="I51" i="9"/>
  <c r="H98" i="9"/>
  <c r="I121" i="9"/>
  <c r="I61" i="9"/>
  <c r="I50" i="9"/>
  <c r="H36" i="9"/>
  <c r="I122" i="9"/>
  <c r="I96" i="9"/>
  <c r="H133" i="9"/>
  <c r="H80" i="9"/>
  <c r="H64" i="9"/>
  <c r="I104" i="9"/>
  <c r="H101" i="9"/>
  <c r="I86" i="9"/>
  <c r="I75" i="9"/>
  <c r="I30" i="9"/>
  <c r="I132" i="9"/>
  <c r="I100" i="9"/>
  <c r="I68" i="9"/>
  <c r="I35" i="9"/>
  <c r="H8" i="9"/>
  <c r="I24" i="9"/>
  <c r="H11" i="9"/>
  <c r="H14" i="9"/>
  <c r="H29" i="9"/>
  <c r="I111" i="9"/>
  <c r="H39" i="9"/>
  <c r="H45" i="9"/>
  <c r="I119" i="9"/>
  <c r="H49" i="9"/>
  <c r="H116" i="9"/>
  <c r="H46" i="9"/>
  <c r="I63" i="9"/>
  <c r="I66" i="9"/>
  <c r="I17" i="9"/>
  <c r="H92" i="9"/>
  <c r="I91" i="9"/>
  <c r="I69" i="9"/>
  <c r="I52" i="9"/>
  <c r="H84" i="9"/>
  <c r="I48" i="9"/>
  <c r="I107" i="9"/>
  <c r="I43" i="9"/>
  <c r="H105" i="9"/>
  <c r="H20" i="9"/>
  <c r="H33" i="9"/>
  <c r="I71" i="9"/>
  <c r="H114" i="9"/>
  <c r="H83" i="9"/>
  <c r="I9" i="9"/>
  <c r="I23" i="9"/>
  <c r="H15" i="9"/>
  <c r="I120" i="9"/>
  <c r="I12" i="9"/>
  <c r="I103" i="9"/>
  <c r="H108" i="9"/>
  <c r="H57" i="9"/>
  <c r="I134" i="9"/>
  <c r="H106" i="9"/>
  <c r="I42" i="9"/>
  <c r="I130" i="9"/>
  <c r="I6" i="9"/>
  <c r="I97" i="9"/>
  <c r="I109" i="9"/>
  <c r="H113" i="9"/>
  <c r="I94" i="9"/>
  <c r="I4" i="9"/>
  <c r="I77" i="9"/>
  <c r="I125" i="9"/>
  <c r="I38" i="9"/>
  <c r="I89" i="9"/>
  <c r="I87" i="9"/>
  <c r="I54" i="9"/>
  <c r="I123" i="9"/>
  <c r="I70" i="9"/>
  <c r="I7" i="9"/>
  <c r="I74" i="9"/>
  <c r="I18" i="9"/>
  <c r="I110" i="9"/>
  <c r="I62" i="9"/>
  <c r="I59" i="9"/>
  <c r="I25" i="9"/>
  <c r="I40" i="9"/>
  <c r="H138" i="9"/>
  <c r="I138" i="9"/>
  <c r="H153" i="9"/>
  <c r="I153" i="9"/>
  <c r="H150" i="9"/>
  <c r="I150" i="9"/>
  <c r="H151" i="9"/>
  <c r="I151" i="9"/>
  <c r="H137" i="9"/>
  <c r="I137" i="9"/>
  <c r="H136" i="9"/>
  <c r="I136" i="9"/>
  <c r="H139" i="9"/>
  <c r="I139" i="9"/>
  <c r="H142" i="9"/>
  <c r="I142" i="9"/>
  <c r="H147" i="9"/>
  <c r="I147" i="9"/>
  <c r="H141" i="9"/>
  <c r="I141" i="9"/>
  <c r="H144" i="9"/>
  <c r="I144" i="9"/>
  <c r="H135" i="9"/>
  <c r="I135" i="9"/>
  <c r="H149" i="9"/>
  <c r="I149" i="9"/>
  <c r="H152" i="9"/>
  <c r="I152" i="9"/>
  <c r="H140" i="9"/>
  <c r="I140" i="9"/>
  <c r="H148" i="9"/>
  <c r="I148" i="9"/>
  <c r="H143" i="9"/>
  <c r="I143" i="9"/>
  <c r="H146" i="9"/>
  <c r="I146" i="9"/>
  <c r="H145" i="9"/>
  <c r="I145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3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4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<sst xmlns="http://schemas.openxmlformats.org/spreadsheetml/2006/main" count="5497" uniqueCount="994">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</sst>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3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1" xr16:uid="{DDBEAEA6-53D2-4988-B768-D335DCE0D3D9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3B2F68-40D4-4A7E-B06A-14F52EDFCFE6}" name="region_summary__52" displayName="region_summary__52" ref="A1:M1058" tableType="queryTable" totalsRowShown="0">
  <autoFilter ref="A1:M1058" xr:uid="{1F3B2F68-40D4-4A7E-B06A-14F52EDFCFE6}"/>
  <tableColumns count="13">
    <tableColumn id="1" xr3:uid="{E123FE34-A16D-46D7-98B8-9B87B7643BF7}" uniqueName="1" name="email" queryTableFieldId="1" dataDxfId="1"/>
    <tableColumn id="2" xr3:uid="{BE328572-05C1-4B4D-B99C-DEEF424BD7B9}" uniqueName="2" name="regionCode" queryTableFieldId="2"/>
    <tableColumn id="3" xr3:uid="{24D7B856-34D7-4297-9DCB-4F58631A6FB5}" uniqueName="3" name="total" queryTableFieldId="3"/>
    <tableColumn id="4" xr3:uid="{E7F7F566-C1D2-447B-A5AB-12188EB8A299}" uniqueName="4" name="APPROVED BY Pengawas" queryTableFieldId="4"/>
    <tableColumn id="5" xr3:uid="{002D4531-1126-4972-B7BE-83A49AEB6326}" uniqueName="5" name="DRAFT" queryTableFieldId="5"/>
    <tableColumn id="6" xr3:uid="{29BCA071-1C53-47C0-BF18-12DE238B7438}" uniqueName="6" name="EDITED BY Admin Kabupaten" queryTableFieldId="6"/>
    <tableColumn id="7" xr3:uid="{405EE566-146A-4420-95EE-A036B75CAF77}" uniqueName="7" name="OPEN" queryTableFieldId="7"/>
    <tableColumn id="8" xr3:uid="{38436334-9895-47D5-88F3-02F7C5DBC822}" uniqueName="8" name="REJECTED BY Admin Kabupaten" queryTableFieldId="8"/>
    <tableColumn id="9" xr3:uid="{1F10C4E8-D7D0-44F2-9B7F-8B75F829BBD1}" uniqueName="9" name="REJECTED BY Pengawas" queryTableFieldId="9"/>
    <tableColumn id="10" xr3:uid="{04194A9E-764C-42D4-9A37-8182E13D0479}" uniqueName="10" name="REVOKED BY Pengawas" queryTableFieldId="10"/>
    <tableColumn id="11" xr3:uid="{CC91DF37-A216-4431-9427-9539B68AC18A}" uniqueName="11" name="SUBMITTED BY Pencacah" queryTableFieldId="11"/>
    <tableColumn id="12" xr3:uid="{B704A20D-7169-4923-AEE9-DF40996F7AE2}" uniqueName="12" name="SUBMITTED RESPONDENT" queryTableFieldId="12"/>
    <tableColumn id="13" xr3:uid="{1F0C2E0B-915D-4E5D-BBDE-95D8A6BD076C}" uniqueName="13" name="Column1" queryTableFieldId="13" dataDxfId="0">
      <calculatedColumnFormula>region_summary__52[[#This Row],[REJECTED BY Pengawas]]+region_summary__52[[#This Row],[REJECTED BY Admin Kabupaten]]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7CCD-0CF4-427A-83E9-5D37692C1E05}">
  <dimension ref="A1:M1058"/>
  <sheetViews>
    <sheetView topLeftCell="B1027" workbookViewId="0">
      <selection activeCell="J2" sqref="J2:L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392</v>
      </c>
      <c r="G1" t="s">
        <v>224</v>
      </c>
      <c r="H1" t="s">
        <v>394</v>
      </c>
      <c r="I1" t="s">
        <v>225</v>
      </c>
      <c r="J1" t="s">
        <v>226</v>
      </c>
      <c r="K1" t="s">
        <v>227</v>
      </c>
      <c r="L1" t="s">
        <v>228</v>
      </c>
      <c r="M1" t="s">
        <v>393</v>
      </c>
    </row>
    <row r="2" spans="1:13" x14ac:dyDescent="0.25">
      <c r="A2" s="5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region_summary__52[[#This Row],[REJECTED BY Pengawas]]+region_summary__52[[#This Row],[REJECTED BY Admin Kabupaten]]</f>
        <v>0</v>
      </c>
    </row>
    <row r="3" spans="1:13" x14ac:dyDescent="0.25">
      <c r="A3" s="5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region_summary__52[[#This Row],[REJECTED BY Pengawas]]+region_summary__52[[#This Row],[REJECTED BY Admin Kabupaten]]</f>
        <v>0</v>
      </c>
    </row>
    <row r="4" spans="1:13" x14ac:dyDescent="0.25">
      <c r="A4" s="5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region_summary__52[[#This Row],[REJECTED BY Pengawas]]+region_summary__52[[#This Row],[REJECTED BY Admin Kabupaten]]</f>
        <v>0</v>
      </c>
    </row>
    <row r="5" spans="1:13" x14ac:dyDescent="0.25">
      <c r="A5" s="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region_summary__52[[#This Row],[REJECTED BY Pengawas]]+region_summary__52[[#This Row],[REJECTED BY Admin Kabupaten]]</f>
        <v>0</v>
      </c>
    </row>
    <row r="6" spans="1:13" x14ac:dyDescent="0.25">
      <c r="A6" s="5" t="s">
        <v>11</v>
      </c>
      <c r="B6">
        <v>7172010010000100</v>
      </c>
      <c r="C6">
        <v>81</v>
      </c>
      <c r="D6">
        <v>0</v>
      </c>
      <c r="E6">
        <v>8</v>
      </c>
      <c r="F6">
        <v>0</v>
      </c>
      <c r="G6">
        <v>34</v>
      </c>
      <c r="H6">
        <v>0</v>
      </c>
      <c r="I6">
        <v>0</v>
      </c>
      <c r="J6">
        <v>0</v>
      </c>
      <c r="K6">
        <v>39</v>
      </c>
      <c r="L6">
        <v>0</v>
      </c>
      <c r="M6">
        <f>region_summary__52[[#This Row],[REJECTED BY Pengawas]]+region_summary__52[[#This Row],[REJECTED BY Admin Kabupaten]]</f>
        <v>0</v>
      </c>
    </row>
    <row r="7" spans="1:13" x14ac:dyDescent="0.25">
      <c r="A7" s="5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region_summary__52[[#This Row],[REJECTED BY Pengawas]]+region_summary__52[[#This Row],[REJECTED BY Admin Kabupaten]]</f>
        <v>0</v>
      </c>
    </row>
    <row r="8" spans="1:13" x14ac:dyDescent="0.25">
      <c r="A8" s="5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region_summary__52[[#This Row],[REJECTED BY Pengawas]]+region_summary__52[[#This Row],[REJECTED BY Admin Kabupaten]]</f>
        <v>0</v>
      </c>
    </row>
    <row r="9" spans="1:13" x14ac:dyDescent="0.25">
      <c r="A9" s="5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region_summary__52[[#This Row],[REJECTED BY Pengawas]]+region_summary__52[[#This Row],[REJECTED BY Admin Kabupaten]]</f>
        <v>0</v>
      </c>
    </row>
    <row r="10" spans="1:13" x14ac:dyDescent="0.25">
      <c r="A10" s="5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region_summary__52[[#This Row],[REJECTED BY Pengawas]]+region_summary__52[[#This Row],[REJECTED BY Admin Kabupaten]]</f>
        <v>0</v>
      </c>
    </row>
    <row r="11" spans="1:13" x14ac:dyDescent="0.25">
      <c r="A11" s="5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region_summary__52[[#This Row],[REJECTED BY Pengawas]]+region_summary__52[[#This Row],[REJECTED BY Admin Kabupaten]]</f>
        <v>0</v>
      </c>
    </row>
    <row r="12" spans="1:13" x14ac:dyDescent="0.25">
      <c r="A12" s="5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region_summary__52[[#This Row],[REJECTED BY Pengawas]]+region_summary__52[[#This Row],[REJECTED BY Admin Kabupaten]]</f>
        <v>0</v>
      </c>
    </row>
    <row r="13" spans="1:13" x14ac:dyDescent="0.25">
      <c r="A13" s="5" t="s">
        <v>7</v>
      </c>
      <c r="B13">
        <v>7172010008000900</v>
      </c>
      <c r="C13">
        <v>69</v>
      </c>
      <c r="D13">
        <v>0</v>
      </c>
      <c r="E13">
        <v>3</v>
      </c>
      <c r="F13">
        <v>0</v>
      </c>
      <c r="G13">
        <v>48</v>
      </c>
      <c r="H13">
        <v>0</v>
      </c>
      <c r="I13">
        <v>0</v>
      </c>
      <c r="J13">
        <v>0</v>
      </c>
      <c r="K13">
        <v>18</v>
      </c>
      <c r="L13">
        <v>0</v>
      </c>
      <c r="M13">
        <f>region_summary__52[[#This Row],[REJECTED BY Pengawas]]+region_summary__52[[#This Row],[REJECTED BY Admin Kabupaten]]</f>
        <v>0</v>
      </c>
    </row>
    <row r="14" spans="1:13" x14ac:dyDescent="0.25">
      <c r="A14" s="5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region_summary__52[[#This Row],[REJECTED BY Pengawas]]+region_summary__52[[#This Row],[REJECTED BY Admin Kabupaten]]</f>
        <v>0</v>
      </c>
    </row>
    <row r="15" spans="1:13" x14ac:dyDescent="0.25">
      <c r="A15" s="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region_summary__52[[#This Row],[REJECTED BY Pengawas]]+region_summary__52[[#This Row],[REJECTED BY Admin Kabupaten]]</f>
        <v>0</v>
      </c>
    </row>
    <row r="16" spans="1:13" x14ac:dyDescent="0.25">
      <c r="A16" s="5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region_summary__52[[#This Row],[REJECTED BY Pengawas]]+region_summary__52[[#This Row],[REJECTED BY Admin Kabupaten]]</f>
        <v>0</v>
      </c>
    </row>
    <row r="17" spans="1:13" x14ac:dyDescent="0.25">
      <c r="A17" s="5" t="s">
        <v>5</v>
      </c>
      <c r="B17">
        <v>7172010008001102</v>
      </c>
      <c r="C17">
        <v>129</v>
      </c>
      <c r="D17">
        <v>71</v>
      </c>
      <c r="E17">
        <v>7</v>
      </c>
      <c r="F17">
        <v>14</v>
      </c>
      <c r="G17">
        <v>22</v>
      </c>
      <c r="H17">
        <v>0</v>
      </c>
      <c r="I17">
        <v>0</v>
      </c>
      <c r="J17">
        <v>0</v>
      </c>
      <c r="K17">
        <v>15</v>
      </c>
      <c r="L17">
        <v>0</v>
      </c>
      <c r="M17">
        <f>region_summary__52[[#This Row],[REJECTED BY Pengawas]]+region_summary__52[[#This Row],[REJECTED BY Admin Kabupaten]]</f>
        <v>0</v>
      </c>
    </row>
    <row r="18" spans="1:13" x14ac:dyDescent="0.25">
      <c r="A18" s="5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region_summary__52[[#This Row],[REJECTED BY Pengawas]]+region_summary__52[[#This Row],[REJECTED BY Admin Kabupaten]]</f>
        <v>0</v>
      </c>
    </row>
    <row r="19" spans="1:13" x14ac:dyDescent="0.25">
      <c r="A19" s="5" t="s">
        <v>5</v>
      </c>
      <c r="B19">
        <v>7172010008000100</v>
      </c>
      <c r="C19">
        <v>99</v>
      </c>
      <c r="D19">
        <v>0</v>
      </c>
      <c r="E19">
        <v>9</v>
      </c>
      <c r="F19">
        <v>0</v>
      </c>
      <c r="G19">
        <v>67</v>
      </c>
      <c r="H19">
        <v>0</v>
      </c>
      <c r="I19">
        <v>0</v>
      </c>
      <c r="J19">
        <v>0</v>
      </c>
      <c r="K19">
        <v>23</v>
      </c>
      <c r="L19">
        <v>0</v>
      </c>
      <c r="M19">
        <f>region_summary__52[[#This Row],[REJECTED BY Pengawas]]+region_summary__52[[#This Row],[REJECTED BY Admin Kabupaten]]</f>
        <v>0</v>
      </c>
    </row>
    <row r="20" spans="1:13" x14ac:dyDescent="0.25">
      <c r="A20" s="5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region_summary__52[[#This Row],[REJECTED BY Pengawas]]+region_summary__52[[#This Row],[REJECTED BY Admin Kabupaten]]</f>
        <v>0</v>
      </c>
    </row>
    <row r="21" spans="1:13" x14ac:dyDescent="0.25">
      <c r="A21" s="5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region_summary__52[[#This Row],[REJECTED BY Pengawas]]+region_summary__52[[#This Row],[REJECTED BY Admin Kabupaten]]</f>
        <v>0</v>
      </c>
    </row>
    <row r="22" spans="1:13" x14ac:dyDescent="0.25">
      <c r="A22" s="5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region_summary__52[[#This Row],[REJECTED BY Pengawas]]+region_summary__52[[#This Row],[REJECTED BY Admin Kabupaten]]</f>
        <v>0</v>
      </c>
    </row>
    <row r="23" spans="1:13" x14ac:dyDescent="0.25">
      <c r="A23" s="5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region_summary__52[[#This Row],[REJECTED BY Pengawas]]+region_summary__52[[#This Row],[REJECTED BY Admin Kabupaten]]</f>
        <v>0</v>
      </c>
    </row>
    <row r="24" spans="1:13" x14ac:dyDescent="0.25">
      <c r="A24" s="5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region_summary__52[[#This Row],[REJECTED BY Pengawas]]+region_summary__52[[#This Row],[REJECTED BY Admin Kabupaten]]</f>
        <v>0</v>
      </c>
    </row>
    <row r="25" spans="1:13" x14ac:dyDescent="0.25">
      <c r="A25" s="5" t="s">
        <v>8</v>
      </c>
      <c r="B25">
        <v>7172010009000700</v>
      </c>
      <c r="C25">
        <v>60</v>
      </c>
      <c r="D25">
        <v>0</v>
      </c>
      <c r="E25">
        <v>2</v>
      </c>
      <c r="F25">
        <v>0</v>
      </c>
      <c r="G25">
        <v>39</v>
      </c>
      <c r="H25">
        <v>0</v>
      </c>
      <c r="I25">
        <v>0</v>
      </c>
      <c r="J25">
        <v>0</v>
      </c>
      <c r="K25">
        <v>19</v>
      </c>
      <c r="L25">
        <v>0</v>
      </c>
      <c r="M25">
        <f>region_summary__52[[#This Row],[REJECTED BY Pengawas]]+region_summary__52[[#This Row],[REJECTED BY Admin Kabupaten]]</f>
        <v>0</v>
      </c>
    </row>
    <row r="26" spans="1:13" x14ac:dyDescent="0.25">
      <c r="A26" s="5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region_summary__52[[#This Row],[REJECTED BY Pengawas]]+region_summary__52[[#This Row],[REJECTED BY Admin Kabupaten]]</f>
        <v>0</v>
      </c>
    </row>
    <row r="27" spans="1:13" x14ac:dyDescent="0.25">
      <c r="A27" s="5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region_summary__52[[#This Row],[REJECTED BY Pengawas]]+region_summary__52[[#This Row],[REJECTED BY Admin Kabupaten]]</f>
        <v>0</v>
      </c>
    </row>
    <row r="28" spans="1:13" x14ac:dyDescent="0.25">
      <c r="A28" s="5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region_summary__52[[#This Row],[REJECTED BY Pengawas]]+region_summary__52[[#This Row],[REJECTED BY Admin Kabupaten]]</f>
        <v>0</v>
      </c>
    </row>
    <row r="29" spans="1:13" x14ac:dyDescent="0.25">
      <c r="A29" s="5" t="s">
        <v>8</v>
      </c>
      <c r="B29">
        <v>7172010009000600</v>
      </c>
      <c r="C29">
        <v>47</v>
      </c>
      <c r="D29">
        <v>0</v>
      </c>
      <c r="E29">
        <v>0</v>
      </c>
      <c r="F29">
        <v>0</v>
      </c>
      <c r="G29">
        <v>3</v>
      </c>
      <c r="H29">
        <v>0</v>
      </c>
      <c r="I29">
        <v>0</v>
      </c>
      <c r="J29">
        <v>0</v>
      </c>
      <c r="K29">
        <v>44</v>
      </c>
      <c r="L29">
        <v>0</v>
      </c>
      <c r="M29">
        <f>region_summary__52[[#This Row],[REJECTED BY Pengawas]]+region_summary__52[[#This Row],[REJECTED BY Admin Kabupaten]]</f>
        <v>0</v>
      </c>
    </row>
    <row r="30" spans="1:13" x14ac:dyDescent="0.25">
      <c r="A30" s="5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region_summary__52[[#This Row],[REJECTED BY Pengawas]]+region_summary__52[[#This Row],[REJECTED BY Admin Kabupaten]]</f>
        <v>0</v>
      </c>
    </row>
    <row r="31" spans="1:13" x14ac:dyDescent="0.25">
      <c r="A31" s="5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region_summary__52[[#This Row],[REJECTED BY Pengawas]]+region_summary__52[[#This Row],[REJECTED BY Admin Kabupaten]]</f>
        <v>0</v>
      </c>
    </row>
    <row r="32" spans="1:13" x14ac:dyDescent="0.25">
      <c r="A32" s="5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region_summary__52[[#This Row],[REJECTED BY Pengawas]]+region_summary__52[[#This Row],[REJECTED BY Admin Kabupaten]]</f>
        <v>0</v>
      </c>
    </row>
    <row r="33" spans="1:13" x14ac:dyDescent="0.25">
      <c r="A33" s="5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region_summary__52[[#This Row],[REJECTED BY Pengawas]]+region_summary__52[[#This Row],[REJECTED BY Admin Kabupaten]]</f>
        <v>0</v>
      </c>
    </row>
    <row r="34" spans="1:13" x14ac:dyDescent="0.25">
      <c r="A34" s="5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region_summary__52[[#This Row],[REJECTED BY Pengawas]]+region_summary__52[[#This Row],[REJECTED BY Admin Kabupaten]]</f>
        <v>0</v>
      </c>
    </row>
    <row r="35" spans="1:13" x14ac:dyDescent="0.25">
      <c r="A35" s="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region_summary__52[[#This Row],[REJECTED BY Pengawas]]+region_summary__52[[#This Row],[REJECTED BY Admin Kabupaten]]</f>
        <v>0</v>
      </c>
    </row>
    <row r="36" spans="1:13" x14ac:dyDescent="0.25">
      <c r="A36" s="5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region_summary__52[[#This Row],[REJECTED BY Pengawas]]+region_summary__52[[#This Row],[REJECTED BY Admin Kabupaten]]</f>
        <v>0</v>
      </c>
    </row>
    <row r="37" spans="1:13" x14ac:dyDescent="0.25">
      <c r="A37" s="5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region_summary__52[[#This Row],[REJECTED BY Pengawas]]+region_summary__52[[#This Row],[REJECTED BY Admin Kabupaten]]</f>
        <v>0</v>
      </c>
    </row>
    <row r="38" spans="1:13" x14ac:dyDescent="0.25">
      <c r="A38" s="5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region_summary__52[[#This Row],[REJECTED BY Pengawas]]+region_summary__52[[#This Row],[REJECTED BY Admin Kabupaten]]</f>
        <v>1</v>
      </c>
    </row>
    <row r="39" spans="1:13" x14ac:dyDescent="0.25">
      <c r="A39" s="5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region_summary__52[[#This Row],[REJECTED BY Pengawas]]+region_summary__52[[#This Row],[REJECTED BY Admin Kabupaten]]</f>
        <v>0</v>
      </c>
    </row>
    <row r="40" spans="1:13" x14ac:dyDescent="0.25">
      <c r="A40" s="5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region_summary__52[[#This Row],[REJECTED BY Pengawas]]+region_summary__52[[#This Row],[REJECTED BY Admin Kabupaten]]</f>
        <v>0</v>
      </c>
    </row>
    <row r="41" spans="1:13" x14ac:dyDescent="0.25">
      <c r="A41" s="5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region_summary__52[[#This Row],[REJECTED BY Pengawas]]+region_summary__52[[#This Row],[REJECTED BY Admin Kabupaten]]</f>
        <v>0</v>
      </c>
    </row>
    <row r="42" spans="1:13" x14ac:dyDescent="0.25">
      <c r="A42" s="5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region_summary__52[[#This Row],[REJECTED BY Pengawas]]+region_summary__52[[#This Row],[REJECTED BY Admin Kabupaten]]</f>
        <v>0</v>
      </c>
    </row>
    <row r="43" spans="1:13" x14ac:dyDescent="0.25">
      <c r="A43" s="5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region_summary__52[[#This Row],[REJECTED BY Pengawas]]+region_summary__52[[#This Row],[REJECTED BY Admin Kabupaten]]</f>
        <v>0</v>
      </c>
    </row>
    <row r="44" spans="1:13" x14ac:dyDescent="0.25">
      <c r="A44" s="5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19</v>
      </c>
      <c r="H44">
        <v>0</v>
      </c>
      <c r="I44">
        <v>0</v>
      </c>
      <c r="J44">
        <v>0</v>
      </c>
      <c r="K44">
        <v>29</v>
      </c>
      <c r="L44">
        <v>0</v>
      </c>
      <c r="M44">
        <f>region_summary__52[[#This Row],[REJECTED BY Pengawas]]+region_summary__52[[#This Row],[REJECTED BY Admin Kabupaten]]</f>
        <v>0</v>
      </c>
    </row>
    <row r="45" spans="1:13" x14ac:dyDescent="0.25">
      <c r="A45" s="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32</v>
      </c>
      <c r="H45">
        <v>0</v>
      </c>
      <c r="I45">
        <v>0</v>
      </c>
      <c r="J45">
        <v>0</v>
      </c>
      <c r="K45">
        <v>13</v>
      </c>
      <c r="L45">
        <v>0</v>
      </c>
      <c r="M45">
        <f>region_summary__52[[#This Row],[REJECTED BY Pengawas]]+region_summary__52[[#This Row],[REJECTED BY Admin Kabupaten]]</f>
        <v>0</v>
      </c>
    </row>
    <row r="46" spans="1:13" x14ac:dyDescent="0.25">
      <c r="A46" s="5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region_summary__52[[#This Row],[REJECTED BY Pengawas]]+region_summary__52[[#This Row],[REJECTED BY Admin Kabupaten]]</f>
        <v>0</v>
      </c>
    </row>
    <row r="47" spans="1:13" x14ac:dyDescent="0.25">
      <c r="A47" s="5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region_summary__52[[#This Row],[REJECTED BY Pengawas]]+region_summary__52[[#This Row],[REJECTED BY Admin Kabupaten]]</f>
        <v>0</v>
      </c>
    </row>
    <row r="48" spans="1:13" x14ac:dyDescent="0.25">
      <c r="A48" s="5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region_summary__52[[#This Row],[REJECTED BY Pengawas]]+region_summary__52[[#This Row],[REJECTED BY Admin Kabupaten]]</f>
        <v>0</v>
      </c>
    </row>
    <row r="49" spans="1:13" x14ac:dyDescent="0.25">
      <c r="A49" s="5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region_summary__52[[#This Row],[REJECTED BY Pengawas]]+region_summary__52[[#This Row],[REJECTED BY Admin Kabupaten]]</f>
        <v>0</v>
      </c>
    </row>
    <row r="50" spans="1:13" x14ac:dyDescent="0.25">
      <c r="A50" s="5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region_summary__52[[#This Row],[REJECTED BY Pengawas]]+region_summary__52[[#This Row],[REJECTED BY Admin Kabupaten]]</f>
        <v>0</v>
      </c>
    </row>
    <row r="51" spans="1:13" x14ac:dyDescent="0.25">
      <c r="A51" s="5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region_summary__52[[#This Row],[REJECTED BY Pengawas]]+region_summary__52[[#This Row],[REJECTED BY Admin Kabupaten]]</f>
        <v>1</v>
      </c>
    </row>
    <row r="52" spans="1:13" x14ac:dyDescent="0.25">
      <c r="A52" s="5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region_summary__52[[#This Row],[REJECTED BY Pengawas]]+region_summary__52[[#This Row],[REJECTED BY Admin Kabupaten]]</f>
        <v>0</v>
      </c>
    </row>
    <row r="53" spans="1:13" x14ac:dyDescent="0.25">
      <c r="A53" s="5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region_summary__52[[#This Row],[REJECTED BY Pengawas]]+region_summary__52[[#This Row],[REJECTED BY Admin Kabupaten]]</f>
        <v>0</v>
      </c>
    </row>
    <row r="54" spans="1:13" x14ac:dyDescent="0.25">
      <c r="A54" s="5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region_summary__52[[#This Row],[REJECTED BY Pengawas]]+region_summary__52[[#This Row],[REJECTED BY Admin Kabupaten]]</f>
        <v>1</v>
      </c>
    </row>
    <row r="55" spans="1:13" x14ac:dyDescent="0.25">
      <c r="A55" s="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region_summary__52[[#This Row],[REJECTED BY Pengawas]]+region_summary__52[[#This Row],[REJECTED BY Admin Kabupaten]]</f>
        <v>1</v>
      </c>
    </row>
    <row r="56" spans="1:13" x14ac:dyDescent="0.25">
      <c r="A56" s="5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region_summary__52[[#This Row],[REJECTED BY Pengawas]]+region_summary__52[[#This Row],[REJECTED BY Admin Kabupaten]]</f>
        <v>0</v>
      </c>
    </row>
    <row r="57" spans="1:13" x14ac:dyDescent="0.25">
      <c r="A57" s="5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region_summary__52[[#This Row],[REJECTED BY Pengawas]]+region_summary__52[[#This Row],[REJECTED BY Admin Kabupaten]]</f>
        <v>0</v>
      </c>
    </row>
    <row r="58" spans="1:13" x14ac:dyDescent="0.25">
      <c r="A58" s="5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region_summary__52[[#This Row],[REJECTED BY Pengawas]]+region_summary__52[[#This Row],[REJECTED BY Admin Kabupaten]]</f>
        <v>0</v>
      </c>
    </row>
    <row r="59" spans="1:13" x14ac:dyDescent="0.25">
      <c r="A59" s="5" t="s">
        <v>15</v>
      </c>
      <c r="B59">
        <v>7172010012000900</v>
      </c>
      <c r="C59">
        <v>39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25</v>
      </c>
      <c r="L59">
        <v>0</v>
      </c>
      <c r="M59">
        <f>region_summary__52[[#This Row],[REJECTED BY Pengawas]]+region_summary__52[[#This Row],[REJECTED BY Admin Kabupaten]]</f>
        <v>0</v>
      </c>
    </row>
    <row r="60" spans="1:13" x14ac:dyDescent="0.25">
      <c r="A60" s="5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region_summary__52[[#This Row],[REJECTED BY Pengawas]]+region_summary__52[[#This Row],[REJECTED BY Admin Kabupaten]]</f>
        <v>0</v>
      </c>
    </row>
    <row r="61" spans="1:13" x14ac:dyDescent="0.25">
      <c r="A61" s="5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region_summary__52[[#This Row],[REJECTED BY Pengawas]]+region_summary__52[[#This Row],[REJECTED BY Admin Kabupaten]]</f>
        <v>0</v>
      </c>
    </row>
    <row r="62" spans="1:13" x14ac:dyDescent="0.25">
      <c r="A62" s="5" t="s">
        <v>15</v>
      </c>
      <c r="B62">
        <v>7172010012000800</v>
      </c>
      <c r="C62">
        <v>23</v>
      </c>
      <c r="D62">
        <v>0</v>
      </c>
      <c r="E62">
        <v>0</v>
      </c>
      <c r="F62">
        <v>0</v>
      </c>
      <c r="G62">
        <v>22</v>
      </c>
      <c r="H62">
        <v>0</v>
      </c>
      <c r="I62">
        <v>0</v>
      </c>
      <c r="J62">
        <v>0</v>
      </c>
      <c r="K62">
        <v>1</v>
      </c>
      <c r="L62">
        <v>0</v>
      </c>
      <c r="M62">
        <f>region_summary__52[[#This Row],[REJECTED BY Pengawas]]+region_summary__52[[#This Row],[REJECTED BY Admin Kabupaten]]</f>
        <v>0</v>
      </c>
    </row>
    <row r="63" spans="1:13" x14ac:dyDescent="0.25">
      <c r="A63" s="5" t="s">
        <v>23</v>
      </c>
      <c r="B63">
        <v>7172010015003200</v>
      </c>
      <c r="C63">
        <v>199</v>
      </c>
      <c r="D63">
        <v>13</v>
      </c>
      <c r="E63">
        <v>14</v>
      </c>
      <c r="F63">
        <v>0</v>
      </c>
      <c r="G63">
        <v>93</v>
      </c>
      <c r="H63">
        <v>0</v>
      </c>
      <c r="I63">
        <v>0</v>
      </c>
      <c r="J63">
        <v>0</v>
      </c>
      <c r="K63">
        <v>79</v>
      </c>
      <c r="L63">
        <v>0</v>
      </c>
      <c r="M63">
        <f>region_summary__52[[#This Row],[REJECTED BY Pengawas]]+region_summary__52[[#This Row],[REJECTED BY Admin Kabupaten]]</f>
        <v>0</v>
      </c>
    </row>
    <row r="64" spans="1:13" x14ac:dyDescent="0.25">
      <c r="A64" s="5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18</v>
      </c>
      <c r="H64">
        <v>2</v>
      </c>
      <c r="I64">
        <v>0</v>
      </c>
      <c r="J64">
        <v>0</v>
      </c>
      <c r="K64">
        <v>0</v>
      </c>
      <c r="L64">
        <v>0</v>
      </c>
      <c r="M64">
        <f>region_summary__52[[#This Row],[REJECTED BY Pengawas]]+region_summary__52[[#This Row],[REJECTED BY Admin Kabupaten]]</f>
        <v>2</v>
      </c>
    </row>
    <row r="65" spans="1:13" x14ac:dyDescent="0.25">
      <c r="A65" s="5" t="s">
        <v>23</v>
      </c>
      <c r="B65">
        <v>7172010015002700</v>
      </c>
      <c r="C65">
        <v>101</v>
      </c>
      <c r="D65">
        <v>32</v>
      </c>
      <c r="E65">
        <v>4</v>
      </c>
      <c r="F65">
        <v>0</v>
      </c>
      <c r="G65">
        <v>62</v>
      </c>
      <c r="H65">
        <v>0</v>
      </c>
      <c r="I65">
        <v>0</v>
      </c>
      <c r="J65">
        <v>0</v>
      </c>
      <c r="K65">
        <v>3</v>
      </c>
      <c r="L65">
        <v>0</v>
      </c>
      <c r="M65">
        <f>region_summary__52[[#This Row],[REJECTED BY Pengawas]]+region_summary__52[[#This Row],[REJECTED BY Admin Kabupaten]]</f>
        <v>0</v>
      </c>
    </row>
    <row r="66" spans="1:13" x14ac:dyDescent="0.25">
      <c r="A66" s="5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24</v>
      </c>
      <c r="H66">
        <v>0</v>
      </c>
      <c r="I66">
        <v>0</v>
      </c>
      <c r="J66">
        <v>0</v>
      </c>
      <c r="K66">
        <v>6</v>
      </c>
      <c r="L66">
        <v>0</v>
      </c>
      <c r="M66">
        <f>region_summary__52[[#This Row],[REJECTED BY Pengawas]]+region_summary__52[[#This Row],[REJECTED BY Admin Kabupaten]]</f>
        <v>0</v>
      </c>
    </row>
    <row r="67" spans="1:13" x14ac:dyDescent="0.25">
      <c r="A67" s="5" t="s">
        <v>23</v>
      </c>
      <c r="B67">
        <v>7172010015003000</v>
      </c>
      <c r="C67">
        <v>69</v>
      </c>
      <c r="D67">
        <v>37</v>
      </c>
      <c r="E67">
        <v>6</v>
      </c>
      <c r="F67">
        <v>0</v>
      </c>
      <c r="G67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region_summary__52[[#This Row],[REJECTED BY Pengawas]]+region_summary__52[[#This Row],[REJECTED BY Admin Kabupaten]]</f>
        <v>0</v>
      </c>
    </row>
    <row r="68" spans="1:13" x14ac:dyDescent="0.25">
      <c r="A68" s="5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region_summary__52[[#This Row],[REJECTED BY Pengawas]]+region_summary__52[[#This Row],[REJECTED BY Admin Kabupaten]]</f>
        <v>0</v>
      </c>
    </row>
    <row r="69" spans="1:13" x14ac:dyDescent="0.25">
      <c r="A69" s="5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region_summary__52[[#This Row],[REJECTED BY Pengawas]]+region_summary__52[[#This Row],[REJECTED BY Admin Kabupaten]]</f>
        <v>0</v>
      </c>
    </row>
    <row r="70" spans="1:13" x14ac:dyDescent="0.25">
      <c r="A70" s="5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region_summary__52[[#This Row],[REJECTED BY Pengawas]]+region_summary__52[[#This Row],[REJECTED BY Admin Kabupaten]]</f>
        <v>3</v>
      </c>
    </row>
    <row r="71" spans="1:13" x14ac:dyDescent="0.25">
      <c r="A71" s="5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region_summary__52[[#This Row],[REJECTED BY Pengawas]]+region_summary__52[[#This Row],[REJECTED BY Admin Kabupaten]]</f>
        <v>2</v>
      </c>
    </row>
    <row r="72" spans="1:13" x14ac:dyDescent="0.25">
      <c r="A72" s="5" t="s">
        <v>237</v>
      </c>
      <c r="B72">
        <v>7172010017001100</v>
      </c>
      <c r="C72">
        <v>85</v>
      </c>
      <c r="D72">
        <v>11</v>
      </c>
      <c r="E72">
        <v>7</v>
      </c>
      <c r="F72">
        <v>0</v>
      </c>
      <c r="G72">
        <v>34</v>
      </c>
      <c r="H72">
        <v>0</v>
      </c>
      <c r="I72">
        <v>0</v>
      </c>
      <c r="J72">
        <v>0</v>
      </c>
      <c r="K72">
        <v>33</v>
      </c>
      <c r="L72">
        <v>0</v>
      </c>
      <c r="M72">
        <f>region_summary__52[[#This Row],[REJECTED BY Pengawas]]+region_summary__52[[#This Row],[REJECTED BY Admin Kabupaten]]</f>
        <v>0</v>
      </c>
    </row>
    <row r="73" spans="1:13" x14ac:dyDescent="0.25">
      <c r="A73" s="5" t="s">
        <v>237</v>
      </c>
      <c r="B73">
        <v>7172010017001400</v>
      </c>
      <c r="C73">
        <v>60</v>
      </c>
      <c r="D73">
        <v>0</v>
      </c>
      <c r="E73">
        <v>0</v>
      </c>
      <c r="F73">
        <v>0</v>
      </c>
      <c r="G73">
        <v>60</v>
      </c>
      <c r="H73">
        <v>0</v>
      </c>
      <c r="I73">
        <v>0</v>
      </c>
      <c r="J73">
        <v>0</v>
      </c>
      <c r="K73">
        <v>0</v>
      </c>
      <c r="L73">
        <v>0</v>
      </c>
      <c r="M73">
        <f>region_summary__52[[#This Row],[REJECTED BY Pengawas]]+region_summary__52[[#This Row],[REJECTED BY Admin Kabupaten]]</f>
        <v>0</v>
      </c>
    </row>
    <row r="74" spans="1:13" x14ac:dyDescent="0.25">
      <c r="A74" s="5" t="s">
        <v>237</v>
      </c>
      <c r="B74">
        <v>7172010017000700</v>
      </c>
      <c r="C74">
        <v>55</v>
      </c>
      <c r="D74">
        <v>0</v>
      </c>
      <c r="E74">
        <v>0</v>
      </c>
      <c r="F74">
        <v>0</v>
      </c>
      <c r="G74">
        <v>55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region_summary__52[[#This Row],[REJECTED BY Pengawas]]+region_summary__52[[#This Row],[REJECTED BY Admin Kabupaten]]</f>
        <v>0</v>
      </c>
    </row>
    <row r="75" spans="1:13" x14ac:dyDescent="0.25">
      <c r="A75" s="5" t="s">
        <v>237</v>
      </c>
      <c r="B75">
        <v>7172010017000900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region_summary__52[[#This Row],[REJECTED BY Pengawas]]+region_summary__52[[#This Row],[REJECTED BY Admin Kabupaten]]</f>
        <v>0</v>
      </c>
    </row>
    <row r="76" spans="1:13" x14ac:dyDescent="0.25">
      <c r="A76" s="5" t="s">
        <v>237</v>
      </c>
      <c r="B76">
        <v>7172010017001000</v>
      </c>
      <c r="C76">
        <v>55</v>
      </c>
      <c r="D76">
        <v>18</v>
      </c>
      <c r="E76">
        <v>7</v>
      </c>
      <c r="F76">
        <v>0</v>
      </c>
      <c r="G76">
        <v>7</v>
      </c>
      <c r="H76">
        <v>0</v>
      </c>
      <c r="I76">
        <v>0</v>
      </c>
      <c r="J76">
        <v>0</v>
      </c>
      <c r="K76">
        <v>23</v>
      </c>
      <c r="L76">
        <v>0</v>
      </c>
      <c r="M76">
        <f>region_summary__52[[#This Row],[REJECTED BY Pengawas]]+region_summary__52[[#This Row],[REJECTED BY Admin Kabupaten]]</f>
        <v>0</v>
      </c>
    </row>
    <row r="77" spans="1:13" x14ac:dyDescent="0.25">
      <c r="A77" s="5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region_summary__52[[#This Row],[REJECTED BY Pengawas]]+region_summary__52[[#This Row],[REJECTED BY Admin Kabupaten]]</f>
        <v>0</v>
      </c>
    </row>
    <row r="78" spans="1:13" x14ac:dyDescent="0.25">
      <c r="A78" s="5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region_summary__52[[#This Row],[REJECTED BY Pengawas]]+region_summary__52[[#This Row],[REJECTED BY Admin Kabupaten]]</f>
        <v>0</v>
      </c>
    </row>
    <row r="79" spans="1:13" x14ac:dyDescent="0.25">
      <c r="A79" s="5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region_summary__52[[#This Row],[REJECTED BY Pengawas]]+region_summary__52[[#This Row],[REJECTED BY Admin Kabupaten]]</f>
        <v>0</v>
      </c>
    </row>
    <row r="80" spans="1:13" x14ac:dyDescent="0.25">
      <c r="A80" s="5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region_summary__52[[#This Row],[REJECTED BY Pengawas]]+region_summary__52[[#This Row],[REJECTED BY Admin Kabupaten]]</f>
        <v>0</v>
      </c>
    </row>
    <row r="81" spans="1:13" x14ac:dyDescent="0.25">
      <c r="A81" s="5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region_summary__52[[#This Row],[REJECTED BY Pengawas]]+region_summary__52[[#This Row],[REJECTED BY Admin Kabupaten]]</f>
        <v>0</v>
      </c>
    </row>
    <row r="82" spans="1:13" x14ac:dyDescent="0.25">
      <c r="A82" s="5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region_summary__52[[#This Row],[REJECTED BY Pengawas]]+region_summary__52[[#This Row],[REJECTED BY Admin Kabupaten]]</f>
        <v>0</v>
      </c>
    </row>
    <row r="83" spans="1:13" x14ac:dyDescent="0.25">
      <c r="A83" s="5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region_summary__52[[#This Row],[REJECTED BY Pengawas]]+region_summary__52[[#This Row],[REJECTED BY Admin Kabupaten]]</f>
        <v>0</v>
      </c>
    </row>
    <row r="84" spans="1:13" x14ac:dyDescent="0.25">
      <c r="A84" s="5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region_summary__52[[#This Row],[REJECTED BY Pengawas]]+region_summary__52[[#This Row],[REJECTED BY Admin Kabupaten]]</f>
        <v>0</v>
      </c>
    </row>
    <row r="85" spans="1:13" x14ac:dyDescent="0.25">
      <c r="A85" s="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region_summary__52[[#This Row],[REJECTED BY Pengawas]]+region_summary__52[[#This Row],[REJECTED BY Admin Kabupaten]]</f>
        <v>0</v>
      </c>
    </row>
    <row r="86" spans="1:13" x14ac:dyDescent="0.25">
      <c r="A86" s="5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region_summary__52[[#This Row],[REJECTED BY Pengawas]]+region_summary__52[[#This Row],[REJECTED BY Admin Kabupaten]]</f>
        <v>0</v>
      </c>
    </row>
    <row r="87" spans="1:13" x14ac:dyDescent="0.25">
      <c r="A87" s="5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region_summary__52[[#This Row],[REJECTED BY Pengawas]]+region_summary__52[[#This Row],[REJECTED BY Admin Kabupaten]]</f>
        <v>0</v>
      </c>
    </row>
    <row r="88" spans="1:13" x14ac:dyDescent="0.25">
      <c r="A88" s="5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region_summary__52[[#This Row],[REJECTED BY Pengawas]]+region_summary__52[[#This Row],[REJECTED BY Admin Kabupaten]]</f>
        <v>0</v>
      </c>
    </row>
    <row r="89" spans="1:13" x14ac:dyDescent="0.25">
      <c r="A89" s="5" t="s">
        <v>14</v>
      </c>
      <c r="B89">
        <v>7172010011000900</v>
      </c>
      <c r="C89">
        <v>36</v>
      </c>
      <c r="D89">
        <v>21</v>
      </c>
      <c r="E89">
        <v>3</v>
      </c>
      <c r="F89">
        <v>0</v>
      </c>
      <c r="G89">
        <v>2</v>
      </c>
      <c r="H89">
        <v>0</v>
      </c>
      <c r="I89">
        <v>0</v>
      </c>
      <c r="J89">
        <v>0</v>
      </c>
      <c r="K89">
        <v>10</v>
      </c>
      <c r="L89">
        <v>0</v>
      </c>
      <c r="M89">
        <f>region_summary__52[[#This Row],[REJECTED BY Pengawas]]+region_summary__52[[#This Row],[REJECTED BY Admin Kabupaten]]</f>
        <v>0</v>
      </c>
    </row>
    <row r="90" spans="1:13" x14ac:dyDescent="0.25">
      <c r="A90" s="5" t="s">
        <v>14</v>
      </c>
      <c r="B90">
        <v>7172010011001000</v>
      </c>
      <c r="C90">
        <v>34</v>
      </c>
      <c r="D90">
        <v>0</v>
      </c>
      <c r="E90">
        <v>0</v>
      </c>
      <c r="F90">
        <v>0</v>
      </c>
      <c r="G90">
        <v>32</v>
      </c>
      <c r="H90">
        <v>0</v>
      </c>
      <c r="I90">
        <v>0</v>
      </c>
      <c r="J90">
        <v>0</v>
      </c>
      <c r="K90">
        <v>2</v>
      </c>
      <c r="L90">
        <v>0</v>
      </c>
      <c r="M90">
        <f>region_summary__52[[#This Row],[REJECTED BY Pengawas]]+region_summary__52[[#This Row],[REJECTED BY Admin Kabupaten]]</f>
        <v>0</v>
      </c>
    </row>
    <row r="91" spans="1:13" x14ac:dyDescent="0.25">
      <c r="A91" s="5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region_summary__52[[#This Row],[REJECTED BY Pengawas]]+region_summary__52[[#This Row],[REJECTED BY Admin Kabupaten]]</f>
        <v>0</v>
      </c>
    </row>
    <row r="92" spans="1:13" x14ac:dyDescent="0.25">
      <c r="A92" s="5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region_summary__52[[#This Row],[REJECTED BY Pengawas]]+region_summary__52[[#This Row],[REJECTED BY Admin Kabupaten]]</f>
        <v>0</v>
      </c>
    </row>
    <row r="93" spans="1:13" x14ac:dyDescent="0.25">
      <c r="A93" s="5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region_summary__52[[#This Row],[REJECTED BY Pengawas]]+region_summary__52[[#This Row],[REJECTED BY Admin Kabupaten]]</f>
        <v>0</v>
      </c>
    </row>
    <row r="94" spans="1:13" x14ac:dyDescent="0.25">
      <c r="A94" s="5" t="s">
        <v>21</v>
      </c>
      <c r="B94">
        <v>7172010015001800</v>
      </c>
      <c r="C94">
        <v>180</v>
      </c>
      <c r="D94">
        <v>0</v>
      </c>
      <c r="E94">
        <v>0</v>
      </c>
      <c r="F94">
        <v>0</v>
      </c>
      <c r="G94">
        <v>98</v>
      </c>
      <c r="H94">
        <v>0</v>
      </c>
      <c r="I94">
        <v>0</v>
      </c>
      <c r="J94">
        <v>0</v>
      </c>
      <c r="K94">
        <v>82</v>
      </c>
      <c r="L94">
        <v>0</v>
      </c>
      <c r="M94">
        <f>region_summary__52[[#This Row],[REJECTED BY Pengawas]]+region_summary__52[[#This Row],[REJECTED BY Admin Kabupaten]]</f>
        <v>0</v>
      </c>
    </row>
    <row r="95" spans="1:13" x14ac:dyDescent="0.25">
      <c r="A95" s="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region_summary__52[[#This Row],[REJECTED BY Pengawas]]+region_summary__52[[#This Row],[REJECTED BY Admin Kabupaten]]</f>
        <v>0</v>
      </c>
    </row>
    <row r="96" spans="1:13" x14ac:dyDescent="0.25">
      <c r="A96" s="5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region_summary__52[[#This Row],[REJECTED BY Pengawas]]+region_summary__52[[#This Row],[REJECTED BY Admin Kabupaten]]</f>
        <v>0</v>
      </c>
    </row>
    <row r="97" spans="1:13" x14ac:dyDescent="0.25">
      <c r="A97" s="5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region_summary__52[[#This Row],[REJECTED BY Pengawas]]+region_summary__52[[#This Row],[REJECTED BY Admin Kabupaten]]</f>
        <v>0</v>
      </c>
    </row>
    <row r="98" spans="1:13" x14ac:dyDescent="0.25">
      <c r="A98" s="5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region_summary__52[[#This Row],[REJECTED BY Pengawas]]+region_summary__52[[#This Row],[REJECTED BY Admin Kabupaten]]</f>
        <v>0</v>
      </c>
    </row>
    <row r="99" spans="1:13" x14ac:dyDescent="0.25">
      <c r="A99" s="5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region_summary__52[[#This Row],[REJECTED BY Pengawas]]+region_summary__52[[#This Row],[REJECTED BY Admin Kabupaten]]</f>
        <v>0</v>
      </c>
    </row>
    <row r="100" spans="1:13" x14ac:dyDescent="0.25">
      <c r="A100" s="5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region_summary__52[[#This Row],[REJECTED BY Pengawas]]+region_summary__52[[#This Row],[REJECTED BY Admin Kabupaten]]</f>
        <v>0</v>
      </c>
    </row>
    <row r="101" spans="1:13" x14ac:dyDescent="0.25">
      <c r="A101" s="5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region_summary__52[[#This Row],[REJECTED BY Pengawas]]+region_summary__52[[#This Row],[REJECTED BY Admin Kabupaten]]</f>
        <v>0</v>
      </c>
    </row>
    <row r="102" spans="1:13" x14ac:dyDescent="0.25">
      <c r="A102" s="5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region_summary__52[[#This Row],[REJECTED BY Pengawas]]+region_summary__52[[#This Row],[REJECTED BY Admin Kabupaten]]</f>
        <v>0</v>
      </c>
    </row>
    <row r="103" spans="1:13" x14ac:dyDescent="0.25">
      <c r="A103" s="5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region_summary__52[[#This Row],[REJECTED BY Pengawas]]+region_summary__52[[#This Row],[REJECTED BY Admin Kabupaten]]</f>
        <v>0</v>
      </c>
    </row>
    <row r="104" spans="1:13" x14ac:dyDescent="0.25">
      <c r="A104" s="5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region_summary__52[[#This Row],[REJECTED BY Pengawas]]+region_summary__52[[#This Row],[REJECTED BY Admin Kabupaten]]</f>
        <v>0</v>
      </c>
    </row>
    <row r="105" spans="1:13" x14ac:dyDescent="0.25">
      <c r="A105" s="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region_summary__52[[#This Row],[REJECTED BY Pengawas]]+region_summary__52[[#This Row],[REJECTED BY Admin Kabupaten]]</f>
        <v>0</v>
      </c>
    </row>
    <row r="106" spans="1:13" x14ac:dyDescent="0.25">
      <c r="A106" s="5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15</v>
      </c>
      <c r="H106">
        <v>0</v>
      </c>
      <c r="I106">
        <v>0</v>
      </c>
      <c r="J106">
        <v>0</v>
      </c>
      <c r="K106">
        <v>6</v>
      </c>
      <c r="L106">
        <v>0</v>
      </c>
      <c r="M106">
        <f>region_summary__52[[#This Row],[REJECTED BY Pengawas]]+region_summary__52[[#This Row],[REJECTED BY Admin Kabupaten]]</f>
        <v>0</v>
      </c>
    </row>
    <row r="107" spans="1:13" x14ac:dyDescent="0.25">
      <c r="A107" s="5" t="s">
        <v>27</v>
      </c>
      <c r="B107">
        <v>7172011002001100</v>
      </c>
      <c r="C107">
        <v>53</v>
      </c>
      <c r="D107">
        <v>0</v>
      </c>
      <c r="E107">
        <v>2</v>
      </c>
      <c r="F107">
        <v>0</v>
      </c>
      <c r="G107">
        <v>40</v>
      </c>
      <c r="H107">
        <v>0</v>
      </c>
      <c r="I107">
        <v>0</v>
      </c>
      <c r="J107">
        <v>0</v>
      </c>
      <c r="K107">
        <v>11</v>
      </c>
      <c r="L107">
        <v>0</v>
      </c>
      <c r="M107">
        <f>region_summary__52[[#This Row],[REJECTED BY Pengawas]]+region_summary__52[[#This Row],[REJECTED BY Admin Kabupaten]]</f>
        <v>0</v>
      </c>
    </row>
    <row r="108" spans="1:13" x14ac:dyDescent="0.25">
      <c r="A108" s="5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region_summary__52[[#This Row],[REJECTED BY Pengawas]]+region_summary__52[[#This Row],[REJECTED BY Admin Kabupaten]]</f>
        <v>7</v>
      </c>
    </row>
    <row r="109" spans="1:13" x14ac:dyDescent="0.25">
      <c r="A109" s="5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region_summary__52[[#This Row],[REJECTED BY Pengawas]]+region_summary__52[[#This Row],[REJECTED BY Admin Kabupaten]]</f>
        <v>3</v>
      </c>
    </row>
    <row r="110" spans="1:13" x14ac:dyDescent="0.25">
      <c r="A110" s="5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region_summary__52[[#This Row],[REJECTED BY Pengawas]]+region_summary__52[[#This Row],[REJECTED BY Admin Kabupaten]]</f>
        <v>3</v>
      </c>
    </row>
    <row r="111" spans="1:13" x14ac:dyDescent="0.25">
      <c r="A111" s="5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region_summary__52[[#This Row],[REJECTED BY Pengawas]]+region_summary__52[[#This Row],[REJECTED BY Admin Kabupaten]]</f>
        <v>3</v>
      </c>
    </row>
    <row r="112" spans="1:13" x14ac:dyDescent="0.25">
      <c r="A112" s="5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region_summary__52[[#This Row],[REJECTED BY Pengawas]]+region_summary__52[[#This Row],[REJECTED BY Admin Kabupaten]]</f>
        <v>2</v>
      </c>
    </row>
    <row r="113" spans="1:13" x14ac:dyDescent="0.25">
      <c r="A113" s="5" t="s">
        <v>29</v>
      </c>
      <c r="B113">
        <v>7172011011000400</v>
      </c>
      <c r="C113">
        <v>71</v>
      </c>
      <c r="D113">
        <v>0</v>
      </c>
      <c r="E113">
        <v>0</v>
      </c>
      <c r="F113">
        <v>0</v>
      </c>
      <c r="G113">
        <v>71</v>
      </c>
      <c r="H113">
        <v>0</v>
      </c>
      <c r="I113">
        <v>0</v>
      </c>
      <c r="J113">
        <v>0</v>
      </c>
      <c r="K113">
        <v>0</v>
      </c>
      <c r="L113">
        <v>0</v>
      </c>
      <c r="M113">
        <f>region_summary__52[[#This Row],[REJECTED BY Pengawas]]+region_summary__52[[#This Row],[REJECTED BY Admin Kabupaten]]</f>
        <v>0</v>
      </c>
    </row>
    <row r="114" spans="1:13" x14ac:dyDescent="0.25">
      <c r="A114" s="5" t="s">
        <v>29</v>
      </c>
      <c r="B114">
        <v>7172011002001300</v>
      </c>
      <c r="C114">
        <v>63</v>
      </c>
      <c r="D114">
        <v>7</v>
      </c>
      <c r="E114">
        <v>5</v>
      </c>
      <c r="F114">
        <v>0</v>
      </c>
      <c r="G114">
        <v>48</v>
      </c>
      <c r="H114">
        <v>0</v>
      </c>
      <c r="I114">
        <v>0</v>
      </c>
      <c r="J114">
        <v>0</v>
      </c>
      <c r="K114">
        <v>3</v>
      </c>
      <c r="L114">
        <v>0</v>
      </c>
      <c r="M114">
        <f>region_summary__52[[#This Row],[REJECTED BY Pengawas]]+region_summary__52[[#This Row],[REJECTED BY Admin Kabupaten]]</f>
        <v>0</v>
      </c>
    </row>
    <row r="115" spans="1:13" x14ac:dyDescent="0.25">
      <c r="A115" s="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region_summary__52[[#This Row],[REJECTED BY Pengawas]]+region_summary__52[[#This Row],[REJECTED BY Admin Kabupaten]]</f>
        <v>0</v>
      </c>
    </row>
    <row r="116" spans="1:13" x14ac:dyDescent="0.25">
      <c r="A116" s="5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region_summary__52[[#This Row],[REJECTED BY Pengawas]]+region_summary__52[[#This Row],[REJECTED BY Admin Kabupaten]]</f>
        <v>0</v>
      </c>
    </row>
    <row r="117" spans="1:13" x14ac:dyDescent="0.25">
      <c r="A117" s="5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region_summary__52[[#This Row],[REJECTED BY Pengawas]]+region_summary__52[[#This Row],[REJECTED BY Admin Kabupaten]]</f>
        <v>0</v>
      </c>
    </row>
    <row r="118" spans="1:13" x14ac:dyDescent="0.25">
      <c r="A118" s="5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region_summary__52[[#This Row],[REJECTED BY Pengawas]]+region_summary__52[[#This Row],[REJECTED BY Admin Kabupaten]]</f>
        <v>0</v>
      </c>
    </row>
    <row r="119" spans="1:13" x14ac:dyDescent="0.25">
      <c r="A119" s="5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region_summary__52[[#This Row],[REJECTED BY Pengawas]]+region_summary__52[[#This Row],[REJECTED BY Admin Kabupaten]]</f>
        <v>0</v>
      </c>
    </row>
    <row r="120" spans="1:13" x14ac:dyDescent="0.25">
      <c r="A120" s="5" t="s">
        <v>30</v>
      </c>
      <c r="B120">
        <v>7172011003000700</v>
      </c>
      <c r="C120">
        <v>147</v>
      </c>
      <c r="D120">
        <v>77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17</v>
      </c>
      <c r="L120">
        <v>0</v>
      </c>
      <c r="M120">
        <f>region_summary__52[[#This Row],[REJECTED BY Pengawas]]+region_summary__52[[#This Row],[REJECTED BY Admin Kabupaten]]</f>
        <v>2</v>
      </c>
    </row>
    <row r="121" spans="1:13" x14ac:dyDescent="0.25">
      <c r="A121" s="5" t="s">
        <v>30</v>
      </c>
      <c r="B121">
        <v>7172011003000100</v>
      </c>
      <c r="C121">
        <v>123</v>
      </c>
      <c r="D121">
        <v>0</v>
      </c>
      <c r="E121">
        <v>3</v>
      </c>
      <c r="F121">
        <v>0</v>
      </c>
      <c r="G121">
        <v>108</v>
      </c>
      <c r="H121">
        <v>0</v>
      </c>
      <c r="I121">
        <v>0</v>
      </c>
      <c r="J121">
        <v>0</v>
      </c>
      <c r="K121">
        <v>12</v>
      </c>
      <c r="L121">
        <v>0</v>
      </c>
      <c r="M121">
        <f>region_summary__52[[#This Row],[REJECTED BY Pengawas]]+region_summary__52[[#This Row],[REJECTED BY Admin Kabupaten]]</f>
        <v>0</v>
      </c>
    </row>
    <row r="122" spans="1:13" x14ac:dyDescent="0.25">
      <c r="A122" s="5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region_summary__52[[#This Row],[REJECTED BY Pengawas]]+region_summary__52[[#This Row],[REJECTED BY Admin Kabupaten]]</f>
        <v>0</v>
      </c>
    </row>
    <row r="123" spans="1:13" x14ac:dyDescent="0.25">
      <c r="A123" s="5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region_summary__52[[#This Row],[REJECTED BY Pengawas]]+region_summary__52[[#This Row],[REJECTED BY Admin Kabupaten]]</f>
        <v>0</v>
      </c>
    </row>
    <row r="124" spans="1:13" x14ac:dyDescent="0.25">
      <c r="A124" s="5" t="s">
        <v>33</v>
      </c>
      <c r="B124">
        <v>7172011003003503</v>
      </c>
      <c r="C124">
        <v>124</v>
      </c>
      <c r="D124">
        <v>36</v>
      </c>
      <c r="E124">
        <v>12</v>
      </c>
      <c r="F124">
        <v>3</v>
      </c>
      <c r="G124">
        <v>62</v>
      </c>
      <c r="H124">
        <v>0</v>
      </c>
      <c r="I124">
        <v>6</v>
      </c>
      <c r="J124">
        <v>0</v>
      </c>
      <c r="K124">
        <v>5</v>
      </c>
      <c r="L124">
        <v>0</v>
      </c>
      <c r="M124">
        <f>region_summary__52[[#This Row],[REJECTED BY Pengawas]]+region_summary__52[[#This Row],[REJECTED BY Admin Kabupaten]]</f>
        <v>6</v>
      </c>
    </row>
    <row r="125" spans="1:13" x14ac:dyDescent="0.25">
      <c r="A125" s="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region_summary__52[[#This Row],[REJECTED BY Pengawas]]+region_summary__52[[#This Row],[REJECTED BY Admin Kabupaten]]</f>
        <v>0</v>
      </c>
    </row>
    <row r="126" spans="1:13" x14ac:dyDescent="0.25">
      <c r="A126" s="5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region_summary__52[[#This Row],[REJECTED BY Pengawas]]+region_summary__52[[#This Row],[REJECTED BY Admin Kabupaten]]</f>
        <v>0</v>
      </c>
    </row>
    <row r="127" spans="1:13" x14ac:dyDescent="0.25">
      <c r="A127" s="5" t="s">
        <v>33</v>
      </c>
      <c r="B127">
        <v>7172011003000800</v>
      </c>
      <c r="C127">
        <v>108</v>
      </c>
      <c r="D127">
        <v>1</v>
      </c>
      <c r="E127">
        <v>4</v>
      </c>
      <c r="F127">
        <v>0</v>
      </c>
      <c r="G127">
        <v>57</v>
      </c>
      <c r="H127">
        <v>0</v>
      </c>
      <c r="I127">
        <v>0</v>
      </c>
      <c r="J127">
        <v>0</v>
      </c>
      <c r="K127">
        <v>46</v>
      </c>
      <c r="L127">
        <v>0</v>
      </c>
      <c r="M127">
        <f>region_summary__52[[#This Row],[REJECTED BY Pengawas]]+region_summary__52[[#This Row],[REJECTED BY Admin Kabupaten]]</f>
        <v>0</v>
      </c>
    </row>
    <row r="128" spans="1:13" x14ac:dyDescent="0.25">
      <c r="A128" s="5" t="s">
        <v>33</v>
      </c>
      <c r="B128">
        <v>7172011003003502</v>
      </c>
      <c r="C128">
        <v>73</v>
      </c>
      <c r="D128">
        <v>63</v>
      </c>
      <c r="E128">
        <v>5</v>
      </c>
      <c r="F128">
        <v>1</v>
      </c>
      <c r="G128">
        <v>0</v>
      </c>
      <c r="H128">
        <v>0</v>
      </c>
      <c r="I128">
        <v>4</v>
      </c>
      <c r="J128">
        <v>0</v>
      </c>
      <c r="K128">
        <v>0</v>
      </c>
      <c r="L128">
        <v>0</v>
      </c>
      <c r="M128">
        <f>region_summary__52[[#This Row],[REJECTED BY Pengawas]]+region_summary__52[[#This Row],[REJECTED BY Admin Kabupaten]]</f>
        <v>4</v>
      </c>
    </row>
    <row r="129" spans="1:13" x14ac:dyDescent="0.25">
      <c r="A129" s="5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region_summary__52[[#This Row],[REJECTED BY Pengawas]]+region_summary__52[[#This Row],[REJECTED BY Admin Kabupaten]]</f>
        <v>2</v>
      </c>
    </row>
    <row r="130" spans="1:13" x14ac:dyDescent="0.25">
      <c r="A130" s="5" t="s">
        <v>51</v>
      </c>
      <c r="B130">
        <v>7172012001000500</v>
      </c>
      <c r="C130">
        <v>188</v>
      </c>
      <c r="D130">
        <v>181</v>
      </c>
      <c r="E130">
        <v>3</v>
      </c>
      <c r="F130">
        <v>0</v>
      </c>
      <c r="G130">
        <v>3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region_summary__52[[#This Row],[REJECTED BY Pengawas]]+region_summary__52[[#This Row],[REJECTED BY Admin Kabupaten]]</f>
        <v>0</v>
      </c>
    </row>
    <row r="131" spans="1:13" x14ac:dyDescent="0.25">
      <c r="A131" s="5" t="s">
        <v>51</v>
      </c>
      <c r="B131">
        <v>7172012001001001</v>
      </c>
      <c r="C131">
        <v>175</v>
      </c>
      <c r="D131">
        <v>122</v>
      </c>
      <c r="E131">
        <v>2</v>
      </c>
      <c r="F131">
        <v>0</v>
      </c>
      <c r="G131">
        <v>44</v>
      </c>
      <c r="H131">
        <v>0</v>
      </c>
      <c r="I131">
        <v>0</v>
      </c>
      <c r="J131">
        <v>0</v>
      </c>
      <c r="K131">
        <v>7</v>
      </c>
      <c r="L131">
        <v>0</v>
      </c>
      <c r="M131">
        <f>region_summary__52[[#This Row],[REJECTED BY Pengawas]]+region_summary__52[[#This Row],[REJECTED BY Admin Kabupaten]]</f>
        <v>0</v>
      </c>
    </row>
    <row r="132" spans="1:13" x14ac:dyDescent="0.25">
      <c r="A132" s="5" t="s">
        <v>51</v>
      </c>
      <c r="B132">
        <v>7172012001000601</v>
      </c>
      <c r="C132">
        <v>142</v>
      </c>
      <c r="D132">
        <v>0</v>
      </c>
      <c r="E132">
        <v>0</v>
      </c>
      <c r="F132">
        <v>0</v>
      </c>
      <c r="G132">
        <v>142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region_summary__52[[#This Row],[REJECTED BY Pengawas]]+region_summary__52[[#This Row],[REJECTED BY Admin Kabupaten]]</f>
        <v>0</v>
      </c>
    </row>
    <row r="133" spans="1:13" x14ac:dyDescent="0.25">
      <c r="A133" s="5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region_summary__52[[#This Row],[REJECTED BY Pengawas]]+region_summary__52[[#This Row],[REJECTED BY Admin Kabupaten]]</f>
        <v>1</v>
      </c>
    </row>
    <row r="134" spans="1:13" x14ac:dyDescent="0.25">
      <c r="A134" s="5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region_summary__52[[#This Row],[REJECTED BY Pengawas]]+region_summary__52[[#This Row],[REJECTED BY Admin Kabupaten]]</f>
        <v>0</v>
      </c>
    </row>
    <row r="135" spans="1:13" x14ac:dyDescent="0.25">
      <c r="A135" s="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region_summary__52[[#This Row],[REJECTED BY Pengawas]]+region_summary__52[[#This Row],[REJECTED BY Admin Kabupaten]]</f>
        <v>0</v>
      </c>
    </row>
    <row r="136" spans="1:13" x14ac:dyDescent="0.25">
      <c r="A136" s="5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region_summary__52[[#This Row],[REJECTED BY Pengawas]]+region_summary__52[[#This Row],[REJECTED BY Admin Kabupaten]]</f>
        <v>0</v>
      </c>
    </row>
    <row r="137" spans="1:13" x14ac:dyDescent="0.25">
      <c r="A137" s="5" t="s">
        <v>55</v>
      </c>
      <c r="B137">
        <v>7172012002001200</v>
      </c>
      <c r="C137">
        <v>62</v>
      </c>
      <c r="D137">
        <v>6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0</v>
      </c>
      <c r="K137">
        <v>17</v>
      </c>
      <c r="L137">
        <v>0</v>
      </c>
      <c r="M137">
        <f>region_summary__52[[#This Row],[REJECTED BY Pengawas]]+region_summary__52[[#This Row],[REJECTED BY Admin Kabupaten]]</f>
        <v>0</v>
      </c>
    </row>
    <row r="138" spans="1:13" x14ac:dyDescent="0.25">
      <c r="A138" s="5" t="s">
        <v>58</v>
      </c>
      <c r="B138">
        <v>7172012003000400</v>
      </c>
      <c r="C138">
        <v>141</v>
      </c>
      <c r="D138">
        <v>115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3</v>
      </c>
      <c r="L138">
        <v>0</v>
      </c>
      <c r="M138">
        <f>region_summary__52[[#This Row],[REJECTED BY Pengawas]]+region_summary__52[[#This Row],[REJECTED BY Admin Kabupaten]]</f>
        <v>0</v>
      </c>
    </row>
    <row r="139" spans="1:13" x14ac:dyDescent="0.25">
      <c r="A139" s="5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region_summary__52[[#This Row],[REJECTED BY Pengawas]]+region_summary__52[[#This Row],[REJECTED BY Admin Kabupaten]]</f>
        <v>0</v>
      </c>
    </row>
    <row r="140" spans="1:13" x14ac:dyDescent="0.25">
      <c r="A140" s="5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region_summary__52[[#This Row],[REJECTED BY Pengawas]]+region_summary__52[[#This Row],[REJECTED BY Admin Kabupaten]]</f>
        <v>0</v>
      </c>
    </row>
    <row r="141" spans="1:13" x14ac:dyDescent="0.25">
      <c r="A141" s="5" t="s">
        <v>58</v>
      </c>
      <c r="B141">
        <v>7172012003000700</v>
      </c>
      <c r="C141">
        <v>74</v>
      </c>
      <c r="D141">
        <v>58</v>
      </c>
      <c r="E141">
        <v>6</v>
      </c>
      <c r="F141">
        <v>0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region_summary__52[[#This Row],[REJECTED BY Pengawas]]+region_summary__52[[#This Row],[REJECTED BY Admin Kabupaten]]</f>
        <v>0</v>
      </c>
    </row>
    <row r="142" spans="1:13" x14ac:dyDescent="0.25">
      <c r="A142" s="5" t="s">
        <v>58</v>
      </c>
      <c r="B142">
        <v>7172012003000300</v>
      </c>
      <c r="C142">
        <v>73</v>
      </c>
      <c r="D142">
        <v>69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2</v>
      </c>
      <c r="L142">
        <v>0</v>
      </c>
      <c r="M142">
        <f>region_summary__52[[#This Row],[REJECTED BY Pengawas]]+region_summary__52[[#This Row],[REJECTED BY Admin Kabupaten]]</f>
        <v>0</v>
      </c>
    </row>
    <row r="143" spans="1:13" x14ac:dyDescent="0.25">
      <c r="A143" s="5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region_summary__52[[#This Row],[REJECTED BY Pengawas]]+region_summary__52[[#This Row],[REJECTED BY Admin Kabupaten]]</f>
        <v>0</v>
      </c>
    </row>
    <row r="144" spans="1:13" x14ac:dyDescent="0.25">
      <c r="A144" s="5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region_summary__52[[#This Row],[REJECTED BY Pengawas]]+region_summary__52[[#This Row],[REJECTED BY Admin Kabupaten]]</f>
        <v>0</v>
      </c>
    </row>
    <row r="145" spans="1:13" x14ac:dyDescent="0.25">
      <c r="A145" s="5" t="s">
        <v>40</v>
      </c>
      <c r="B145">
        <v>7172011004001200</v>
      </c>
      <c r="C145">
        <v>192</v>
      </c>
      <c r="D145">
        <v>68</v>
      </c>
      <c r="E145">
        <v>72</v>
      </c>
      <c r="F145">
        <v>0</v>
      </c>
      <c r="G145">
        <v>24</v>
      </c>
      <c r="H145">
        <v>0</v>
      </c>
      <c r="I145">
        <v>1</v>
      </c>
      <c r="J145">
        <v>0</v>
      </c>
      <c r="K145">
        <v>27</v>
      </c>
      <c r="L145">
        <v>0</v>
      </c>
      <c r="M145">
        <f>region_summary__52[[#This Row],[REJECTED BY Pengawas]]+region_summary__52[[#This Row],[REJECTED BY Admin Kabupaten]]</f>
        <v>1</v>
      </c>
    </row>
    <row r="146" spans="1:13" x14ac:dyDescent="0.25">
      <c r="A146" s="5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region_summary__52[[#This Row],[REJECTED BY Pengawas]]+region_summary__52[[#This Row],[REJECTED BY Admin Kabupaten]]</f>
        <v>21</v>
      </c>
    </row>
    <row r="147" spans="1:13" x14ac:dyDescent="0.25">
      <c r="A147" s="5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region_summary__52[[#This Row],[REJECTED BY Pengawas]]+region_summary__52[[#This Row],[REJECTED BY Admin Kabupaten]]</f>
        <v>0</v>
      </c>
    </row>
    <row r="148" spans="1:13" x14ac:dyDescent="0.25">
      <c r="A148" s="5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region_summary__52[[#This Row],[REJECTED BY Pengawas]]+region_summary__52[[#This Row],[REJECTED BY Admin Kabupaten]]</f>
        <v>21</v>
      </c>
    </row>
    <row r="149" spans="1:13" x14ac:dyDescent="0.25">
      <c r="A149" s="5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region_summary__52[[#This Row],[REJECTED BY Pengawas]]+region_summary__52[[#This Row],[REJECTED BY Admin Kabupaten]]</f>
        <v>0</v>
      </c>
    </row>
    <row r="150" spans="1:13" x14ac:dyDescent="0.25">
      <c r="A150" s="5" t="s">
        <v>43</v>
      </c>
      <c r="B150">
        <v>7172011011001600</v>
      </c>
      <c r="C150">
        <v>251</v>
      </c>
      <c r="D150">
        <v>92</v>
      </c>
      <c r="E150">
        <v>27</v>
      </c>
      <c r="F150">
        <v>0</v>
      </c>
      <c r="G150">
        <v>125</v>
      </c>
      <c r="H150">
        <v>0</v>
      </c>
      <c r="I150">
        <v>0</v>
      </c>
      <c r="J150">
        <v>0</v>
      </c>
      <c r="K150">
        <v>7</v>
      </c>
      <c r="L150">
        <v>0</v>
      </c>
      <c r="M150">
        <f>region_summary__52[[#This Row],[REJECTED BY Pengawas]]+region_summary__52[[#This Row],[REJECTED BY Admin Kabupaten]]</f>
        <v>0</v>
      </c>
    </row>
    <row r="151" spans="1:13" x14ac:dyDescent="0.25">
      <c r="A151" s="5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region_summary__52[[#This Row],[REJECTED BY Pengawas]]+region_summary__52[[#This Row],[REJECTED BY Admin Kabupaten]]</f>
        <v>0</v>
      </c>
    </row>
    <row r="152" spans="1:13" x14ac:dyDescent="0.25">
      <c r="A152" s="5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region_summary__52[[#This Row],[REJECTED BY Pengawas]]+region_summary__52[[#This Row],[REJECTED BY Admin Kabupaten]]</f>
        <v>0</v>
      </c>
    </row>
    <row r="153" spans="1:13" x14ac:dyDescent="0.25">
      <c r="A153" s="5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region_summary__52[[#This Row],[REJECTED BY Pengawas]]+region_summary__52[[#This Row],[REJECTED BY Admin Kabupaten]]</f>
        <v>1</v>
      </c>
    </row>
    <row r="154" spans="1:13" x14ac:dyDescent="0.25">
      <c r="A154" s="5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region_summary__52[[#This Row],[REJECTED BY Pengawas]]+region_summary__52[[#This Row],[REJECTED BY Admin Kabupaten]]</f>
        <v>0</v>
      </c>
    </row>
    <row r="155" spans="1:13" x14ac:dyDescent="0.25">
      <c r="A155" s="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region_summary__52[[#This Row],[REJECTED BY Pengawas]]+region_summary__52[[#This Row],[REJECTED BY Admin Kabupaten]]</f>
        <v>0</v>
      </c>
    </row>
    <row r="156" spans="1:13" x14ac:dyDescent="0.25">
      <c r="A156" s="5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region_summary__52[[#This Row],[REJECTED BY Pengawas]]+region_summary__52[[#This Row],[REJECTED BY Admin Kabupaten]]</f>
        <v>0</v>
      </c>
    </row>
    <row r="157" spans="1:13" x14ac:dyDescent="0.25">
      <c r="A157" s="5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region_summary__52[[#This Row],[REJECTED BY Pengawas]]+region_summary__52[[#This Row],[REJECTED BY Admin Kabupaten]]</f>
        <v>0</v>
      </c>
    </row>
    <row r="158" spans="1:13" x14ac:dyDescent="0.25">
      <c r="A158" s="5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region_summary__52[[#This Row],[REJECTED BY Pengawas]]+region_summary__52[[#This Row],[REJECTED BY Admin Kabupaten]]</f>
        <v>0</v>
      </c>
    </row>
    <row r="159" spans="1:13" x14ac:dyDescent="0.25">
      <c r="A159" s="5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region_summary__52[[#This Row],[REJECTED BY Pengawas]]+region_summary__52[[#This Row],[REJECTED BY Admin Kabupaten]]</f>
        <v>0</v>
      </c>
    </row>
    <row r="160" spans="1:13" x14ac:dyDescent="0.25">
      <c r="A160" s="5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region_summary__52[[#This Row],[REJECTED BY Pengawas]]+region_summary__52[[#This Row],[REJECTED BY Admin Kabupaten]]</f>
        <v>0</v>
      </c>
    </row>
    <row r="161" spans="1:13" x14ac:dyDescent="0.25">
      <c r="A161" s="5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region_summary__52[[#This Row],[REJECTED BY Pengawas]]+region_summary__52[[#This Row],[REJECTED BY Admin Kabupaten]]</f>
        <v>0</v>
      </c>
    </row>
    <row r="162" spans="1:13" x14ac:dyDescent="0.25">
      <c r="A162" s="5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region_summary__52[[#This Row],[REJECTED BY Pengawas]]+region_summary__52[[#This Row],[REJECTED BY Admin Kabupaten]]</f>
        <v>0</v>
      </c>
    </row>
    <row r="163" spans="1:13" x14ac:dyDescent="0.25">
      <c r="A163" s="5" t="s">
        <v>34</v>
      </c>
      <c r="B163">
        <v>7172011003000900</v>
      </c>
      <c r="C163">
        <v>159</v>
      </c>
      <c r="D163">
        <v>18</v>
      </c>
      <c r="E163">
        <v>13</v>
      </c>
      <c r="F163">
        <v>0</v>
      </c>
      <c r="G163">
        <v>114</v>
      </c>
      <c r="H163">
        <v>0</v>
      </c>
      <c r="I163">
        <v>1</v>
      </c>
      <c r="J163">
        <v>0</v>
      </c>
      <c r="K163">
        <v>13</v>
      </c>
      <c r="L163">
        <v>0</v>
      </c>
      <c r="M163">
        <f>region_summary__52[[#This Row],[REJECTED BY Pengawas]]+region_summary__52[[#This Row],[REJECTED BY Admin Kabupaten]]</f>
        <v>1</v>
      </c>
    </row>
    <row r="164" spans="1:13" x14ac:dyDescent="0.25">
      <c r="A164" s="5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region_summary__52[[#This Row],[REJECTED BY Pengawas]]+region_summary__52[[#This Row],[REJECTED BY Admin Kabupaten]]</f>
        <v>1</v>
      </c>
    </row>
    <row r="165" spans="1:13" x14ac:dyDescent="0.25">
      <c r="A165" s="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region_summary__52[[#This Row],[REJECTED BY Pengawas]]+region_summary__52[[#This Row],[REJECTED BY Admin Kabupaten]]</f>
        <v>0</v>
      </c>
    </row>
    <row r="166" spans="1:13" x14ac:dyDescent="0.25">
      <c r="A166" s="5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region_summary__52[[#This Row],[REJECTED BY Pengawas]]+region_summary__52[[#This Row],[REJECTED BY Admin Kabupaten]]</f>
        <v>0</v>
      </c>
    </row>
    <row r="167" spans="1:13" x14ac:dyDescent="0.25">
      <c r="A167" s="5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region_summary__52[[#This Row],[REJECTED BY Pengawas]]+region_summary__52[[#This Row],[REJECTED BY Admin Kabupaten]]</f>
        <v>1</v>
      </c>
    </row>
    <row r="168" spans="1:13" x14ac:dyDescent="0.25">
      <c r="A168" s="5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region_summary__52[[#This Row],[REJECTED BY Pengawas]]+region_summary__52[[#This Row],[REJECTED BY Admin Kabupaten]]</f>
        <v>0</v>
      </c>
    </row>
    <row r="169" spans="1:13" x14ac:dyDescent="0.25">
      <c r="A169" s="5" t="s">
        <v>47</v>
      </c>
      <c r="B169">
        <v>7172011014000300</v>
      </c>
      <c r="C169">
        <v>196</v>
      </c>
      <c r="D169">
        <v>28</v>
      </c>
      <c r="E169">
        <v>10</v>
      </c>
      <c r="F169">
        <v>0</v>
      </c>
      <c r="G169">
        <v>80</v>
      </c>
      <c r="H169">
        <v>0</v>
      </c>
      <c r="I169">
        <v>0</v>
      </c>
      <c r="J169">
        <v>0</v>
      </c>
      <c r="K169">
        <v>77</v>
      </c>
      <c r="L169">
        <v>1</v>
      </c>
      <c r="M169">
        <f>region_summary__52[[#This Row],[REJECTED BY Pengawas]]+region_summary__52[[#This Row],[REJECTED BY Admin Kabupaten]]</f>
        <v>0</v>
      </c>
    </row>
    <row r="170" spans="1:13" x14ac:dyDescent="0.25">
      <c r="A170" s="5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region_summary__52[[#This Row],[REJECTED BY Pengawas]]+region_summary__52[[#This Row],[REJECTED BY Admin Kabupaten]]</f>
        <v>16</v>
      </c>
    </row>
    <row r="171" spans="1:13" x14ac:dyDescent="0.25">
      <c r="A171" s="5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region_summary__52[[#This Row],[REJECTED BY Pengawas]]+region_summary__52[[#This Row],[REJECTED BY Admin Kabupaten]]</f>
        <v>0</v>
      </c>
    </row>
    <row r="172" spans="1:13" x14ac:dyDescent="0.25">
      <c r="A172" s="5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region_summary__52[[#This Row],[REJECTED BY Pengawas]]+region_summary__52[[#This Row],[REJECTED BY Admin Kabupaten]]</f>
        <v>0</v>
      </c>
    </row>
    <row r="173" spans="1:13" x14ac:dyDescent="0.25">
      <c r="A173" s="5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region_summary__52[[#This Row],[REJECTED BY Pengawas]]+region_summary__52[[#This Row],[REJECTED BY Admin Kabupaten]]</f>
        <v>0</v>
      </c>
    </row>
    <row r="174" spans="1:13" x14ac:dyDescent="0.25">
      <c r="A174" s="5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region_summary__52[[#This Row],[REJECTED BY Pengawas]]+region_summary__52[[#This Row],[REJECTED BY Admin Kabupaten]]</f>
        <v>0</v>
      </c>
    </row>
    <row r="175" spans="1:13" x14ac:dyDescent="0.25">
      <c r="A175" s="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region_summary__52[[#This Row],[REJECTED BY Pengawas]]+region_summary__52[[#This Row],[REJECTED BY Admin Kabupaten]]</f>
        <v>0</v>
      </c>
    </row>
    <row r="176" spans="1:13" x14ac:dyDescent="0.25">
      <c r="A176" s="5" t="s">
        <v>53</v>
      </c>
      <c r="B176">
        <v>7172012002001600</v>
      </c>
      <c r="C176">
        <v>117</v>
      </c>
      <c r="D176">
        <v>21</v>
      </c>
      <c r="E176">
        <v>0</v>
      </c>
      <c r="F176">
        <v>0</v>
      </c>
      <c r="G176">
        <v>38</v>
      </c>
      <c r="H176">
        <v>0</v>
      </c>
      <c r="I176">
        <v>0</v>
      </c>
      <c r="J176">
        <v>0</v>
      </c>
      <c r="K176">
        <v>58</v>
      </c>
      <c r="L176">
        <v>0</v>
      </c>
      <c r="M176">
        <f>region_summary__52[[#This Row],[REJECTED BY Pengawas]]+region_summary__52[[#This Row],[REJECTED BY Admin Kabupaten]]</f>
        <v>0</v>
      </c>
    </row>
    <row r="177" spans="1:13" x14ac:dyDescent="0.25">
      <c r="A177" s="5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region_summary__52[[#This Row],[REJECTED BY Pengawas]]+region_summary__52[[#This Row],[REJECTED BY Admin Kabupaten]]</f>
        <v>0</v>
      </c>
    </row>
    <row r="178" spans="1:13" x14ac:dyDescent="0.25">
      <c r="A178" s="5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region_summary__52[[#This Row],[REJECTED BY Pengawas]]+region_summary__52[[#This Row],[REJECTED BY Admin Kabupaten]]</f>
        <v>0</v>
      </c>
    </row>
    <row r="179" spans="1:13" x14ac:dyDescent="0.25">
      <c r="A179" s="5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region_summary__52[[#This Row],[REJECTED BY Pengawas]]+region_summary__52[[#This Row],[REJECTED BY Admin Kabupaten]]</f>
        <v>3</v>
      </c>
    </row>
    <row r="180" spans="1:13" x14ac:dyDescent="0.25">
      <c r="A180" s="5" t="s">
        <v>48</v>
      </c>
      <c r="B180">
        <v>7172011014001100</v>
      </c>
      <c r="C180">
        <v>202</v>
      </c>
      <c r="D180">
        <v>136</v>
      </c>
      <c r="E180">
        <v>12</v>
      </c>
      <c r="F180">
        <v>3</v>
      </c>
      <c r="G180">
        <v>46</v>
      </c>
      <c r="H180">
        <v>0</v>
      </c>
      <c r="I180">
        <v>3</v>
      </c>
      <c r="J180">
        <v>0</v>
      </c>
      <c r="K180">
        <v>2</v>
      </c>
      <c r="L180">
        <v>0</v>
      </c>
      <c r="M180">
        <f>region_summary__52[[#This Row],[REJECTED BY Pengawas]]+region_summary__52[[#This Row],[REJECTED BY Admin Kabupaten]]</f>
        <v>3</v>
      </c>
    </row>
    <row r="181" spans="1:13" x14ac:dyDescent="0.25">
      <c r="A181" s="5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region_summary__52[[#This Row],[REJECTED BY Pengawas]]+region_summary__52[[#This Row],[REJECTED BY Admin Kabupaten]]</f>
        <v>0</v>
      </c>
    </row>
    <row r="182" spans="1:13" x14ac:dyDescent="0.25">
      <c r="A182" s="5" t="s">
        <v>48</v>
      </c>
      <c r="B182">
        <v>7172011014000900</v>
      </c>
      <c r="C182">
        <v>114</v>
      </c>
      <c r="D182">
        <v>13</v>
      </c>
      <c r="E182">
        <v>10</v>
      </c>
      <c r="F182">
        <v>0</v>
      </c>
      <c r="G182">
        <v>50</v>
      </c>
      <c r="H182">
        <v>0</v>
      </c>
      <c r="I182">
        <v>1</v>
      </c>
      <c r="J182">
        <v>0</v>
      </c>
      <c r="K182">
        <v>40</v>
      </c>
      <c r="L182">
        <v>0</v>
      </c>
      <c r="M182">
        <f>region_summary__52[[#This Row],[REJECTED BY Pengawas]]+region_summary__52[[#This Row],[REJECTED BY Admin Kabupaten]]</f>
        <v>1</v>
      </c>
    </row>
    <row r="183" spans="1:13" x14ac:dyDescent="0.25">
      <c r="A183" s="5" t="s">
        <v>48</v>
      </c>
      <c r="B183">
        <v>7172011014000500</v>
      </c>
      <c r="C183">
        <v>111</v>
      </c>
      <c r="D183">
        <v>37</v>
      </c>
      <c r="E183">
        <v>8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43</v>
      </c>
      <c r="L183">
        <v>0</v>
      </c>
      <c r="M183">
        <f>region_summary__52[[#This Row],[REJECTED BY Pengawas]]+region_summary__52[[#This Row],[REJECTED BY Admin Kabupaten]]</f>
        <v>0</v>
      </c>
    </row>
    <row r="184" spans="1:13" x14ac:dyDescent="0.25">
      <c r="A184" s="5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region_summary__52[[#This Row],[REJECTED BY Pengawas]]+region_summary__52[[#This Row],[REJECTED BY Admin Kabupaten]]</f>
        <v>0</v>
      </c>
    </row>
    <row r="185" spans="1:13" x14ac:dyDescent="0.25">
      <c r="A185" s="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85</v>
      </c>
      <c r="H185">
        <v>0</v>
      </c>
      <c r="I185">
        <v>2</v>
      </c>
      <c r="J185">
        <v>0</v>
      </c>
      <c r="K185">
        <v>0</v>
      </c>
      <c r="L185">
        <v>0</v>
      </c>
      <c r="M185">
        <f>region_summary__52[[#This Row],[REJECTED BY Pengawas]]+region_summary__52[[#This Row],[REJECTED BY Admin Kabupaten]]</f>
        <v>2</v>
      </c>
    </row>
    <row r="186" spans="1:13" x14ac:dyDescent="0.25">
      <c r="A186" s="5" t="s">
        <v>52</v>
      </c>
      <c r="B186">
        <v>7172012001000602</v>
      </c>
      <c r="C186">
        <v>266</v>
      </c>
      <c r="D186">
        <v>147</v>
      </c>
      <c r="E186">
        <v>2</v>
      </c>
      <c r="F186">
        <v>1</v>
      </c>
      <c r="G186">
        <v>116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region_summary__52[[#This Row],[REJECTED BY Pengawas]]+region_summary__52[[#This Row],[REJECTED BY Admin Kabupaten]]</f>
        <v>0</v>
      </c>
    </row>
    <row r="187" spans="1:13" x14ac:dyDescent="0.25">
      <c r="A187" s="5" t="s">
        <v>49</v>
      </c>
      <c r="B187">
        <v>7172012002000101</v>
      </c>
      <c r="C187">
        <v>166</v>
      </c>
      <c r="D187">
        <v>74</v>
      </c>
      <c r="E187">
        <v>7</v>
      </c>
      <c r="F187">
        <v>0</v>
      </c>
      <c r="G187">
        <v>41</v>
      </c>
      <c r="H187">
        <v>0</v>
      </c>
      <c r="I187">
        <v>31</v>
      </c>
      <c r="J187">
        <v>0</v>
      </c>
      <c r="K187">
        <v>13</v>
      </c>
      <c r="L187">
        <v>0</v>
      </c>
      <c r="M187">
        <f>region_summary__52[[#This Row],[REJECTED BY Pengawas]]+region_summary__52[[#This Row],[REJECTED BY Admin Kabupaten]]</f>
        <v>31</v>
      </c>
    </row>
    <row r="188" spans="1:13" x14ac:dyDescent="0.25">
      <c r="A188" s="5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region_summary__52[[#This Row],[REJECTED BY Pengawas]]+region_summary__52[[#This Row],[REJECTED BY Admin Kabupaten]]</f>
        <v>6</v>
      </c>
    </row>
    <row r="189" spans="1:13" x14ac:dyDescent="0.25">
      <c r="A189" s="5" t="s">
        <v>49</v>
      </c>
      <c r="B189">
        <v>7172012001000100</v>
      </c>
      <c r="C189">
        <v>125</v>
      </c>
      <c r="D189">
        <v>118</v>
      </c>
      <c r="E189">
        <v>0</v>
      </c>
      <c r="F189">
        <v>0</v>
      </c>
      <c r="G189">
        <v>0</v>
      </c>
      <c r="H189">
        <v>0</v>
      </c>
      <c r="I189">
        <v>7</v>
      </c>
      <c r="J189">
        <v>0</v>
      </c>
      <c r="K189">
        <v>0</v>
      </c>
      <c r="L189">
        <v>0</v>
      </c>
      <c r="M189">
        <f>region_summary__52[[#This Row],[REJECTED BY Pengawas]]+region_summary__52[[#This Row],[REJECTED BY Admin Kabupaten]]</f>
        <v>7</v>
      </c>
    </row>
    <row r="190" spans="1:13" x14ac:dyDescent="0.25">
      <c r="A190" s="5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region_summary__52[[#This Row],[REJECTED BY Pengawas]]+region_summary__52[[#This Row],[REJECTED BY Admin Kabupaten]]</f>
        <v>0</v>
      </c>
    </row>
    <row r="191" spans="1:13" x14ac:dyDescent="0.25">
      <c r="A191" s="5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region_summary__52[[#This Row],[REJECTED BY Pengawas]]+region_summary__52[[#This Row],[REJECTED BY Admin Kabupaten]]</f>
        <v>0</v>
      </c>
    </row>
    <row r="192" spans="1:13" x14ac:dyDescent="0.25">
      <c r="A192" s="5" t="s">
        <v>49</v>
      </c>
      <c r="B192">
        <v>7172012002000102</v>
      </c>
      <c r="C192">
        <v>78</v>
      </c>
      <c r="D192">
        <v>2</v>
      </c>
      <c r="E192">
        <v>10</v>
      </c>
      <c r="F192">
        <v>0</v>
      </c>
      <c r="G192">
        <v>59</v>
      </c>
      <c r="H192">
        <v>0</v>
      </c>
      <c r="I192">
        <v>0</v>
      </c>
      <c r="J192">
        <v>0</v>
      </c>
      <c r="K192">
        <v>7</v>
      </c>
      <c r="L192">
        <v>0</v>
      </c>
      <c r="M192">
        <f>region_summary__52[[#This Row],[REJECTED BY Pengawas]]+region_summary__52[[#This Row],[REJECTED BY Admin Kabupaten]]</f>
        <v>0</v>
      </c>
    </row>
    <row r="193" spans="1:13" x14ac:dyDescent="0.25">
      <c r="A193" s="5" t="s">
        <v>57</v>
      </c>
      <c r="B193">
        <v>7172012003000800</v>
      </c>
      <c r="C193">
        <v>181</v>
      </c>
      <c r="D193">
        <v>104</v>
      </c>
      <c r="E193">
        <v>14</v>
      </c>
      <c r="F193">
        <v>0</v>
      </c>
      <c r="G193">
        <v>51</v>
      </c>
      <c r="H193">
        <v>0</v>
      </c>
      <c r="I193">
        <v>0</v>
      </c>
      <c r="J193">
        <v>0</v>
      </c>
      <c r="K193">
        <v>12</v>
      </c>
      <c r="L193">
        <v>0</v>
      </c>
      <c r="M193">
        <f>region_summary__52[[#This Row],[REJECTED BY Pengawas]]+region_summary__52[[#This Row],[REJECTED BY Admin Kabupaten]]</f>
        <v>0</v>
      </c>
    </row>
    <row r="194" spans="1:13" x14ac:dyDescent="0.25">
      <c r="A194" s="5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region_summary__52[[#This Row],[REJECTED BY Pengawas]]+region_summary__52[[#This Row],[REJECTED BY Admin Kabupaten]]</f>
        <v>0</v>
      </c>
    </row>
    <row r="195" spans="1:13" x14ac:dyDescent="0.25">
      <c r="A195" s="5" t="s">
        <v>57</v>
      </c>
      <c r="B195">
        <v>7172012003000600</v>
      </c>
      <c r="C195">
        <v>90</v>
      </c>
      <c r="D195">
        <v>74</v>
      </c>
      <c r="E195">
        <v>1</v>
      </c>
      <c r="F195">
        <v>0</v>
      </c>
      <c r="G195">
        <v>14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region_summary__52[[#This Row],[REJECTED BY Pengawas]]+region_summary__52[[#This Row],[REJECTED BY Admin Kabupaten]]</f>
        <v>0</v>
      </c>
    </row>
    <row r="196" spans="1:13" x14ac:dyDescent="0.25">
      <c r="A196" s="5" t="s">
        <v>57</v>
      </c>
      <c r="B196">
        <v>7172012003001200</v>
      </c>
      <c r="C196">
        <v>84</v>
      </c>
      <c r="D196">
        <v>6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8</v>
      </c>
      <c r="L196">
        <v>0</v>
      </c>
      <c r="M196">
        <f>region_summary__52[[#This Row],[REJECTED BY Pengawas]]+region_summary__52[[#This Row],[REJECTED BY Admin Kabupaten]]</f>
        <v>0</v>
      </c>
    </row>
    <row r="197" spans="1:13" x14ac:dyDescent="0.25">
      <c r="A197" s="5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region_summary__52[[#This Row],[REJECTED BY Pengawas]]+region_summary__52[[#This Row],[REJECTED BY Admin Kabupaten]]</f>
        <v>0</v>
      </c>
    </row>
    <row r="198" spans="1:13" x14ac:dyDescent="0.25">
      <c r="A198" s="5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region_summary__52[[#This Row],[REJECTED BY Pengawas]]+region_summary__52[[#This Row],[REJECTED BY Admin Kabupaten]]</f>
        <v>0</v>
      </c>
    </row>
    <row r="199" spans="1:13" x14ac:dyDescent="0.25">
      <c r="A199" s="5" t="s">
        <v>57</v>
      </c>
      <c r="B199">
        <v>7172012003000900</v>
      </c>
      <c r="C199">
        <v>60</v>
      </c>
      <c r="D199">
        <v>0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4</v>
      </c>
      <c r="L199">
        <v>0</v>
      </c>
      <c r="M199">
        <f>region_summary__52[[#This Row],[REJECTED BY Pengawas]]+region_summary__52[[#This Row],[REJECTED BY Admin Kabupaten]]</f>
        <v>0</v>
      </c>
    </row>
    <row r="200" spans="1:13" x14ac:dyDescent="0.25">
      <c r="A200" s="5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region_summary__52[[#This Row],[REJECTED BY Pengawas]]+region_summary__52[[#This Row],[REJECTED BY Admin Kabupaten]]</f>
        <v>0</v>
      </c>
    </row>
    <row r="201" spans="1:13" x14ac:dyDescent="0.25">
      <c r="A201" s="5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region_summary__52[[#This Row],[REJECTED BY Pengawas]]+region_summary__52[[#This Row],[REJECTED BY Admin Kabupaten]]</f>
        <v>0</v>
      </c>
    </row>
    <row r="202" spans="1:13" x14ac:dyDescent="0.25">
      <c r="A202" s="5" t="s">
        <v>238</v>
      </c>
      <c r="B202">
        <v>7172012004000600</v>
      </c>
      <c r="C202">
        <v>166</v>
      </c>
      <c r="D202">
        <v>65</v>
      </c>
      <c r="E202">
        <v>0</v>
      </c>
      <c r="F202">
        <v>0</v>
      </c>
      <c r="G202">
        <v>34</v>
      </c>
      <c r="H202">
        <v>0</v>
      </c>
      <c r="I202">
        <v>0</v>
      </c>
      <c r="J202">
        <v>0</v>
      </c>
      <c r="K202">
        <v>67</v>
      </c>
      <c r="L202">
        <v>0</v>
      </c>
      <c r="M202">
        <f>region_summary__52[[#This Row],[REJECTED BY Pengawas]]+region_summary__52[[#This Row],[REJECTED BY Admin Kabupaten]]</f>
        <v>0</v>
      </c>
    </row>
    <row r="203" spans="1:13" x14ac:dyDescent="0.25">
      <c r="A203" s="5" t="s">
        <v>238</v>
      </c>
      <c r="B203">
        <v>7172012004000700</v>
      </c>
      <c r="C203">
        <v>118</v>
      </c>
      <c r="D203">
        <v>73</v>
      </c>
      <c r="E203">
        <v>2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26</v>
      </c>
      <c r="L203">
        <v>0</v>
      </c>
      <c r="M203">
        <f>region_summary__52[[#This Row],[REJECTED BY Pengawas]]+region_summary__52[[#This Row],[REJECTED BY Admin Kabupaten]]</f>
        <v>0</v>
      </c>
    </row>
    <row r="204" spans="1:13" x14ac:dyDescent="0.25">
      <c r="A204" s="5" t="s">
        <v>238</v>
      </c>
      <c r="B204">
        <v>7172012004001001</v>
      </c>
      <c r="C204">
        <v>92</v>
      </c>
      <c r="D204">
        <v>0</v>
      </c>
      <c r="E204">
        <v>2</v>
      </c>
      <c r="F204">
        <v>0</v>
      </c>
      <c r="G204">
        <v>90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region_summary__52[[#This Row],[REJECTED BY Pengawas]]+region_summary__52[[#This Row],[REJECTED BY Admin Kabupaten]]</f>
        <v>0</v>
      </c>
    </row>
    <row r="205" spans="1:13" x14ac:dyDescent="0.25">
      <c r="A205" s="5" t="s">
        <v>238</v>
      </c>
      <c r="B205">
        <v>7172012004000400</v>
      </c>
      <c r="C205">
        <v>91</v>
      </c>
      <c r="D205">
        <v>12</v>
      </c>
      <c r="E205">
        <v>10</v>
      </c>
      <c r="F205">
        <v>0</v>
      </c>
      <c r="G205">
        <v>58</v>
      </c>
      <c r="H205">
        <v>0</v>
      </c>
      <c r="I205">
        <v>0</v>
      </c>
      <c r="J205">
        <v>0</v>
      </c>
      <c r="K205">
        <v>11</v>
      </c>
      <c r="L205">
        <v>0</v>
      </c>
      <c r="M205">
        <f>region_summary__52[[#This Row],[REJECTED BY Pengawas]]+region_summary__52[[#This Row],[REJECTED BY Admin Kabupaten]]</f>
        <v>0</v>
      </c>
    </row>
    <row r="206" spans="1:13" x14ac:dyDescent="0.25">
      <c r="A206" s="5" t="s">
        <v>238</v>
      </c>
      <c r="B206">
        <v>7172012004000800</v>
      </c>
      <c r="C206">
        <v>78</v>
      </c>
      <c r="D206">
        <v>55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17</v>
      </c>
      <c r="L206">
        <v>0</v>
      </c>
      <c r="M206">
        <f>region_summary__52[[#This Row],[REJECTED BY Pengawas]]+region_summary__52[[#This Row],[REJECTED BY Admin Kabupaten]]</f>
        <v>0</v>
      </c>
    </row>
    <row r="207" spans="1:13" x14ac:dyDescent="0.25">
      <c r="A207" s="5" t="s">
        <v>61</v>
      </c>
      <c r="B207">
        <v>7172012004001201</v>
      </c>
      <c r="C207">
        <v>240</v>
      </c>
      <c r="D207">
        <v>29</v>
      </c>
      <c r="E207">
        <v>4</v>
      </c>
      <c r="F207">
        <v>0</v>
      </c>
      <c r="G207">
        <v>203</v>
      </c>
      <c r="H207">
        <v>0</v>
      </c>
      <c r="I207">
        <v>0</v>
      </c>
      <c r="J207">
        <v>0</v>
      </c>
      <c r="K207">
        <v>4</v>
      </c>
      <c r="L207">
        <v>0</v>
      </c>
      <c r="M207">
        <f>region_summary__52[[#This Row],[REJECTED BY Pengawas]]+region_summary__52[[#This Row],[REJECTED BY Admin Kabupaten]]</f>
        <v>0</v>
      </c>
    </row>
    <row r="208" spans="1:13" x14ac:dyDescent="0.25">
      <c r="A208" s="5" t="s">
        <v>61</v>
      </c>
      <c r="B208">
        <v>7172012004001100</v>
      </c>
      <c r="C208">
        <v>180</v>
      </c>
      <c r="D208">
        <v>139</v>
      </c>
      <c r="E208">
        <v>0</v>
      </c>
      <c r="F208">
        <v>2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region_summary__52[[#This Row],[REJECTED BY Pengawas]]+region_summary__52[[#This Row],[REJECTED BY Admin Kabupaten]]</f>
        <v>0</v>
      </c>
    </row>
    <row r="209" spans="1:13" x14ac:dyDescent="0.25">
      <c r="A209" s="5" t="s">
        <v>61</v>
      </c>
      <c r="B209">
        <v>7172012004001202</v>
      </c>
      <c r="C209">
        <v>133</v>
      </c>
      <c r="D209">
        <v>90</v>
      </c>
      <c r="E209">
        <v>4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8</v>
      </c>
      <c r="L209">
        <v>0</v>
      </c>
      <c r="M209">
        <f>region_summary__52[[#This Row],[REJECTED BY Pengawas]]+region_summary__52[[#This Row],[REJECTED BY Admin Kabupaten]]</f>
        <v>0</v>
      </c>
    </row>
    <row r="210" spans="1:13" x14ac:dyDescent="0.25">
      <c r="A210" s="5" t="s">
        <v>61</v>
      </c>
      <c r="B210">
        <v>7172012004001003</v>
      </c>
      <c r="C210">
        <v>93</v>
      </c>
      <c r="D210">
        <v>19</v>
      </c>
      <c r="E210">
        <v>0</v>
      </c>
      <c r="F210">
        <v>0</v>
      </c>
      <c r="G210">
        <v>74</v>
      </c>
      <c r="H210">
        <v>0</v>
      </c>
      <c r="I210">
        <v>0</v>
      </c>
      <c r="J210">
        <v>0</v>
      </c>
      <c r="K210">
        <v>0</v>
      </c>
      <c r="L210">
        <v>0</v>
      </c>
      <c r="M210">
        <f>region_summary__52[[#This Row],[REJECTED BY Pengawas]]+region_summary__52[[#This Row],[REJECTED BY Admin Kabupaten]]</f>
        <v>0</v>
      </c>
    </row>
    <row r="211" spans="1:13" x14ac:dyDescent="0.25">
      <c r="A211" s="5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region_summary__52[[#This Row],[REJECTED BY Pengawas]]+region_summary__52[[#This Row],[REJECTED BY Admin Kabupaten]]</f>
        <v>0</v>
      </c>
    </row>
    <row r="212" spans="1:13" x14ac:dyDescent="0.25">
      <c r="A212" s="5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region_summary__52[[#This Row],[REJECTED BY Pengawas]]+region_summary__52[[#This Row],[REJECTED BY Admin Kabupaten]]</f>
        <v>0</v>
      </c>
    </row>
    <row r="213" spans="1:13" x14ac:dyDescent="0.25">
      <c r="A213" s="5" t="s">
        <v>68</v>
      </c>
      <c r="B213">
        <v>7172012007001700</v>
      </c>
      <c r="C213">
        <v>136</v>
      </c>
      <c r="D213">
        <v>15</v>
      </c>
      <c r="E213">
        <v>44</v>
      </c>
      <c r="F213">
        <v>0</v>
      </c>
      <c r="G213">
        <v>56</v>
      </c>
      <c r="H213">
        <v>0</v>
      </c>
      <c r="I213">
        <v>2</v>
      </c>
      <c r="J213">
        <v>0</v>
      </c>
      <c r="K213">
        <v>19</v>
      </c>
      <c r="L213">
        <v>0</v>
      </c>
      <c r="M213">
        <f>region_summary__52[[#This Row],[REJECTED BY Pengawas]]+region_summary__52[[#This Row],[REJECTED BY Admin Kabupaten]]</f>
        <v>2</v>
      </c>
    </row>
    <row r="214" spans="1:13" x14ac:dyDescent="0.25">
      <c r="A214" s="5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region_summary__52[[#This Row],[REJECTED BY Pengawas]]+region_summary__52[[#This Row],[REJECTED BY Admin Kabupaten]]</f>
        <v>0</v>
      </c>
    </row>
    <row r="215" spans="1:13" x14ac:dyDescent="0.25">
      <c r="A215" s="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3</v>
      </c>
      <c r="J215">
        <v>0</v>
      </c>
      <c r="K215">
        <v>1</v>
      </c>
      <c r="L215">
        <v>0</v>
      </c>
      <c r="M215">
        <f>region_summary__52[[#This Row],[REJECTED BY Pengawas]]+region_summary__52[[#This Row],[REJECTED BY Admin Kabupaten]]</f>
        <v>3</v>
      </c>
    </row>
    <row r="216" spans="1:13" x14ac:dyDescent="0.25">
      <c r="A216" s="5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region_summary__52[[#This Row],[REJECTED BY Pengawas]]+region_summary__52[[#This Row],[REJECTED BY Admin Kabupaten]]</f>
        <v>0</v>
      </c>
    </row>
    <row r="217" spans="1:13" x14ac:dyDescent="0.25">
      <c r="A217" s="5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region_summary__52[[#This Row],[REJECTED BY Pengawas]]+region_summary__52[[#This Row],[REJECTED BY Admin Kabupaten]]</f>
        <v>0</v>
      </c>
    </row>
    <row r="218" spans="1:13" x14ac:dyDescent="0.25">
      <c r="A218" s="5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region_summary__52[[#This Row],[REJECTED BY Pengawas]]+region_summary__52[[#This Row],[REJECTED BY Admin Kabupaten]]</f>
        <v>0</v>
      </c>
    </row>
    <row r="219" spans="1:13" x14ac:dyDescent="0.25">
      <c r="A219" s="5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region_summary__52[[#This Row],[REJECTED BY Pengawas]]+region_summary__52[[#This Row],[REJECTED BY Admin Kabupaten]]</f>
        <v>0</v>
      </c>
    </row>
    <row r="220" spans="1:13" x14ac:dyDescent="0.25">
      <c r="A220" s="5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f>region_summary__52[[#This Row],[REJECTED BY Pengawas]]+region_summary__52[[#This Row],[REJECTED BY Admin Kabupaten]]</f>
        <v>0</v>
      </c>
    </row>
    <row r="221" spans="1:13" x14ac:dyDescent="0.25">
      <c r="A221" s="5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region_summary__52[[#This Row],[REJECTED BY Pengawas]]+region_summary__52[[#This Row],[REJECTED BY Admin Kabupaten]]</f>
        <v>0</v>
      </c>
    </row>
    <row r="222" spans="1:13" x14ac:dyDescent="0.25">
      <c r="A222" s="5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region_summary__52[[#This Row],[REJECTED BY Pengawas]]+region_summary__52[[#This Row],[REJECTED BY Admin Kabupaten]]</f>
        <v>0</v>
      </c>
    </row>
    <row r="223" spans="1:13" x14ac:dyDescent="0.25">
      <c r="A223" s="5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region_summary__52[[#This Row],[REJECTED BY Pengawas]]+region_summary__52[[#This Row],[REJECTED BY Admin Kabupaten]]</f>
        <v>0</v>
      </c>
    </row>
    <row r="224" spans="1:13" x14ac:dyDescent="0.25">
      <c r="A224" s="5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region_summary__52[[#This Row],[REJECTED BY Pengawas]]+region_summary__52[[#This Row],[REJECTED BY Admin Kabupaten]]</f>
        <v>0</v>
      </c>
    </row>
    <row r="225" spans="1:13" x14ac:dyDescent="0.25">
      <c r="A225" s="5" t="s">
        <v>66</v>
      </c>
      <c r="B225">
        <v>7172012005002400</v>
      </c>
      <c r="C225">
        <v>52</v>
      </c>
      <c r="D225">
        <v>39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1</v>
      </c>
      <c r="L225">
        <v>0</v>
      </c>
      <c r="M225">
        <f>region_summary__52[[#This Row],[REJECTED BY Pengawas]]+region_summary__52[[#This Row],[REJECTED BY Admin Kabupaten]]</f>
        <v>0</v>
      </c>
    </row>
    <row r="226" spans="1:13" x14ac:dyDescent="0.25">
      <c r="A226" s="5" t="s">
        <v>66</v>
      </c>
      <c r="B226">
        <v>7172012005002300</v>
      </c>
      <c r="C226">
        <v>50</v>
      </c>
      <c r="D226">
        <v>22</v>
      </c>
      <c r="E226">
        <v>6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9</v>
      </c>
      <c r="L226">
        <v>0</v>
      </c>
      <c r="M226">
        <f>region_summary__52[[#This Row],[REJECTED BY Pengawas]]+region_summary__52[[#This Row],[REJECTED BY Admin Kabupaten]]</f>
        <v>1</v>
      </c>
    </row>
    <row r="227" spans="1:13" x14ac:dyDescent="0.25">
      <c r="A227" s="5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region_summary__52[[#This Row],[REJECTED BY Pengawas]]+region_summary__52[[#This Row],[REJECTED BY Admin Kabupaten]]</f>
        <v>0</v>
      </c>
    </row>
    <row r="228" spans="1:13" x14ac:dyDescent="0.25">
      <c r="A228" s="5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region_summary__52[[#This Row],[REJECTED BY Pengawas]]+region_summary__52[[#This Row],[REJECTED BY Admin Kabupaten]]</f>
        <v>0</v>
      </c>
    </row>
    <row r="229" spans="1:13" x14ac:dyDescent="0.25">
      <c r="A229" s="5" t="s">
        <v>66</v>
      </c>
      <c r="B229">
        <v>7172012005002100</v>
      </c>
      <c r="C229">
        <v>36</v>
      </c>
      <c r="D229">
        <v>24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3</v>
      </c>
      <c r="L229">
        <v>0</v>
      </c>
      <c r="M229">
        <f>region_summary__52[[#This Row],[REJECTED BY Pengawas]]+region_summary__52[[#This Row],[REJECTED BY Admin Kabupaten]]</f>
        <v>0</v>
      </c>
    </row>
    <row r="230" spans="1:13" x14ac:dyDescent="0.25">
      <c r="A230" s="5" t="s">
        <v>66</v>
      </c>
      <c r="B230">
        <v>7172012005002000</v>
      </c>
      <c r="C230">
        <v>28</v>
      </c>
      <c r="D230">
        <v>16</v>
      </c>
      <c r="E230">
        <v>2</v>
      </c>
      <c r="F230">
        <v>0</v>
      </c>
      <c r="G230">
        <v>6</v>
      </c>
      <c r="H230">
        <v>0</v>
      </c>
      <c r="I230">
        <v>0</v>
      </c>
      <c r="J230">
        <v>0</v>
      </c>
      <c r="K230">
        <v>4</v>
      </c>
      <c r="L230">
        <v>0</v>
      </c>
      <c r="M230">
        <f>region_summary__52[[#This Row],[REJECTED BY Pengawas]]+region_summary__52[[#This Row],[REJECTED BY Admin Kabupaten]]</f>
        <v>0</v>
      </c>
    </row>
    <row r="231" spans="1:13" x14ac:dyDescent="0.25">
      <c r="A231" s="5" t="s">
        <v>69</v>
      </c>
      <c r="B231">
        <v>7172012006000801</v>
      </c>
      <c r="C231">
        <v>165</v>
      </c>
      <c r="D231">
        <v>109</v>
      </c>
      <c r="E231">
        <v>7</v>
      </c>
      <c r="F231">
        <v>2</v>
      </c>
      <c r="G231">
        <v>23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region_summary__52[[#This Row],[REJECTED BY Pengawas]]+region_summary__52[[#This Row],[REJECTED BY Admin Kabupaten]]</f>
        <v>0</v>
      </c>
    </row>
    <row r="232" spans="1:13" x14ac:dyDescent="0.25">
      <c r="A232" s="5" t="s">
        <v>69</v>
      </c>
      <c r="B232">
        <v>7172012006000700</v>
      </c>
      <c r="C232">
        <v>137</v>
      </c>
      <c r="D232">
        <v>0</v>
      </c>
      <c r="E232">
        <v>3</v>
      </c>
      <c r="F232">
        <v>0</v>
      </c>
      <c r="G232">
        <v>110</v>
      </c>
      <c r="H232">
        <v>0</v>
      </c>
      <c r="I232">
        <v>0</v>
      </c>
      <c r="J232">
        <v>0</v>
      </c>
      <c r="K232">
        <v>24</v>
      </c>
      <c r="L232">
        <v>0</v>
      </c>
      <c r="M232">
        <f>region_summary__52[[#This Row],[REJECTED BY Pengawas]]+region_summary__52[[#This Row],[REJECTED BY Admin Kabupaten]]</f>
        <v>0</v>
      </c>
    </row>
    <row r="233" spans="1:13" x14ac:dyDescent="0.25">
      <c r="A233" s="5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region_summary__52[[#This Row],[REJECTED BY Pengawas]]+region_summary__52[[#This Row],[REJECTED BY Admin Kabupaten]]</f>
        <v>0</v>
      </c>
    </row>
    <row r="234" spans="1:13" x14ac:dyDescent="0.25">
      <c r="A234" s="5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region_summary__52[[#This Row],[REJECTED BY Pengawas]]+region_summary__52[[#This Row],[REJECTED BY Admin Kabupaten]]</f>
        <v>0</v>
      </c>
    </row>
    <row r="235" spans="1:13" x14ac:dyDescent="0.25">
      <c r="A235" s="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region_summary__52[[#This Row],[REJECTED BY Pengawas]]+region_summary__52[[#This Row],[REJECTED BY Admin Kabupaten]]</f>
        <v>0</v>
      </c>
    </row>
    <row r="236" spans="1:13" x14ac:dyDescent="0.25">
      <c r="A236" s="5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region_summary__52[[#This Row],[REJECTED BY Pengawas]]+region_summary__52[[#This Row],[REJECTED BY Admin Kabupaten]]</f>
        <v>0</v>
      </c>
    </row>
    <row r="237" spans="1:13" x14ac:dyDescent="0.25">
      <c r="A237" s="5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region_summary__52[[#This Row],[REJECTED BY Pengawas]]+region_summary__52[[#This Row],[REJECTED BY Admin Kabupaten]]</f>
        <v>0</v>
      </c>
    </row>
    <row r="238" spans="1:13" x14ac:dyDescent="0.25">
      <c r="A238" s="5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2</v>
      </c>
      <c r="J238">
        <v>0</v>
      </c>
      <c r="K238">
        <v>17</v>
      </c>
      <c r="L238">
        <v>0</v>
      </c>
      <c r="M238">
        <f>region_summary__52[[#This Row],[REJECTED BY Pengawas]]+region_summary__52[[#This Row],[REJECTED BY Admin Kabupaten]]</f>
        <v>2</v>
      </c>
    </row>
    <row r="239" spans="1:13" x14ac:dyDescent="0.25">
      <c r="A239" s="5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region_summary__52[[#This Row],[REJECTED BY Pengawas]]+region_summary__52[[#This Row],[REJECTED BY Admin Kabupaten]]</f>
        <v>0</v>
      </c>
    </row>
    <row r="240" spans="1:13" x14ac:dyDescent="0.25">
      <c r="A240" s="5" t="s">
        <v>73</v>
      </c>
      <c r="B240">
        <v>7172012007001600</v>
      </c>
      <c r="C240">
        <v>93</v>
      </c>
      <c r="D240">
        <v>5</v>
      </c>
      <c r="E240">
        <v>15</v>
      </c>
      <c r="F240">
        <v>0</v>
      </c>
      <c r="G240">
        <v>64</v>
      </c>
      <c r="H240">
        <v>0</v>
      </c>
      <c r="I240">
        <v>0</v>
      </c>
      <c r="J240">
        <v>0</v>
      </c>
      <c r="K240">
        <v>9</v>
      </c>
      <c r="L240">
        <v>0</v>
      </c>
      <c r="M240">
        <f>region_summary__52[[#This Row],[REJECTED BY Pengawas]]+region_summary__52[[#This Row],[REJECTED BY Admin Kabupaten]]</f>
        <v>0</v>
      </c>
    </row>
    <row r="241" spans="1:13" x14ac:dyDescent="0.25">
      <c r="A241" s="5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region_summary__52[[#This Row],[REJECTED BY Pengawas]]+region_summary__52[[#This Row],[REJECTED BY Admin Kabupaten]]</f>
        <v>0</v>
      </c>
    </row>
    <row r="242" spans="1:13" x14ac:dyDescent="0.25">
      <c r="A242" s="5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73</v>
      </c>
      <c r="H242">
        <v>0</v>
      </c>
      <c r="I242">
        <v>0</v>
      </c>
      <c r="J242">
        <v>0</v>
      </c>
      <c r="K242">
        <v>1</v>
      </c>
      <c r="L242">
        <v>0</v>
      </c>
      <c r="M242">
        <f>region_summary__52[[#This Row],[REJECTED BY Pengawas]]+region_summary__52[[#This Row],[REJECTED BY Admin Kabupaten]]</f>
        <v>0</v>
      </c>
    </row>
    <row r="243" spans="1:13" x14ac:dyDescent="0.25">
      <c r="A243" s="5" t="s">
        <v>77</v>
      </c>
      <c r="B243">
        <v>7172021003000400</v>
      </c>
      <c r="C243">
        <v>118</v>
      </c>
      <c r="D243">
        <v>116</v>
      </c>
      <c r="E243">
        <v>0</v>
      </c>
      <c r="F243">
        <v>1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region_summary__52[[#This Row],[REJECTED BY Pengawas]]+region_summary__52[[#This Row],[REJECTED BY Admin Kabupaten]]</f>
        <v>0</v>
      </c>
    </row>
    <row r="244" spans="1:13" x14ac:dyDescent="0.25">
      <c r="A244" s="5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region_summary__52[[#This Row],[REJECTED BY Pengawas]]+region_summary__52[[#This Row],[REJECTED BY Admin Kabupaten]]</f>
        <v>0</v>
      </c>
    </row>
    <row r="245" spans="1:13" x14ac:dyDescent="0.25">
      <c r="A245" s="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region_summary__52[[#This Row],[REJECTED BY Pengawas]]+region_summary__52[[#This Row],[REJECTED BY Admin Kabupaten]]</f>
        <v>0</v>
      </c>
    </row>
    <row r="246" spans="1:13" x14ac:dyDescent="0.25">
      <c r="A246" s="5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region_summary__52[[#This Row],[REJECTED BY Pengawas]]+region_summary__52[[#This Row],[REJECTED BY Admin Kabupaten]]</f>
        <v>0</v>
      </c>
    </row>
    <row r="247" spans="1:13" x14ac:dyDescent="0.25">
      <c r="A247" s="5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24</v>
      </c>
      <c r="H247">
        <v>0</v>
      </c>
      <c r="I247">
        <v>0</v>
      </c>
      <c r="J247">
        <v>0</v>
      </c>
      <c r="K247">
        <v>12</v>
      </c>
      <c r="L247">
        <v>0</v>
      </c>
      <c r="M247">
        <f>region_summary__52[[#This Row],[REJECTED BY Pengawas]]+region_summary__52[[#This Row],[REJECTED BY Admin Kabupaten]]</f>
        <v>0</v>
      </c>
    </row>
    <row r="248" spans="1:13" x14ac:dyDescent="0.25">
      <c r="A248" s="5" t="s">
        <v>239</v>
      </c>
      <c r="B248">
        <v>7172021006002200</v>
      </c>
      <c r="C248">
        <v>84</v>
      </c>
      <c r="D248">
        <v>47</v>
      </c>
      <c r="E248">
        <v>5</v>
      </c>
      <c r="F248">
        <v>0</v>
      </c>
      <c r="G248">
        <v>17</v>
      </c>
      <c r="H248">
        <v>0</v>
      </c>
      <c r="I248">
        <v>1</v>
      </c>
      <c r="J248">
        <v>0</v>
      </c>
      <c r="K248">
        <v>14</v>
      </c>
      <c r="L248">
        <v>0</v>
      </c>
      <c r="M248">
        <f>region_summary__52[[#This Row],[REJECTED BY Pengawas]]+region_summary__52[[#This Row],[REJECTED BY Admin Kabupaten]]</f>
        <v>1</v>
      </c>
    </row>
    <row r="249" spans="1:13" x14ac:dyDescent="0.25">
      <c r="A249" s="5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region_summary__52[[#This Row],[REJECTED BY Pengawas]]+region_summary__52[[#This Row],[REJECTED BY Admin Kabupaten]]</f>
        <v>0</v>
      </c>
    </row>
    <row r="250" spans="1:13" x14ac:dyDescent="0.25">
      <c r="A250" s="5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region_summary__52[[#This Row],[REJECTED BY Pengawas]]+region_summary__52[[#This Row],[REJECTED BY Admin Kabupaten]]</f>
        <v>0</v>
      </c>
    </row>
    <row r="251" spans="1:13" x14ac:dyDescent="0.25">
      <c r="A251" s="5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region_summary__52[[#This Row],[REJECTED BY Pengawas]]+region_summary__52[[#This Row],[REJECTED BY Admin Kabupaten]]</f>
        <v>0</v>
      </c>
    </row>
    <row r="252" spans="1:13" x14ac:dyDescent="0.25">
      <c r="A252" s="5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region_summary__52[[#This Row],[REJECTED BY Pengawas]]+region_summary__52[[#This Row],[REJECTED BY Admin Kabupaten]]</f>
        <v>0</v>
      </c>
    </row>
    <row r="253" spans="1:13" x14ac:dyDescent="0.25">
      <c r="A253" s="5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region_summary__52[[#This Row],[REJECTED BY Pengawas]]+region_summary__52[[#This Row],[REJECTED BY Admin Kabupaten]]</f>
        <v>0</v>
      </c>
    </row>
    <row r="254" spans="1:13" x14ac:dyDescent="0.25">
      <c r="A254" s="5" t="s">
        <v>239</v>
      </c>
      <c r="B254">
        <v>7172021007000200</v>
      </c>
      <c r="C254">
        <v>42</v>
      </c>
      <c r="D254">
        <v>11</v>
      </c>
      <c r="E254">
        <v>16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3</v>
      </c>
      <c r="L254">
        <v>0</v>
      </c>
      <c r="M254">
        <f>region_summary__52[[#This Row],[REJECTED BY Pengawas]]+region_summary__52[[#This Row],[REJECTED BY Admin Kabupaten]]</f>
        <v>0</v>
      </c>
    </row>
    <row r="255" spans="1:13" x14ac:dyDescent="0.25">
      <c r="A255" s="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region_summary__52[[#This Row],[REJECTED BY Pengawas]]+region_summary__52[[#This Row],[REJECTED BY Admin Kabupaten]]</f>
        <v>0</v>
      </c>
    </row>
    <row r="256" spans="1:13" x14ac:dyDescent="0.25">
      <c r="A256" s="5" t="s">
        <v>239</v>
      </c>
      <c r="B256">
        <v>7172021007000300</v>
      </c>
      <c r="C256">
        <v>41</v>
      </c>
      <c r="D256">
        <v>6</v>
      </c>
      <c r="E256">
        <v>3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22</v>
      </c>
      <c r="L256">
        <v>0</v>
      </c>
      <c r="M256">
        <f>region_summary__52[[#This Row],[REJECTED BY Pengawas]]+region_summary__52[[#This Row],[REJECTED BY Admin Kabupaten]]</f>
        <v>1</v>
      </c>
    </row>
    <row r="257" spans="1:13" x14ac:dyDescent="0.25">
      <c r="A257" s="5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region_summary__52[[#This Row],[REJECTED BY Pengawas]]+region_summary__52[[#This Row],[REJECTED BY Admin Kabupaten]]</f>
        <v>0</v>
      </c>
    </row>
    <row r="258" spans="1:13" x14ac:dyDescent="0.25">
      <c r="A258" s="5" t="s">
        <v>82</v>
      </c>
      <c r="B258">
        <v>7172022001000200</v>
      </c>
      <c r="C258">
        <v>107</v>
      </c>
      <c r="D258">
        <v>97</v>
      </c>
      <c r="E258">
        <v>6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0</v>
      </c>
      <c r="L258">
        <v>0</v>
      </c>
      <c r="M258">
        <f>region_summary__52[[#This Row],[REJECTED BY Pengawas]]+region_summary__52[[#This Row],[REJECTED BY Admin Kabupaten]]</f>
        <v>0</v>
      </c>
    </row>
    <row r="259" spans="1:13" x14ac:dyDescent="0.25">
      <c r="A259" s="5" t="s">
        <v>82</v>
      </c>
      <c r="B259">
        <v>7172022001000300</v>
      </c>
      <c r="C259">
        <v>103</v>
      </c>
      <c r="D259">
        <v>59</v>
      </c>
      <c r="E259">
        <v>35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1</v>
      </c>
      <c r="L259">
        <v>0</v>
      </c>
      <c r="M259">
        <f>region_summary__52[[#This Row],[REJECTED BY Pengawas]]+region_summary__52[[#This Row],[REJECTED BY Admin Kabupaten]]</f>
        <v>0</v>
      </c>
    </row>
    <row r="260" spans="1:13" x14ac:dyDescent="0.25">
      <c r="A260" s="5" t="s">
        <v>82</v>
      </c>
      <c r="B260">
        <v>7172022001000400</v>
      </c>
      <c r="C260">
        <v>91</v>
      </c>
      <c r="D260">
        <v>0</v>
      </c>
      <c r="E260">
        <v>0</v>
      </c>
      <c r="F260">
        <v>0</v>
      </c>
      <c r="G260">
        <v>91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region_summary__52[[#This Row],[REJECTED BY Pengawas]]+region_summary__52[[#This Row],[REJECTED BY Admin Kabupaten]]</f>
        <v>0</v>
      </c>
    </row>
    <row r="261" spans="1:13" x14ac:dyDescent="0.25">
      <c r="A261" s="5" t="s">
        <v>82</v>
      </c>
      <c r="B261">
        <v>7172022001000100</v>
      </c>
      <c r="C261">
        <v>85</v>
      </c>
      <c r="D261">
        <v>78</v>
      </c>
      <c r="E261">
        <v>3</v>
      </c>
      <c r="F261">
        <v>1</v>
      </c>
      <c r="G261">
        <v>2</v>
      </c>
      <c r="H261">
        <v>0</v>
      </c>
      <c r="I261">
        <v>0</v>
      </c>
      <c r="J261">
        <v>0</v>
      </c>
      <c r="K261">
        <v>1</v>
      </c>
      <c r="L261">
        <v>0</v>
      </c>
      <c r="M261">
        <f>region_summary__52[[#This Row],[REJECTED BY Pengawas]]+region_summary__52[[#This Row],[REJECTED BY Admin Kabupaten]]</f>
        <v>0</v>
      </c>
    </row>
    <row r="262" spans="1:13" x14ac:dyDescent="0.25">
      <c r="A262" s="5" t="s">
        <v>82</v>
      </c>
      <c r="B262">
        <v>7172022001000500</v>
      </c>
      <c r="C262">
        <v>81</v>
      </c>
      <c r="D262">
        <v>0</v>
      </c>
      <c r="E262">
        <v>33</v>
      </c>
      <c r="F262">
        <v>0</v>
      </c>
      <c r="G262">
        <v>39</v>
      </c>
      <c r="H262">
        <v>0</v>
      </c>
      <c r="I262">
        <v>0</v>
      </c>
      <c r="J262">
        <v>0</v>
      </c>
      <c r="K262">
        <v>9</v>
      </c>
      <c r="L262">
        <v>0</v>
      </c>
      <c r="M262">
        <f>region_summary__52[[#This Row],[REJECTED BY Pengawas]]+region_summary__52[[#This Row],[REJECTED BY Admin Kabupaten]]</f>
        <v>0</v>
      </c>
    </row>
    <row r="263" spans="1:13" x14ac:dyDescent="0.25">
      <c r="A263" s="5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region_summary__52[[#This Row],[REJECTED BY Pengawas]]+region_summary__52[[#This Row],[REJECTED BY Admin Kabupaten]]</f>
        <v>0</v>
      </c>
    </row>
    <row r="264" spans="1:13" x14ac:dyDescent="0.25">
      <c r="A264" s="5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region_summary__52[[#This Row],[REJECTED BY Pengawas]]+region_summary__52[[#This Row],[REJECTED BY Admin Kabupaten]]</f>
        <v>0</v>
      </c>
    </row>
    <row r="265" spans="1:13" x14ac:dyDescent="0.25">
      <c r="A265" s="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region_summary__52[[#This Row],[REJECTED BY Pengawas]]+region_summary__52[[#This Row],[REJECTED BY Admin Kabupaten]]</f>
        <v>0</v>
      </c>
    </row>
    <row r="266" spans="1:13" x14ac:dyDescent="0.25">
      <c r="A266" s="5" t="s">
        <v>86</v>
      </c>
      <c r="B266">
        <v>7172022010000300</v>
      </c>
      <c r="C266">
        <v>47</v>
      </c>
      <c r="D266">
        <v>5</v>
      </c>
      <c r="E266">
        <v>20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19</v>
      </c>
      <c r="L266">
        <v>0</v>
      </c>
      <c r="M266">
        <f>region_summary__52[[#This Row],[REJECTED BY Pengawas]]+region_summary__52[[#This Row],[REJECTED BY Admin Kabupaten]]</f>
        <v>0</v>
      </c>
    </row>
    <row r="267" spans="1:13" x14ac:dyDescent="0.25">
      <c r="A267" s="5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region_summary__52[[#This Row],[REJECTED BY Pengawas]]+region_summary__52[[#This Row],[REJECTED BY Admin Kabupaten]]</f>
        <v>0</v>
      </c>
    </row>
    <row r="268" spans="1:13" x14ac:dyDescent="0.25">
      <c r="A268" s="5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45</v>
      </c>
      <c r="H268">
        <v>0</v>
      </c>
      <c r="I268">
        <v>0</v>
      </c>
      <c r="J268">
        <v>0</v>
      </c>
      <c r="K268">
        <v>0</v>
      </c>
      <c r="L268">
        <v>0</v>
      </c>
      <c r="M268">
        <f>region_summary__52[[#This Row],[REJECTED BY Pengawas]]+region_summary__52[[#This Row],[REJECTED BY Admin Kabupaten]]</f>
        <v>0</v>
      </c>
    </row>
    <row r="269" spans="1:13" x14ac:dyDescent="0.25">
      <c r="A269" s="5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region_summary__52[[#This Row],[REJECTED BY Pengawas]]+region_summary__52[[#This Row],[REJECTED BY Admin Kabupaten]]</f>
        <v>0</v>
      </c>
    </row>
    <row r="270" spans="1:13" x14ac:dyDescent="0.25">
      <c r="A270" s="5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region_summary__52[[#This Row],[REJECTED BY Pengawas]]+region_summary__52[[#This Row],[REJECTED BY Admin Kabupaten]]</f>
        <v>0</v>
      </c>
    </row>
    <row r="271" spans="1:13" x14ac:dyDescent="0.25">
      <c r="A271" s="5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region_summary__52[[#This Row],[REJECTED BY Pengawas]]+region_summary__52[[#This Row],[REJECTED BY Admin Kabupaten]]</f>
        <v>0</v>
      </c>
    </row>
    <row r="272" spans="1:13" x14ac:dyDescent="0.25">
      <c r="A272" s="5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region_summary__52[[#This Row],[REJECTED BY Pengawas]]+region_summary__52[[#This Row],[REJECTED BY Admin Kabupaten]]</f>
        <v>0</v>
      </c>
    </row>
    <row r="273" spans="1:13" x14ac:dyDescent="0.25">
      <c r="A273" s="5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region_summary__52[[#This Row],[REJECTED BY Pengawas]]+region_summary__52[[#This Row],[REJECTED BY Admin Kabupaten]]</f>
        <v>0</v>
      </c>
    </row>
    <row r="274" spans="1:13" x14ac:dyDescent="0.25">
      <c r="A274" s="5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region_summary__52[[#This Row],[REJECTED BY Pengawas]]+region_summary__52[[#This Row],[REJECTED BY Admin Kabupaten]]</f>
        <v>0</v>
      </c>
    </row>
    <row r="275" spans="1:13" x14ac:dyDescent="0.25">
      <c r="A275" s="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region_summary__52[[#This Row],[REJECTED BY Pengawas]]+region_summary__52[[#This Row],[REJECTED BY Admin Kabupaten]]</f>
        <v>0</v>
      </c>
    </row>
    <row r="276" spans="1:13" x14ac:dyDescent="0.25">
      <c r="A276" s="5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region_summary__52[[#This Row],[REJECTED BY Pengawas]]+region_summary__52[[#This Row],[REJECTED BY Admin Kabupaten]]</f>
        <v>0</v>
      </c>
    </row>
    <row r="277" spans="1:13" x14ac:dyDescent="0.25">
      <c r="A277" s="5" t="s">
        <v>84</v>
      </c>
      <c r="B277">
        <v>7172022006000600</v>
      </c>
      <c r="C277">
        <v>53</v>
      </c>
      <c r="D277">
        <v>17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11</v>
      </c>
      <c r="L277">
        <v>0</v>
      </c>
      <c r="M277">
        <f>region_summary__52[[#This Row],[REJECTED BY Pengawas]]+region_summary__52[[#This Row],[REJECTED BY Admin Kabupaten]]</f>
        <v>0</v>
      </c>
    </row>
    <row r="278" spans="1:13" x14ac:dyDescent="0.25">
      <c r="A278" s="5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region_summary__52[[#This Row],[REJECTED BY Pengawas]]+region_summary__52[[#This Row],[REJECTED BY Admin Kabupaten]]</f>
        <v>0</v>
      </c>
    </row>
    <row r="279" spans="1:13" x14ac:dyDescent="0.25">
      <c r="A279" s="5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region_summary__52[[#This Row],[REJECTED BY Pengawas]]+region_summary__52[[#This Row],[REJECTED BY Admin Kabupaten]]</f>
        <v>0</v>
      </c>
    </row>
    <row r="280" spans="1:13" x14ac:dyDescent="0.25">
      <c r="A280" s="5" t="s">
        <v>84</v>
      </c>
      <c r="B280">
        <v>7172022002000300</v>
      </c>
      <c r="C280">
        <v>36</v>
      </c>
      <c r="D280">
        <v>11</v>
      </c>
      <c r="E280">
        <v>0</v>
      </c>
      <c r="F280">
        <v>0</v>
      </c>
      <c r="G280">
        <v>23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region_summary__52[[#This Row],[REJECTED BY Pengawas]]+region_summary__52[[#This Row],[REJECTED BY Admin Kabupaten]]</f>
        <v>0</v>
      </c>
    </row>
    <row r="281" spans="1:13" x14ac:dyDescent="0.25">
      <c r="A281" s="5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region_summary__52[[#This Row],[REJECTED BY Pengawas]]+region_summary__52[[#This Row],[REJECTED BY Admin Kabupaten]]</f>
        <v>0</v>
      </c>
    </row>
    <row r="282" spans="1:13" x14ac:dyDescent="0.25">
      <c r="A282" s="5" t="s">
        <v>87</v>
      </c>
      <c r="B282">
        <v>7172022005000300</v>
      </c>
      <c r="C282">
        <v>53</v>
      </c>
      <c r="D282">
        <v>0</v>
      </c>
      <c r="E282">
        <v>8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11</v>
      </c>
      <c r="L282">
        <v>0</v>
      </c>
      <c r="M282">
        <f>region_summary__52[[#This Row],[REJECTED BY Pengawas]]+region_summary__52[[#This Row],[REJECTED BY Admin Kabupaten]]</f>
        <v>0</v>
      </c>
    </row>
    <row r="283" spans="1:13" x14ac:dyDescent="0.25">
      <c r="A283" s="5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region_summary__52[[#This Row],[REJECTED BY Pengawas]]+region_summary__52[[#This Row],[REJECTED BY Admin Kabupaten]]</f>
        <v>0</v>
      </c>
    </row>
    <row r="284" spans="1:13" x14ac:dyDescent="0.25">
      <c r="A284" s="5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region_summary__52[[#This Row],[REJECTED BY Pengawas]]+region_summary__52[[#This Row],[REJECTED BY Admin Kabupaten]]</f>
        <v>0</v>
      </c>
    </row>
    <row r="285" spans="1:13" x14ac:dyDescent="0.25">
      <c r="A285" s="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region_summary__52[[#This Row],[REJECTED BY Pengawas]]+region_summary__52[[#This Row],[REJECTED BY Admin Kabupaten]]</f>
        <v>0</v>
      </c>
    </row>
    <row r="286" spans="1:13" x14ac:dyDescent="0.25">
      <c r="A286" s="5" t="s">
        <v>87</v>
      </c>
      <c r="B286">
        <v>7172022005000400</v>
      </c>
      <c r="C286">
        <v>42</v>
      </c>
      <c r="D286">
        <v>10</v>
      </c>
      <c r="E286">
        <v>13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11</v>
      </c>
      <c r="L286">
        <v>0</v>
      </c>
      <c r="M286">
        <f>region_summary__52[[#This Row],[REJECTED BY Pengawas]]+region_summary__52[[#This Row],[REJECTED BY Admin Kabupaten]]</f>
        <v>0</v>
      </c>
    </row>
    <row r="287" spans="1:13" x14ac:dyDescent="0.25">
      <c r="A287" s="5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region_summary__52[[#This Row],[REJECTED BY Pengawas]]+region_summary__52[[#This Row],[REJECTED BY Admin Kabupaten]]</f>
        <v>0</v>
      </c>
    </row>
    <row r="288" spans="1:13" x14ac:dyDescent="0.25">
      <c r="A288" s="5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region_summary__52[[#This Row],[REJECTED BY Pengawas]]+region_summary__52[[#This Row],[REJECTED BY Admin Kabupaten]]</f>
        <v>0</v>
      </c>
    </row>
    <row r="289" spans="1:13" x14ac:dyDescent="0.25">
      <c r="A289" s="5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region_summary__52[[#This Row],[REJECTED BY Pengawas]]+region_summary__52[[#This Row],[REJECTED BY Admin Kabupaten]]</f>
        <v>0</v>
      </c>
    </row>
    <row r="290" spans="1:13" x14ac:dyDescent="0.25">
      <c r="A290" s="5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region_summary__52[[#This Row],[REJECTED BY Pengawas]]+region_summary__52[[#This Row],[REJECTED BY Admin Kabupaten]]</f>
        <v>0</v>
      </c>
    </row>
    <row r="291" spans="1:13" x14ac:dyDescent="0.25">
      <c r="A291" s="5" t="s">
        <v>240</v>
      </c>
      <c r="B291">
        <v>7172022007000400</v>
      </c>
      <c r="C291">
        <v>74</v>
      </c>
      <c r="D291">
        <v>1</v>
      </c>
      <c r="E291">
        <v>17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12</v>
      </c>
      <c r="L291">
        <v>0</v>
      </c>
      <c r="M291">
        <f>region_summary__52[[#This Row],[REJECTED BY Pengawas]]+region_summary__52[[#This Row],[REJECTED BY Admin Kabupaten]]</f>
        <v>0</v>
      </c>
    </row>
    <row r="292" spans="1:13" x14ac:dyDescent="0.25">
      <c r="A292" s="5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region_summary__52[[#This Row],[REJECTED BY Pengawas]]+region_summary__52[[#This Row],[REJECTED BY Admin Kabupaten]]</f>
        <v>0</v>
      </c>
    </row>
    <row r="293" spans="1:13" x14ac:dyDescent="0.25">
      <c r="A293" s="5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region_summary__52[[#This Row],[REJECTED BY Pengawas]]+region_summary__52[[#This Row],[REJECTED BY Admin Kabupaten]]</f>
        <v>0</v>
      </c>
    </row>
    <row r="294" spans="1:13" x14ac:dyDescent="0.25">
      <c r="A294" s="5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region_summary__52[[#This Row],[REJECTED BY Pengawas]]+region_summary__52[[#This Row],[REJECTED BY Admin Kabupaten]]</f>
        <v>0</v>
      </c>
    </row>
    <row r="295" spans="1:13" x14ac:dyDescent="0.25">
      <c r="A295" s="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region_summary__52[[#This Row],[REJECTED BY Pengawas]]+region_summary__52[[#This Row],[REJECTED BY Admin Kabupaten]]</f>
        <v>0</v>
      </c>
    </row>
    <row r="296" spans="1:13" x14ac:dyDescent="0.25">
      <c r="A296" s="5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region_summary__52[[#This Row],[REJECTED BY Pengawas]]+region_summary__52[[#This Row],[REJECTED BY Admin Kabupaten]]</f>
        <v>0</v>
      </c>
    </row>
    <row r="297" spans="1:13" x14ac:dyDescent="0.25">
      <c r="A297" s="5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region_summary__52[[#This Row],[REJECTED BY Pengawas]]+region_summary__52[[#This Row],[REJECTED BY Admin Kabupaten]]</f>
        <v>0</v>
      </c>
    </row>
    <row r="298" spans="1:13" x14ac:dyDescent="0.25">
      <c r="A298" s="5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region_summary__52[[#This Row],[REJECTED BY Pengawas]]+region_summary__52[[#This Row],[REJECTED BY Admin Kabupaten]]</f>
        <v>0</v>
      </c>
    </row>
    <row r="299" spans="1:13" x14ac:dyDescent="0.25">
      <c r="A299" s="5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region_summary__52[[#This Row],[REJECTED BY Pengawas]]+region_summary__52[[#This Row],[REJECTED BY Admin Kabupaten]]</f>
        <v>0</v>
      </c>
    </row>
    <row r="300" spans="1:13" x14ac:dyDescent="0.25">
      <c r="A300" s="5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region_summary__52[[#This Row],[REJECTED BY Pengawas]]+region_summary__52[[#This Row],[REJECTED BY Admin Kabupaten]]</f>
        <v>0</v>
      </c>
    </row>
    <row r="301" spans="1:13" x14ac:dyDescent="0.25">
      <c r="A301" s="5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region_summary__52[[#This Row],[REJECTED BY Pengawas]]+region_summary__52[[#This Row],[REJECTED BY Admin Kabupaten]]</f>
        <v>0</v>
      </c>
    </row>
    <row r="302" spans="1:13" x14ac:dyDescent="0.25">
      <c r="A302" s="5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region_summary__52[[#This Row],[REJECTED BY Pengawas]]+region_summary__52[[#This Row],[REJECTED BY Admin Kabupaten]]</f>
        <v>0</v>
      </c>
    </row>
    <row r="303" spans="1:13" x14ac:dyDescent="0.25">
      <c r="A303" s="5" t="s">
        <v>241</v>
      </c>
      <c r="B303">
        <v>7172030013000900</v>
      </c>
      <c r="C303">
        <v>56</v>
      </c>
      <c r="D303">
        <v>4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3</v>
      </c>
      <c r="L303">
        <v>0</v>
      </c>
      <c r="M303">
        <f>region_summary__52[[#This Row],[REJECTED BY Pengawas]]+region_summary__52[[#This Row],[REJECTED BY Admin Kabupaten]]</f>
        <v>0</v>
      </c>
    </row>
    <row r="304" spans="1:13" x14ac:dyDescent="0.25">
      <c r="A304" s="5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region_summary__52[[#This Row],[REJECTED BY Pengawas]]+region_summary__52[[#This Row],[REJECTED BY Admin Kabupaten]]</f>
        <v>0</v>
      </c>
    </row>
    <row r="305" spans="1:13" x14ac:dyDescent="0.25">
      <c r="A305" s="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region_summary__52[[#This Row],[REJECTED BY Pengawas]]+region_summary__52[[#This Row],[REJECTED BY Admin Kabupaten]]</f>
        <v>0</v>
      </c>
    </row>
    <row r="306" spans="1:13" x14ac:dyDescent="0.25">
      <c r="A306" s="5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region_summary__52[[#This Row],[REJECTED BY Pengawas]]+region_summary__52[[#This Row],[REJECTED BY Admin Kabupaten]]</f>
        <v>0</v>
      </c>
    </row>
    <row r="307" spans="1:13" x14ac:dyDescent="0.25">
      <c r="A307" s="5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region_summary__52[[#This Row],[REJECTED BY Pengawas]]+region_summary__52[[#This Row],[REJECTED BY Admin Kabupaten]]</f>
        <v>0</v>
      </c>
    </row>
    <row r="308" spans="1:13" x14ac:dyDescent="0.25">
      <c r="A308" s="5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region_summary__52[[#This Row],[REJECTED BY Pengawas]]+region_summary__52[[#This Row],[REJECTED BY Admin Kabupaten]]</f>
        <v>10</v>
      </c>
    </row>
    <row r="309" spans="1:13" x14ac:dyDescent="0.25">
      <c r="A309" s="5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region_summary__52[[#This Row],[REJECTED BY Pengawas]]+region_summary__52[[#This Row],[REJECTED BY Admin Kabupaten]]</f>
        <v>0</v>
      </c>
    </row>
    <row r="310" spans="1:13" x14ac:dyDescent="0.25">
      <c r="A310" s="5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region_summary__52[[#This Row],[REJECTED BY Pengawas]]+region_summary__52[[#This Row],[REJECTED BY Admin Kabupaten]]</f>
        <v>0</v>
      </c>
    </row>
    <row r="311" spans="1:13" x14ac:dyDescent="0.25">
      <c r="A311" s="5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region_summary__52[[#This Row],[REJECTED BY Pengawas]]+region_summary__52[[#This Row],[REJECTED BY Admin Kabupaten]]</f>
        <v>0</v>
      </c>
    </row>
    <row r="312" spans="1:13" x14ac:dyDescent="0.25">
      <c r="A312" s="5" t="s">
        <v>96</v>
      </c>
      <c r="B312">
        <v>7172030009000300</v>
      </c>
      <c r="C312">
        <v>45</v>
      </c>
      <c r="D312">
        <v>2</v>
      </c>
      <c r="E312">
        <v>0</v>
      </c>
      <c r="F312">
        <v>0</v>
      </c>
      <c r="G312">
        <v>43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region_summary__52[[#This Row],[REJECTED BY Pengawas]]+region_summary__52[[#This Row],[REJECTED BY Admin Kabupaten]]</f>
        <v>0</v>
      </c>
    </row>
    <row r="313" spans="1:13" x14ac:dyDescent="0.25">
      <c r="A313" s="5" t="s">
        <v>96</v>
      </c>
      <c r="B313">
        <v>7172030009000400</v>
      </c>
      <c r="C313">
        <v>45</v>
      </c>
      <c r="D313">
        <v>2</v>
      </c>
      <c r="E313">
        <v>22</v>
      </c>
      <c r="F313">
        <v>1</v>
      </c>
      <c r="G313">
        <v>0</v>
      </c>
      <c r="H313">
        <v>0</v>
      </c>
      <c r="I313">
        <v>18</v>
      </c>
      <c r="J313">
        <v>0</v>
      </c>
      <c r="K313">
        <v>2</v>
      </c>
      <c r="L313">
        <v>0</v>
      </c>
      <c r="M313">
        <f>region_summary__52[[#This Row],[REJECTED BY Pengawas]]+region_summary__52[[#This Row],[REJECTED BY Admin Kabupaten]]</f>
        <v>18</v>
      </c>
    </row>
    <row r="314" spans="1:13" x14ac:dyDescent="0.25">
      <c r="A314" s="5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region_summary__52[[#This Row],[REJECTED BY Pengawas]]+region_summary__52[[#This Row],[REJECTED BY Admin Kabupaten]]</f>
        <v>0</v>
      </c>
    </row>
    <row r="315" spans="1:13" x14ac:dyDescent="0.25">
      <c r="A315" s="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region_summary__52[[#This Row],[REJECTED BY Pengawas]]+region_summary__52[[#This Row],[REJECTED BY Admin Kabupaten]]</f>
        <v>0</v>
      </c>
    </row>
    <row r="316" spans="1:13" x14ac:dyDescent="0.25">
      <c r="A316" s="5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region_summary__52[[#This Row],[REJECTED BY Pengawas]]+region_summary__52[[#This Row],[REJECTED BY Admin Kabupaten]]</f>
        <v>0</v>
      </c>
    </row>
    <row r="317" spans="1:13" x14ac:dyDescent="0.25">
      <c r="A317" s="5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region_summary__52[[#This Row],[REJECTED BY Pengawas]]+region_summary__52[[#This Row],[REJECTED BY Admin Kabupaten]]</f>
        <v>14</v>
      </c>
    </row>
    <row r="318" spans="1:13" x14ac:dyDescent="0.25">
      <c r="A318" s="5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region_summary__52[[#This Row],[REJECTED BY Pengawas]]+region_summary__52[[#This Row],[REJECTED BY Admin Kabupaten]]</f>
        <v>0</v>
      </c>
    </row>
    <row r="319" spans="1:13" x14ac:dyDescent="0.25">
      <c r="A319" s="5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region_summary__52[[#This Row],[REJECTED BY Pengawas]]+region_summary__52[[#This Row],[REJECTED BY Admin Kabupaten]]</f>
        <v>0</v>
      </c>
    </row>
    <row r="320" spans="1:13" x14ac:dyDescent="0.25">
      <c r="A320" s="5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region_summary__52[[#This Row],[REJECTED BY Pengawas]]+region_summary__52[[#This Row],[REJECTED BY Admin Kabupaten]]</f>
        <v>0</v>
      </c>
    </row>
    <row r="321" spans="1:13" x14ac:dyDescent="0.25">
      <c r="A321" s="5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region_summary__52[[#This Row],[REJECTED BY Pengawas]]+region_summary__52[[#This Row],[REJECTED BY Admin Kabupaten]]</f>
        <v>0</v>
      </c>
    </row>
    <row r="322" spans="1:13" x14ac:dyDescent="0.25">
      <c r="A322" s="5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region_summary__52[[#This Row],[REJECTED BY Pengawas]]+region_summary__52[[#This Row],[REJECTED BY Admin Kabupaten]]</f>
        <v>0</v>
      </c>
    </row>
    <row r="323" spans="1:13" x14ac:dyDescent="0.25">
      <c r="A323" s="5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region_summary__52[[#This Row],[REJECTED BY Pengawas]]+region_summary__52[[#This Row],[REJECTED BY Admin Kabupaten]]</f>
        <v>0</v>
      </c>
    </row>
    <row r="324" spans="1:13" x14ac:dyDescent="0.25">
      <c r="A324" s="5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2</v>
      </c>
      <c r="J324">
        <v>0</v>
      </c>
      <c r="K324">
        <v>0</v>
      </c>
      <c r="L324">
        <v>0</v>
      </c>
      <c r="M324">
        <f>region_summary__52[[#This Row],[REJECTED BY Pengawas]]+region_summary__52[[#This Row],[REJECTED BY Admin Kabupaten]]</f>
        <v>2</v>
      </c>
    </row>
    <row r="325" spans="1:13" x14ac:dyDescent="0.25">
      <c r="A325" s="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region_summary__52[[#This Row],[REJECTED BY Pengawas]]+region_summary__52[[#This Row],[REJECTED BY Admin Kabupaten]]</f>
        <v>0</v>
      </c>
    </row>
    <row r="326" spans="1:13" x14ac:dyDescent="0.25">
      <c r="A326" s="5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region_summary__52[[#This Row],[REJECTED BY Pengawas]]+region_summary__52[[#This Row],[REJECTED BY Admin Kabupaten]]</f>
        <v>0</v>
      </c>
    </row>
    <row r="327" spans="1:13" x14ac:dyDescent="0.25">
      <c r="A327" s="5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region_summary__52[[#This Row],[REJECTED BY Pengawas]]+region_summary__52[[#This Row],[REJECTED BY Admin Kabupaten]]</f>
        <v>1</v>
      </c>
    </row>
    <row r="328" spans="1:13" x14ac:dyDescent="0.25">
      <c r="A328" s="5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region_summary__52[[#This Row],[REJECTED BY Pengawas]]+region_summary__52[[#This Row],[REJECTED BY Admin Kabupaten]]</f>
        <v>0</v>
      </c>
    </row>
    <row r="329" spans="1:13" x14ac:dyDescent="0.25">
      <c r="A329" s="5" t="s">
        <v>98</v>
      </c>
      <c r="B329">
        <v>7172030012000600</v>
      </c>
      <c r="C329">
        <v>108</v>
      </c>
      <c r="D329">
        <v>59</v>
      </c>
      <c r="E329">
        <v>16</v>
      </c>
      <c r="F329">
        <v>0</v>
      </c>
      <c r="G329">
        <v>25</v>
      </c>
      <c r="H329">
        <v>0</v>
      </c>
      <c r="I329">
        <v>1</v>
      </c>
      <c r="J329">
        <v>0</v>
      </c>
      <c r="K329">
        <v>7</v>
      </c>
      <c r="L329">
        <v>0</v>
      </c>
      <c r="M329">
        <f>region_summary__52[[#This Row],[REJECTED BY Pengawas]]+region_summary__52[[#This Row],[REJECTED BY Admin Kabupaten]]</f>
        <v>1</v>
      </c>
    </row>
    <row r="330" spans="1:13" x14ac:dyDescent="0.25">
      <c r="A330" s="5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region_summary__52[[#This Row],[REJECTED BY Pengawas]]+region_summary__52[[#This Row],[REJECTED BY Admin Kabupaten]]</f>
        <v>0</v>
      </c>
    </row>
    <row r="331" spans="1:13" x14ac:dyDescent="0.25">
      <c r="A331" s="5" t="s">
        <v>98</v>
      </c>
      <c r="B331">
        <v>7172030012001000</v>
      </c>
      <c r="C331">
        <v>104</v>
      </c>
      <c r="D331">
        <v>69</v>
      </c>
      <c r="E331">
        <v>9</v>
      </c>
      <c r="F331">
        <v>0</v>
      </c>
      <c r="G331">
        <v>26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region_summary__52[[#This Row],[REJECTED BY Pengawas]]+region_summary__52[[#This Row],[REJECTED BY Admin Kabupaten]]</f>
        <v>0</v>
      </c>
    </row>
    <row r="332" spans="1:13" x14ac:dyDescent="0.25">
      <c r="A332" s="5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region_summary__52[[#This Row],[REJECTED BY Pengawas]]+region_summary__52[[#This Row],[REJECTED BY Admin Kabupaten]]</f>
        <v>0</v>
      </c>
    </row>
    <row r="333" spans="1:13" x14ac:dyDescent="0.25">
      <c r="A333" s="5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2</v>
      </c>
      <c r="J333">
        <v>0</v>
      </c>
      <c r="K333">
        <v>6</v>
      </c>
      <c r="L333">
        <v>0</v>
      </c>
      <c r="M333">
        <f>region_summary__52[[#This Row],[REJECTED BY Pengawas]]+region_summary__52[[#This Row],[REJECTED BY Admin Kabupaten]]</f>
        <v>2</v>
      </c>
    </row>
    <row r="334" spans="1:13" x14ac:dyDescent="0.25">
      <c r="A334" s="5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region_summary__52[[#This Row],[REJECTED BY Pengawas]]+region_summary__52[[#This Row],[REJECTED BY Admin Kabupaten]]</f>
        <v>0</v>
      </c>
    </row>
    <row r="335" spans="1:13" x14ac:dyDescent="0.25">
      <c r="A335" s="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region_summary__52[[#This Row],[REJECTED BY Pengawas]]+region_summary__52[[#This Row],[REJECTED BY Admin Kabupaten]]</f>
        <v>0</v>
      </c>
    </row>
    <row r="336" spans="1:13" x14ac:dyDescent="0.25">
      <c r="A336" s="5" t="s">
        <v>107</v>
      </c>
      <c r="B336">
        <v>7172030017000400</v>
      </c>
      <c r="C336">
        <v>124</v>
      </c>
      <c r="D336">
        <v>58</v>
      </c>
      <c r="E336">
        <v>4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5</v>
      </c>
      <c r="L336">
        <v>0</v>
      </c>
      <c r="M336">
        <f>region_summary__52[[#This Row],[REJECTED BY Pengawas]]+region_summary__52[[#This Row],[REJECTED BY Admin Kabupaten]]</f>
        <v>0</v>
      </c>
    </row>
    <row r="337" spans="1:13" x14ac:dyDescent="0.25">
      <c r="A337" s="5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region_summary__52[[#This Row],[REJECTED BY Pengawas]]+region_summary__52[[#This Row],[REJECTED BY Admin Kabupaten]]</f>
        <v>1</v>
      </c>
    </row>
    <row r="338" spans="1:13" x14ac:dyDescent="0.25">
      <c r="A338" s="5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region_summary__52[[#This Row],[REJECTED BY Pengawas]]+region_summary__52[[#This Row],[REJECTED BY Admin Kabupaten]]</f>
        <v>0</v>
      </c>
    </row>
    <row r="339" spans="1:13" x14ac:dyDescent="0.25">
      <c r="A339" s="5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region_summary__52[[#This Row],[REJECTED BY Pengawas]]+region_summary__52[[#This Row],[REJECTED BY Admin Kabupaten]]</f>
        <v>0</v>
      </c>
    </row>
    <row r="340" spans="1:13" x14ac:dyDescent="0.25">
      <c r="A340" s="5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region_summary__52[[#This Row],[REJECTED BY Pengawas]]+region_summary__52[[#This Row],[REJECTED BY Admin Kabupaten]]</f>
        <v>1</v>
      </c>
    </row>
    <row r="341" spans="1:13" x14ac:dyDescent="0.25">
      <c r="A341" s="5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region_summary__52[[#This Row],[REJECTED BY Pengawas]]+region_summary__52[[#This Row],[REJECTED BY Admin Kabupaten]]</f>
        <v>0</v>
      </c>
    </row>
    <row r="342" spans="1:13" x14ac:dyDescent="0.25">
      <c r="A342" s="5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region_summary__52[[#This Row],[REJECTED BY Pengawas]]+region_summary__52[[#This Row],[REJECTED BY Admin Kabupaten]]</f>
        <v>0</v>
      </c>
    </row>
    <row r="343" spans="1:13" x14ac:dyDescent="0.25">
      <c r="A343" s="5" t="s">
        <v>107</v>
      </c>
      <c r="B343">
        <v>7172030017001300</v>
      </c>
      <c r="C343">
        <v>41</v>
      </c>
      <c r="D343">
        <v>34</v>
      </c>
      <c r="E343">
        <v>5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0</v>
      </c>
      <c r="L343">
        <v>0</v>
      </c>
      <c r="M343">
        <f>region_summary__52[[#This Row],[REJECTED BY Pengawas]]+region_summary__52[[#This Row],[REJECTED BY Admin Kabupaten]]</f>
        <v>0</v>
      </c>
    </row>
    <row r="344" spans="1:13" x14ac:dyDescent="0.25">
      <c r="A344" s="5" t="s">
        <v>242</v>
      </c>
      <c r="B344">
        <v>7172030013001300</v>
      </c>
      <c r="C344">
        <v>135</v>
      </c>
      <c r="D344">
        <v>112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7</v>
      </c>
      <c r="L344">
        <v>0</v>
      </c>
      <c r="M344">
        <f>region_summary__52[[#This Row],[REJECTED BY Pengawas]]+region_summary__52[[#This Row],[REJECTED BY Admin Kabupaten]]</f>
        <v>0</v>
      </c>
    </row>
    <row r="345" spans="1:13" x14ac:dyDescent="0.25">
      <c r="A345" s="5" t="s">
        <v>242</v>
      </c>
      <c r="B345">
        <v>7172030013001500</v>
      </c>
      <c r="C345">
        <v>133</v>
      </c>
      <c r="D345">
        <v>39</v>
      </c>
      <c r="E345">
        <v>0</v>
      </c>
      <c r="F345">
        <v>1</v>
      </c>
      <c r="G345">
        <v>78</v>
      </c>
      <c r="H345">
        <v>0</v>
      </c>
      <c r="I345">
        <v>0</v>
      </c>
      <c r="J345">
        <v>0</v>
      </c>
      <c r="K345">
        <v>15</v>
      </c>
      <c r="L345">
        <v>0</v>
      </c>
      <c r="M345">
        <f>region_summary__52[[#This Row],[REJECTED BY Pengawas]]+region_summary__52[[#This Row],[REJECTED BY Admin Kabupaten]]</f>
        <v>0</v>
      </c>
    </row>
    <row r="346" spans="1:13" x14ac:dyDescent="0.25">
      <c r="A346" s="5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region_summary__52[[#This Row],[REJECTED BY Pengawas]]+region_summary__52[[#This Row],[REJECTED BY Admin Kabupaten]]</f>
        <v>0</v>
      </c>
    </row>
    <row r="347" spans="1:13" x14ac:dyDescent="0.25">
      <c r="A347" s="5" t="s">
        <v>242</v>
      </c>
      <c r="B347">
        <v>7172030014000100</v>
      </c>
      <c r="C347">
        <v>84</v>
      </c>
      <c r="D347">
        <v>19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51</v>
      </c>
      <c r="L347">
        <v>0</v>
      </c>
      <c r="M347">
        <f>region_summary__52[[#This Row],[REJECTED BY Pengawas]]+region_summary__52[[#This Row],[REJECTED BY Admin Kabupaten]]</f>
        <v>0</v>
      </c>
    </row>
    <row r="348" spans="1:13" x14ac:dyDescent="0.25">
      <c r="A348" s="5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61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region_summary__52[[#This Row],[REJECTED BY Pengawas]]+region_summary__52[[#This Row],[REJECTED BY Admin Kabupaten]]</f>
        <v>0</v>
      </c>
    </row>
    <row r="349" spans="1:13" x14ac:dyDescent="0.25">
      <c r="A349" s="5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region_summary__52[[#This Row],[REJECTED BY Pengawas]]+region_summary__52[[#This Row],[REJECTED BY Admin Kabupaten]]</f>
        <v>0</v>
      </c>
    </row>
    <row r="350" spans="1:13" x14ac:dyDescent="0.25">
      <c r="A350" s="5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region_summary__52[[#This Row],[REJECTED BY Pengawas]]+region_summary__52[[#This Row],[REJECTED BY Admin Kabupaten]]</f>
        <v>0</v>
      </c>
    </row>
    <row r="351" spans="1:13" x14ac:dyDescent="0.25">
      <c r="A351" s="5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0</v>
      </c>
      <c r="J351">
        <v>0</v>
      </c>
      <c r="K351">
        <v>2</v>
      </c>
      <c r="L351">
        <v>0</v>
      </c>
      <c r="M351">
        <f>region_summary__52[[#This Row],[REJECTED BY Pengawas]]+region_summary__52[[#This Row],[REJECTED BY Admin Kabupaten]]</f>
        <v>2</v>
      </c>
    </row>
    <row r="352" spans="1:13" x14ac:dyDescent="0.25">
      <c r="A352" s="5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region_summary__52[[#This Row],[REJECTED BY Pengawas]]+region_summary__52[[#This Row],[REJECTED BY Admin Kabupaten]]</f>
        <v>0</v>
      </c>
    </row>
    <row r="353" spans="1:13" x14ac:dyDescent="0.25">
      <c r="A353" s="5" t="s">
        <v>106</v>
      </c>
      <c r="B353">
        <v>7172030015001600</v>
      </c>
      <c r="C353">
        <v>110</v>
      </c>
      <c r="D353">
        <v>1</v>
      </c>
      <c r="E353">
        <v>1</v>
      </c>
      <c r="F353">
        <v>0</v>
      </c>
      <c r="G353">
        <v>61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region_summary__52[[#This Row],[REJECTED BY Pengawas]]+region_summary__52[[#This Row],[REJECTED BY Admin Kabupaten]]</f>
        <v>0</v>
      </c>
    </row>
    <row r="354" spans="1:13" x14ac:dyDescent="0.25">
      <c r="A354" s="5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region_summary__52[[#This Row],[REJECTED BY Pengawas]]+region_summary__52[[#This Row],[REJECTED BY Admin Kabupaten]]</f>
        <v>0</v>
      </c>
    </row>
    <row r="355" spans="1:13" x14ac:dyDescent="0.25">
      <c r="A355" s="5" t="s">
        <v>102</v>
      </c>
      <c r="B355">
        <v>7172030014000500</v>
      </c>
      <c r="C355">
        <v>129</v>
      </c>
      <c r="D355">
        <v>57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13</v>
      </c>
      <c r="L355">
        <v>0</v>
      </c>
      <c r="M355">
        <f>region_summary__52[[#This Row],[REJECTED BY Pengawas]]+region_summary__52[[#This Row],[REJECTED BY Admin Kabupaten]]</f>
        <v>0</v>
      </c>
    </row>
    <row r="356" spans="1:13" x14ac:dyDescent="0.25">
      <c r="A356" s="5" t="s">
        <v>102</v>
      </c>
      <c r="B356">
        <v>7172030014000900</v>
      </c>
      <c r="C356">
        <v>109</v>
      </c>
      <c r="D356">
        <v>25</v>
      </c>
      <c r="E356">
        <v>3</v>
      </c>
      <c r="F356">
        <v>0</v>
      </c>
      <c r="G356">
        <v>78</v>
      </c>
      <c r="H356">
        <v>0</v>
      </c>
      <c r="I356">
        <v>0</v>
      </c>
      <c r="J356">
        <v>0</v>
      </c>
      <c r="K356">
        <v>3</v>
      </c>
      <c r="L356">
        <v>0</v>
      </c>
      <c r="M356">
        <f>region_summary__52[[#This Row],[REJECTED BY Pengawas]]+region_summary__52[[#This Row],[REJECTED BY Admin Kabupaten]]</f>
        <v>0</v>
      </c>
    </row>
    <row r="357" spans="1:13" x14ac:dyDescent="0.25">
      <c r="A357" s="5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region_summary__52[[#This Row],[REJECTED BY Pengawas]]+region_summary__52[[#This Row],[REJECTED BY Admin Kabupaten]]</f>
        <v>0</v>
      </c>
    </row>
    <row r="358" spans="1:13" x14ac:dyDescent="0.25">
      <c r="A358" s="5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region_summary__52[[#This Row],[REJECTED BY Pengawas]]+region_summary__52[[#This Row],[REJECTED BY Admin Kabupaten]]</f>
        <v>0</v>
      </c>
    </row>
    <row r="359" spans="1:13" x14ac:dyDescent="0.25">
      <c r="A359" s="5" t="s">
        <v>102</v>
      </c>
      <c r="B359">
        <v>7172030014000700</v>
      </c>
      <c r="C359">
        <v>90</v>
      </c>
      <c r="D359">
        <v>4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2</v>
      </c>
      <c r="L359">
        <v>0</v>
      </c>
      <c r="M359">
        <f>region_summary__52[[#This Row],[REJECTED BY Pengawas]]+region_summary__52[[#This Row],[REJECTED BY Admin Kabupaten]]</f>
        <v>0</v>
      </c>
    </row>
    <row r="360" spans="1:13" x14ac:dyDescent="0.25">
      <c r="A360" s="5" t="s">
        <v>102</v>
      </c>
      <c r="B360">
        <v>7172030014000800</v>
      </c>
      <c r="C360">
        <v>79</v>
      </c>
      <c r="D360">
        <v>17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52</v>
      </c>
      <c r="L360">
        <v>0</v>
      </c>
      <c r="M360">
        <f>region_summary__52[[#This Row],[REJECTED BY Pengawas]]+region_summary__52[[#This Row],[REJECTED BY Admin Kabupaten]]</f>
        <v>0</v>
      </c>
    </row>
    <row r="361" spans="1:13" x14ac:dyDescent="0.25">
      <c r="A361" s="5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region_summary__52[[#This Row],[REJECTED BY Pengawas]]+region_summary__52[[#This Row],[REJECTED BY Admin Kabupaten]]</f>
        <v>0</v>
      </c>
    </row>
    <row r="362" spans="1:13" x14ac:dyDescent="0.25">
      <c r="A362" s="5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51</v>
      </c>
      <c r="H362">
        <v>0</v>
      </c>
      <c r="I362">
        <v>0</v>
      </c>
      <c r="J362">
        <v>0</v>
      </c>
      <c r="K362">
        <v>6</v>
      </c>
      <c r="L362">
        <v>0</v>
      </c>
      <c r="M362">
        <f>region_summary__52[[#This Row],[REJECTED BY Pengawas]]+region_summary__52[[#This Row],[REJECTED BY Admin Kabupaten]]</f>
        <v>0</v>
      </c>
    </row>
    <row r="363" spans="1:13" x14ac:dyDescent="0.25">
      <c r="A363" s="5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region_summary__52[[#This Row],[REJECTED BY Pengawas]]+region_summary__52[[#This Row],[REJECTED BY Admin Kabupaten]]</f>
        <v>0</v>
      </c>
    </row>
    <row r="364" spans="1:13" x14ac:dyDescent="0.25">
      <c r="A364" s="5" t="s">
        <v>108</v>
      </c>
      <c r="B364">
        <v>7172030017002002</v>
      </c>
      <c r="C364">
        <v>110</v>
      </c>
      <c r="D364">
        <v>30</v>
      </c>
      <c r="E364">
        <v>10</v>
      </c>
      <c r="F364">
        <v>0</v>
      </c>
      <c r="G364">
        <v>50</v>
      </c>
      <c r="H364">
        <v>0</v>
      </c>
      <c r="I364">
        <v>0</v>
      </c>
      <c r="J364">
        <v>0</v>
      </c>
      <c r="K364">
        <v>20</v>
      </c>
      <c r="L364">
        <v>0</v>
      </c>
      <c r="M364">
        <f>region_summary__52[[#This Row],[REJECTED BY Pengawas]]+region_summary__52[[#This Row],[REJECTED BY Admin Kabupaten]]</f>
        <v>0</v>
      </c>
    </row>
    <row r="365" spans="1:13" x14ac:dyDescent="0.25">
      <c r="A365" s="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region_summary__52[[#This Row],[REJECTED BY Pengawas]]+region_summary__52[[#This Row],[REJECTED BY Admin Kabupaten]]</f>
        <v>0</v>
      </c>
    </row>
    <row r="366" spans="1:13" x14ac:dyDescent="0.25">
      <c r="A366" s="5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region_summary__52[[#This Row],[REJECTED BY Pengawas]]+region_summary__52[[#This Row],[REJECTED BY Admin Kabupaten]]</f>
        <v>0</v>
      </c>
    </row>
    <row r="367" spans="1:13" x14ac:dyDescent="0.25">
      <c r="A367" s="5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region_summary__52[[#This Row],[REJECTED BY Pengawas]]+region_summary__52[[#This Row],[REJECTED BY Admin Kabupaten]]</f>
        <v>0</v>
      </c>
    </row>
    <row r="368" spans="1:13" x14ac:dyDescent="0.25">
      <c r="A368" s="5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region_summary__52[[#This Row],[REJECTED BY Pengawas]]+region_summary__52[[#This Row],[REJECTED BY Admin Kabupaten]]</f>
        <v>0</v>
      </c>
    </row>
    <row r="369" spans="1:13" x14ac:dyDescent="0.25">
      <c r="A369" s="5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1</v>
      </c>
      <c r="J369">
        <v>0</v>
      </c>
      <c r="K369">
        <v>13</v>
      </c>
      <c r="L369">
        <v>0</v>
      </c>
      <c r="M369">
        <f>region_summary__52[[#This Row],[REJECTED BY Pengawas]]+region_summary__52[[#This Row],[REJECTED BY Admin Kabupaten]]</f>
        <v>1</v>
      </c>
    </row>
    <row r="370" spans="1:13" x14ac:dyDescent="0.25">
      <c r="A370" s="5" t="s">
        <v>110</v>
      </c>
      <c r="B370">
        <v>7172031002000200</v>
      </c>
      <c r="C370">
        <v>197</v>
      </c>
      <c r="D370">
        <v>181</v>
      </c>
      <c r="E370">
        <v>7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6</v>
      </c>
      <c r="L370">
        <v>0</v>
      </c>
      <c r="M370">
        <f>region_summary__52[[#This Row],[REJECTED BY Pengawas]]+region_summary__52[[#This Row],[REJECTED BY Admin Kabupaten]]</f>
        <v>0</v>
      </c>
    </row>
    <row r="371" spans="1:13" x14ac:dyDescent="0.25">
      <c r="A371" s="5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1</v>
      </c>
      <c r="J371">
        <v>0</v>
      </c>
      <c r="K371">
        <v>9</v>
      </c>
      <c r="L371">
        <v>0</v>
      </c>
      <c r="M371">
        <f>region_summary__52[[#This Row],[REJECTED BY Pengawas]]+region_summary__52[[#This Row],[REJECTED BY Admin Kabupaten]]</f>
        <v>1</v>
      </c>
    </row>
    <row r="372" spans="1:13" x14ac:dyDescent="0.25">
      <c r="A372" s="5" t="s">
        <v>110</v>
      </c>
      <c r="B372">
        <v>7172031001001500</v>
      </c>
      <c r="C372">
        <v>95</v>
      </c>
      <c r="D372">
        <v>87</v>
      </c>
      <c r="E372">
        <v>1</v>
      </c>
      <c r="F372">
        <v>0</v>
      </c>
      <c r="G372">
        <v>0</v>
      </c>
      <c r="H372">
        <v>0</v>
      </c>
      <c r="I372">
        <v>2</v>
      </c>
      <c r="J372">
        <v>0</v>
      </c>
      <c r="K372">
        <v>5</v>
      </c>
      <c r="L372">
        <v>0</v>
      </c>
      <c r="M372">
        <f>region_summary__52[[#This Row],[REJECTED BY Pengawas]]+region_summary__52[[#This Row],[REJECTED BY Admin Kabupaten]]</f>
        <v>2</v>
      </c>
    </row>
    <row r="373" spans="1:13" x14ac:dyDescent="0.25">
      <c r="A373" s="5" t="s">
        <v>111</v>
      </c>
      <c r="B373">
        <v>7172031002000500</v>
      </c>
      <c r="C373">
        <v>137</v>
      </c>
      <c r="D373">
        <v>98</v>
      </c>
      <c r="E373">
        <v>16</v>
      </c>
      <c r="F373">
        <v>0</v>
      </c>
      <c r="G373">
        <v>15</v>
      </c>
      <c r="H373">
        <v>0</v>
      </c>
      <c r="I373">
        <v>7</v>
      </c>
      <c r="J373">
        <v>0</v>
      </c>
      <c r="K373">
        <v>1</v>
      </c>
      <c r="L373">
        <v>0</v>
      </c>
      <c r="M373">
        <f>region_summary__52[[#This Row],[REJECTED BY Pengawas]]+region_summary__52[[#This Row],[REJECTED BY Admin Kabupaten]]</f>
        <v>7</v>
      </c>
    </row>
    <row r="374" spans="1:13" x14ac:dyDescent="0.25">
      <c r="A374" s="5" t="s">
        <v>111</v>
      </c>
      <c r="B374">
        <v>7172031002001101</v>
      </c>
      <c r="C374">
        <v>122</v>
      </c>
      <c r="D374">
        <v>42</v>
      </c>
      <c r="E374">
        <v>10</v>
      </c>
      <c r="F374">
        <v>0</v>
      </c>
      <c r="G374">
        <v>41</v>
      </c>
      <c r="H374">
        <v>0</v>
      </c>
      <c r="I374">
        <v>16</v>
      </c>
      <c r="J374">
        <v>0</v>
      </c>
      <c r="K374">
        <v>13</v>
      </c>
      <c r="L374">
        <v>0</v>
      </c>
      <c r="M374">
        <f>region_summary__52[[#This Row],[REJECTED BY Pengawas]]+region_summary__52[[#This Row],[REJECTED BY Admin Kabupaten]]</f>
        <v>16</v>
      </c>
    </row>
    <row r="375" spans="1:13" x14ac:dyDescent="0.25">
      <c r="A375" s="5" t="s">
        <v>111</v>
      </c>
      <c r="B375">
        <v>7172031002000400</v>
      </c>
      <c r="C375">
        <v>104</v>
      </c>
      <c r="D375">
        <v>103</v>
      </c>
      <c r="E375">
        <v>1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f>region_summary__52[[#This Row],[REJECTED BY Pengawas]]+region_summary__52[[#This Row],[REJECTED BY Admin Kabupaten]]</f>
        <v>0</v>
      </c>
    </row>
    <row r="376" spans="1:13" x14ac:dyDescent="0.25">
      <c r="A376" s="5" t="s">
        <v>111</v>
      </c>
      <c r="B376">
        <v>7172031002000700</v>
      </c>
      <c r="C376">
        <v>72</v>
      </c>
      <c r="D376">
        <v>5</v>
      </c>
      <c r="E376">
        <v>13</v>
      </c>
      <c r="F376">
        <v>0</v>
      </c>
      <c r="G376">
        <v>48</v>
      </c>
      <c r="H376">
        <v>0</v>
      </c>
      <c r="I376">
        <v>0</v>
      </c>
      <c r="J376">
        <v>0</v>
      </c>
      <c r="K376">
        <v>6</v>
      </c>
      <c r="L376">
        <v>0</v>
      </c>
      <c r="M376">
        <f>region_summary__52[[#This Row],[REJECTED BY Pengawas]]+region_summary__52[[#This Row],[REJECTED BY Admin Kabupaten]]</f>
        <v>0</v>
      </c>
    </row>
    <row r="377" spans="1:13" x14ac:dyDescent="0.25">
      <c r="A377" s="5" t="s">
        <v>111</v>
      </c>
      <c r="B377">
        <v>7172031002001500</v>
      </c>
      <c r="C377">
        <v>59</v>
      </c>
      <c r="D377">
        <v>0</v>
      </c>
      <c r="E377">
        <v>0</v>
      </c>
      <c r="F377">
        <v>0</v>
      </c>
      <c r="G377">
        <v>59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region_summary__52[[#This Row],[REJECTED BY Pengawas]]+region_summary__52[[#This Row],[REJECTED BY Admin Kabupaten]]</f>
        <v>0</v>
      </c>
    </row>
    <row r="378" spans="1:13" x14ac:dyDescent="0.25">
      <c r="A378" s="5" t="s">
        <v>111</v>
      </c>
      <c r="B378">
        <v>7172031003000200</v>
      </c>
      <c r="C378">
        <v>56</v>
      </c>
      <c r="D378">
        <v>20</v>
      </c>
      <c r="E378">
        <v>0</v>
      </c>
      <c r="F378">
        <v>0</v>
      </c>
      <c r="G378">
        <v>36</v>
      </c>
      <c r="H378">
        <v>0</v>
      </c>
      <c r="I378">
        <v>0</v>
      </c>
      <c r="J378">
        <v>0</v>
      </c>
      <c r="K378">
        <v>0</v>
      </c>
      <c r="L378">
        <v>0</v>
      </c>
      <c r="M378">
        <f>region_summary__52[[#This Row],[REJECTED BY Pengawas]]+region_summary__52[[#This Row],[REJECTED BY Admin Kabupaten]]</f>
        <v>0</v>
      </c>
    </row>
    <row r="379" spans="1:13" x14ac:dyDescent="0.25">
      <c r="A379" s="5" t="s">
        <v>111</v>
      </c>
      <c r="B379">
        <v>7172031002001400</v>
      </c>
      <c r="C379">
        <v>55</v>
      </c>
      <c r="D379">
        <v>0</v>
      </c>
      <c r="E379">
        <v>0</v>
      </c>
      <c r="F379">
        <v>0</v>
      </c>
      <c r="G379">
        <v>55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region_summary__52[[#This Row],[REJECTED BY Pengawas]]+region_summary__52[[#This Row],[REJECTED BY Admin Kabupaten]]</f>
        <v>0</v>
      </c>
    </row>
    <row r="380" spans="1:13" x14ac:dyDescent="0.25">
      <c r="A380" s="5" t="s">
        <v>111</v>
      </c>
      <c r="B380">
        <v>7172031002000600</v>
      </c>
      <c r="C380">
        <v>49</v>
      </c>
      <c r="D380">
        <v>0</v>
      </c>
      <c r="E380">
        <v>0</v>
      </c>
      <c r="F380">
        <v>0</v>
      </c>
      <c r="G380">
        <v>49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region_summary__52[[#This Row],[REJECTED BY Pengawas]]+region_summary__52[[#This Row],[REJECTED BY Admin Kabupaten]]</f>
        <v>0</v>
      </c>
    </row>
    <row r="381" spans="1:13" x14ac:dyDescent="0.25">
      <c r="A381" s="5" t="s">
        <v>112</v>
      </c>
      <c r="B381">
        <v>7172031002001102</v>
      </c>
      <c r="C381">
        <v>182</v>
      </c>
      <c r="D381">
        <v>154</v>
      </c>
      <c r="E381">
        <v>25</v>
      </c>
      <c r="F381">
        <v>0</v>
      </c>
      <c r="G381">
        <v>3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region_summary__52[[#This Row],[REJECTED BY Pengawas]]+region_summary__52[[#This Row],[REJECTED BY Admin Kabupaten]]</f>
        <v>0</v>
      </c>
    </row>
    <row r="382" spans="1:13" x14ac:dyDescent="0.25">
      <c r="A382" s="5" t="s">
        <v>112</v>
      </c>
      <c r="B382">
        <v>7172031002001000</v>
      </c>
      <c r="C382">
        <v>137</v>
      </c>
      <c r="D382">
        <v>135</v>
      </c>
      <c r="E382">
        <v>2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region_summary__52[[#This Row],[REJECTED BY Pengawas]]+region_summary__52[[#This Row],[REJECTED BY Admin Kabupaten]]</f>
        <v>0</v>
      </c>
    </row>
    <row r="383" spans="1:13" x14ac:dyDescent="0.25">
      <c r="A383" s="5" t="s">
        <v>112</v>
      </c>
      <c r="B383">
        <v>7172031002000800</v>
      </c>
      <c r="C383">
        <v>94</v>
      </c>
      <c r="D383">
        <v>19</v>
      </c>
      <c r="E383">
        <v>36</v>
      </c>
      <c r="F383">
        <v>0</v>
      </c>
      <c r="G383">
        <v>39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region_summary__52[[#This Row],[REJECTED BY Pengawas]]+region_summary__52[[#This Row],[REJECTED BY Admin Kabupaten]]</f>
        <v>0</v>
      </c>
    </row>
    <row r="384" spans="1:13" x14ac:dyDescent="0.25">
      <c r="A384" s="5" t="s">
        <v>112</v>
      </c>
      <c r="B384">
        <v>7172031002001300</v>
      </c>
      <c r="C384">
        <v>88</v>
      </c>
      <c r="D384">
        <v>53</v>
      </c>
      <c r="E384">
        <v>23</v>
      </c>
      <c r="F384">
        <v>0</v>
      </c>
      <c r="G384">
        <v>12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region_summary__52[[#This Row],[REJECTED BY Pengawas]]+region_summary__52[[#This Row],[REJECTED BY Admin Kabupaten]]</f>
        <v>0</v>
      </c>
    </row>
    <row r="385" spans="1:13" x14ac:dyDescent="0.25">
      <c r="A385" s="5" t="s">
        <v>112</v>
      </c>
      <c r="B385">
        <v>7172031008001400</v>
      </c>
      <c r="C385">
        <v>77</v>
      </c>
      <c r="D385">
        <v>0</v>
      </c>
      <c r="E385">
        <v>0</v>
      </c>
      <c r="F385">
        <v>0</v>
      </c>
      <c r="G385">
        <v>77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region_summary__52[[#This Row],[REJECTED BY Pengawas]]+region_summary__52[[#This Row],[REJECTED BY Admin Kabupaten]]</f>
        <v>0</v>
      </c>
    </row>
    <row r="386" spans="1:13" x14ac:dyDescent="0.25">
      <c r="A386" s="5" t="s">
        <v>112</v>
      </c>
      <c r="B386">
        <v>7172031008000800</v>
      </c>
      <c r="C386">
        <v>57</v>
      </c>
      <c r="D386">
        <v>56</v>
      </c>
      <c r="E386">
        <v>0</v>
      </c>
      <c r="F386">
        <v>1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region_summary__52[[#This Row],[REJECTED BY Pengawas]]+region_summary__52[[#This Row],[REJECTED BY Admin Kabupaten]]</f>
        <v>0</v>
      </c>
    </row>
    <row r="387" spans="1:13" x14ac:dyDescent="0.25">
      <c r="A387" s="5" t="s">
        <v>112</v>
      </c>
      <c r="B387">
        <v>7172031002000900</v>
      </c>
      <c r="C387">
        <v>48</v>
      </c>
      <c r="D387">
        <v>1</v>
      </c>
      <c r="E387">
        <v>1</v>
      </c>
      <c r="F387">
        <v>0</v>
      </c>
      <c r="G387">
        <v>46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region_summary__52[[#This Row],[REJECTED BY Pengawas]]+region_summary__52[[#This Row],[REJECTED BY Admin Kabupaten]]</f>
        <v>0</v>
      </c>
    </row>
    <row r="388" spans="1:13" x14ac:dyDescent="0.25">
      <c r="A388" s="5" t="s">
        <v>112</v>
      </c>
      <c r="B388">
        <v>7172031008001500</v>
      </c>
      <c r="C388">
        <v>30</v>
      </c>
      <c r="D388">
        <v>29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region_summary__52[[#This Row],[REJECTED BY Pengawas]]+region_summary__52[[#This Row],[REJECTED BY Admin Kabupaten]]</f>
        <v>0</v>
      </c>
    </row>
    <row r="389" spans="1:13" x14ac:dyDescent="0.25">
      <c r="A389" s="5" t="s">
        <v>115</v>
      </c>
      <c r="B389">
        <v>7172031003002000</v>
      </c>
      <c r="C389">
        <v>198</v>
      </c>
      <c r="D389">
        <v>144</v>
      </c>
      <c r="E389">
        <v>3</v>
      </c>
      <c r="F389">
        <v>45</v>
      </c>
      <c r="G389">
        <v>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region_summary__52[[#This Row],[REJECTED BY Pengawas]]+region_summary__52[[#This Row],[REJECTED BY Admin Kabupaten]]</f>
        <v>0</v>
      </c>
    </row>
    <row r="390" spans="1:13" x14ac:dyDescent="0.25">
      <c r="A390" s="5" t="s">
        <v>115</v>
      </c>
      <c r="B390">
        <v>7172031003002100</v>
      </c>
      <c r="C390">
        <v>139</v>
      </c>
      <c r="D390">
        <v>50</v>
      </c>
      <c r="E390">
        <v>4</v>
      </c>
      <c r="F390">
        <v>0</v>
      </c>
      <c r="G390">
        <v>85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region_summary__52[[#This Row],[REJECTED BY Pengawas]]+region_summary__52[[#This Row],[REJECTED BY Admin Kabupaten]]</f>
        <v>0</v>
      </c>
    </row>
    <row r="391" spans="1:13" x14ac:dyDescent="0.25">
      <c r="A391" s="5" t="s">
        <v>115</v>
      </c>
      <c r="B391">
        <v>7172031003001700</v>
      </c>
      <c r="C391">
        <v>138</v>
      </c>
      <c r="D391">
        <v>39</v>
      </c>
      <c r="E391">
        <v>0</v>
      </c>
      <c r="F391">
        <v>0</v>
      </c>
      <c r="G391">
        <v>99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region_summary__52[[#This Row],[REJECTED BY Pengawas]]+region_summary__52[[#This Row],[REJECTED BY Admin Kabupaten]]</f>
        <v>0</v>
      </c>
    </row>
    <row r="392" spans="1:13" x14ac:dyDescent="0.25">
      <c r="A392" s="5" t="s">
        <v>115</v>
      </c>
      <c r="B392">
        <v>7172031003001900</v>
      </c>
      <c r="C392">
        <v>71</v>
      </c>
      <c r="D392">
        <v>67</v>
      </c>
      <c r="E392">
        <v>1</v>
      </c>
      <c r="F392">
        <v>1</v>
      </c>
      <c r="G392">
        <v>2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region_summary__52[[#This Row],[REJECTED BY Pengawas]]+region_summary__52[[#This Row],[REJECTED BY Admin Kabupaten]]</f>
        <v>0</v>
      </c>
    </row>
    <row r="393" spans="1:13" x14ac:dyDescent="0.25">
      <c r="A393" s="5" t="s">
        <v>115</v>
      </c>
      <c r="B393">
        <v>7172031003001400</v>
      </c>
      <c r="C393">
        <v>56</v>
      </c>
      <c r="D393">
        <v>24</v>
      </c>
      <c r="E393">
        <v>9</v>
      </c>
      <c r="F393">
        <v>0</v>
      </c>
      <c r="G393">
        <v>22</v>
      </c>
      <c r="H393">
        <v>0</v>
      </c>
      <c r="I393">
        <v>1</v>
      </c>
      <c r="J393">
        <v>0</v>
      </c>
      <c r="K393">
        <v>0</v>
      </c>
      <c r="L393">
        <v>0</v>
      </c>
      <c r="M393">
        <f>region_summary__52[[#This Row],[REJECTED BY Pengawas]]+region_summary__52[[#This Row],[REJECTED BY Admin Kabupaten]]</f>
        <v>1</v>
      </c>
    </row>
    <row r="394" spans="1:13" x14ac:dyDescent="0.25">
      <c r="A394" s="5" t="s">
        <v>117</v>
      </c>
      <c r="B394">
        <v>7172031004000800</v>
      </c>
      <c r="C394">
        <v>133</v>
      </c>
      <c r="D394">
        <v>57</v>
      </c>
      <c r="E394">
        <v>20</v>
      </c>
      <c r="F394">
        <v>0</v>
      </c>
      <c r="G394">
        <v>55</v>
      </c>
      <c r="H394">
        <v>0</v>
      </c>
      <c r="I394">
        <v>0</v>
      </c>
      <c r="J394">
        <v>0</v>
      </c>
      <c r="K394">
        <v>1</v>
      </c>
      <c r="L394">
        <v>0</v>
      </c>
      <c r="M394">
        <f>region_summary__52[[#This Row],[REJECTED BY Pengawas]]+region_summary__52[[#This Row],[REJECTED BY Admin Kabupaten]]</f>
        <v>0</v>
      </c>
    </row>
    <row r="395" spans="1:13" x14ac:dyDescent="0.25">
      <c r="A395" s="5" t="s">
        <v>117</v>
      </c>
      <c r="B395">
        <v>7172031004000900</v>
      </c>
      <c r="C395">
        <v>79</v>
      </c>
      <c r="D395">
        <v>63</v>
      </c>
      <c r="E395">
        <v>3</v>
      </c>
      <c r="F395">
        <v>13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region_summary__52[[#This Row],[REJECTED BY Pengawas]]+region_summary__52[[#This Row],[REJECTED BY Admin Kabupaten]]</f>
        <v>0</v>
      </c>
    </row>
    <row r="396" spans="1:13" x14ac:dyDescent="0.25">
      <c r="A396" s="5" t="s">
        <v>117</v>
      </c>
      <c r="B396">
        <v>7172031004000200</v>
      </c>
      <c r="C396">
        <v>56</v>
      </c>
      <c r="D396">
        <v>15</v>
      </c>
      <c r="E396">
        <v>5</v>
      </c>
      <c r="F396">
        <v>0</v>
      </c>
      <c r="G396">
        <v>36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region_summary__52[[#This Row],[REJECTED BY Pengawas]]+region_summary__52[[#This Row],[REJECTED BY Admin Kabupaten]]</f>
        <v>0</v>
      </c>
    </row>
    <row r="397" spans="1:13" x14ac:dyDescent="0.25">
      <c r="A397" s="5" t="s">
        <v>117</v>
      </c>
      <c r="B397">
        <v>7172031004000100</v>
      </c>
      <c r="C397">
        <v>55</v>
      </c>
      <c r="D397">
        <v>22</v>
      </c>
      <c r="E397">
        <v>7</v>
      </c>
      <c r="F397">
        <v>0</v>
      </c>
      <c r="G397">
        <v>26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region_summary__52[[#This Row],[REJECTED BY Pengawas]]+region_summary__52[[#This Row],[REJECTED BY Admin Kabupaten]]</f>
        <v>0</v>
      </c>
    </row>
    <row r="398" spans="1:13" x14ac:dyDescent="0.25">
      <c r="A398" s="5" t="s">
        <v>117</v>
      </c>
      <c r="B398">
        <v>7172031004001000</v>
      </c>
      <c r="C398">
        <v>52</v>
      </c>
      <c r="D398">
        <v>39</v>
      </c>
      <c r="E398">
        <v>10</v>
      </c>
      <c r="F398">
        <v>2</v>
      </c>
      <c r="G398">
        <v>1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region_summary__52[[#This Row],[REJECTED BY Pengawas]]+region_summary__52[[#This Row],[REJECTED BY Admin Kabupaten]]</f>
        <v>0</v>
      </c>
    </row>
    <row r="399" spans="1:13" x14ac:dyDescent="0.25">
      <c r="A399" s="5" t="s">
        <v>117</v>
      </c>
      <c r="B399">
        <v>7172031004000300</v>
      </c>
      <c r="C399">
        <v>51</v>
      </c>
      <c r="D399">
        <v>15</v>
      </c>
      <c r="E399">
        <v>0</v>
      </c>
      <c r="F399">
        <v>0</v>
      </c>
      <c r="G399">
        <v>36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region_summary__52[[#This Row],[REJECTED BY Pengawas]]+region_summary__52[[#This Row],[REJECTED BY Admin Kabupaten]]</f>
        <v>0</v>
      </c>
    </row>
    <row r="400" spans="1:13" x14ac:dyDescent="0.25">
      <c r="A400" s="5" t="s">
        <v>117</v>
      </c>
      <c r="B400">
        <v>7172031004000500</v>
      </c>
      <c r="C400">
        <v>48</v>
      </c>
      <c r="D400">
        <v>40</v>
      </c>
      <c r="E400">
        <v>0</v>
      </c>
      <c r="F400">
        <v>6</v>
      </c>
      <c r="G400">
        <v>1</v>
      </c>
      <c r="H400">
        <v>0</v>
      </c>
      <c r="I400">
        <v>0</v>
      </c>
      <c r="J400">
        <v>1</v>
      </c>
      <c r="K400">
        <v>0</v>
      </c>
      <c r="L400">
        <v>0</v>
      </c>
      <c r="M400">
        <f>region_summary__52[[#This Row],[REJECTED BY Pengawas]]+region_summary__52[[#This Row],[REJECTED BY Admin Kabupaten]]</f>
        <v>0</v>
      </c>
    </row>
    <row r="401" spans="1:13" x14ac:dyDescent="0.25">
      <c r="A401" s="5" t="s">
        <v>117</v>
      </c>
      <c r="B401">
        <v>7172031004001100</v>
      </c>
      <c r="C401">
        <v>48</v>
      </c>
      <c r="D401">
        <v>8</v>
      </c>
      <c r="E401">
        <v>0</v>
      </c>
      <c r="F401">
        <v>0</v>
      </c>
      <c r="G401">
        <v>40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region_summary__52[[#This Row],[REJECTED BY Pengawas]]+region_summary__52[[#This Row],[REJECTED BY Admin Kabupaten]]</f>
        <v>0</v>
      </c>
    </row>
    <row r="402" spans="1:13" x14ac:dyDescent="0.25">
      <c r="A402" s="5" t="s">
        <v>117</v>
      </c>
      <c r="B402">
        <v>7172031004000700</v>
      </c>
      <c r="C402">
        <v>45</v>
      </c>
      <c r="D402">
        <v>10</v>
      </c>
      <c r="E402">
        <v>0</v>
      </c>
      <c r="F402">
        <v>0</v>
      </c>
      <c r="G402">
        <v>35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region_summary__52[[#This Row],[REJECTED BY Pengawas]]+region_summary__52[[#This Row],[REJECTED BY Admin Kabupaten]]</f>
        <v>0</v>
      </c>
    </row>
    <row r="403" spans="1:13" x14ac:dyDescent="0.25">
      <c r="A403" s="5" t="s">
        <v>117</v>
      </c>
      <c r="B403">
        <v>7172031004000600</v>
      </c>
      <c r="C403">
        <v>42</v>
      </c>
      <c r="D403">
        <v>18</v>
      </c>
      <c r="E403">
        <v>22</v>
      </c>
      <c r="F403">
        <v>0</v>
      </c>
      <c r="G403">
        <v>2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region_summary__52[[#This Row],[REJECTED BY Pengawas]]+region_summary__52[[#This Row],[REJECTED BY Admin Kabupaten]]</f>
        <v>0</v>
      </c>
    </row>
    <row r="404" spans="1:13" x14ac:dyDescent="0.25">
      <c r="A404" s="5" t="s">
        <v>117</v>
      </c>
      <c r="B404">
        <v>7172031004000400</v>
      </c>
      <c r="C404">
        <v>28</v>
      </c>
      <c r="D404">
        <v>12</v>
      </c>
      <c r="E404">
        <v>0</v>
      </c>
      <c r="F404">
        <v>0</v>
      </c>
      <c r="G404">
        <v>16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region_summary__52[[#This Row],[REJECTED BY Pengawas]]+region_summary__52[[#This Row],[REJECTED BY Admin Kabupaten]]</f>
        <v>0</v>
      </c>
    </row>
    <row r="405" spans="1:13" x14ac:dyDescent="0.25">
      <c r="A405" s="5" t="s">
        <v>243</v>
      </c>
      <c r="B405">
        <v>7172031003001800</v>
      </c>
      <c r="C405">
        <v>150</v>
      </c>
      <c r="D405">
        <v>112</v>
      </c>
      <c r="E405">
        <v>4</v>
      </c>
      <c r="F405">
        <v>22</v>
      </c>
      <c r="G405">
        <v>12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region_summary__52[[#This Row],[REJECTED BY Pengawas]]+region_summary__52[[#This Row],[REJECTED BY Admin Kabupaten]]</f>
        <v>0</v>
      </c>
    </row>
    <row r="406" spans="1:13" x14ac:dyDescent="0.25">
      <c r="A406" s="5" t="s">
        <v>243</v>
      </c>
      <c r="B406">
        <v>7172031003002700</v>
      </c>
      <c r="C406">
        <v>140</v>
      </c>
      <c r="D406">
        <v>88</v>
      </c>
      <c r="E406">
        <v>24</v>
      </c>
      <c r="F406">
        <v>1</v>
      </c>
      <c r="G406">
        <v>27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region_summary__52[[#This Row],[REJECTED BY Pengawas]]+region_summary__52[[#This Row],[REJECTED BY Admin Kabupaten]]</f>
        <v>0</v>
      </c>
    </row>
    <row r="407" spans="1:13" x14ac:dyDescent="0.25">
      <c r="A407" s="5" t="s">
        <v>243</v>
      </c>
      <c r="B407">
        <v>7172031003002500</v>
      </c>
      <c r="C407">
        <v>112</v>
      </c>
      <c r="D407">
        <v>74</v>
      </c>
      <c r="E407">
        <v>3</v>
      </c>
      <c r="F407">
        <v>22</v>
      </c>
      <c r="G407">
        <v>13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region_summary__52[[#This Row],[REJECTED BY Pengawas]]+region_summary__52[[#This Row],[REJECTED BY Admin Kabupaten]]</f>
        <v>0</v>
      </c>
    </row>
    <row r="408" spans="1:13" x14ac:dyDescent="0.25">
      <c r="A408" s="5" t="s">
        <v>243</v>
      </c>
      <c r="B408">
        <v>7172031003002600</v>
      </c>
      <c r="C408">
        <v>81</v>
      </c>
      <c r="D408">
        <v>65</v>
      </c>
      <c r="E408">
        <v>8</v>
      </c>
      <c r="F408">
        <v>5</v>
      </c>
      <c r="G408">
        <v>2</v>
      </c>
      <c r="H408">
        <v>0</v>
      </c>
      <c r="I408">
        <v>1</v>
      </c>
      <c r="J408">
        <v>0</v>
      </c>
      <c r="K408">
        <v>0</v>
      </c>
      <c r="L408">
        <v>0</v>
      </c>
      <c r="M408">
        <f>region_summary__52[[#This Row],[REJECTED BY Pengawas]]+region_summary__52[[#This Row],[REJECTED BY Admin Kabupaten]]</f>
        <v>1</v>
      </c>
    </row>
    <row r="409" spans="1:13" x14ac:dyDescent="0.25">
      <c r="A409" s="5" t="s">
        <v>243</v>
      </c>
      <c r="B409">
        <v>7172031003002300</v>
      </c>
      <c r="C409">
        <v>77</v>
      </c>
      <c r="D409">
        <v>0</v>
      </c>
      <c r="E409">
        <v>0</v>
      </c>
      <c r="F409">
        <v>0</v>
      </c>
      <c r="G409">
        <v>76</v>
      </c>
      <c r="H409">
        <v>0</v>
      </c>
      <c r="I409">
        <v>1</v>
      </c>
      <c r="J409">
        <v>0</v>
      </c>
      <c r="K409">
        <v>0</v>
      </c>
      <c r="L409">
        <v>0</v>
      </c>
      <c r="M409">
        <f>region_summary__52[[#This Row],[REJECTED BY Pengawas]]+region_summary__52[[#This Row],[REJECTED BY Admin Kabupaten]]</f>
        <v>1</v>
      </c>
    </row>
    <row r="410" spans="1:13" x14ac:dyDescent="0.25">
      <c r="A410" s="5" t="s">
        <v>243</v>
      </c>
      <c r="B410">
        <v>7172031003002400</v>
      </c>
      <c r="C410">
        <v>62</v>
      </c>
      <c r="D410">
        <v>40</v>
      </c>
      <c r="E410">
        <v>0</v>
      </c>
      <c r="F410">
        <v>11</v>
      </c>
      <c r="G410">
        <v>11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region_summary__52[[#This Row],[REJECTED BY Pengawas]]+region_summary__52[[#This Row],[REJECTED BY Admin Kabupaten]]</f>
        <v>0</v>
      </c>
    </row>
    <row r="411" spans="1:13" x14ac:dyDescent="0.25">
      <c r="A411" s="5" t="s">
        <v>243</v>
      </c>
      <c r="B411">
        <v>7172031003002200</v>
      </c>
      <c r="C411">
        <v>60</v>
      </c>
      <c r="D411">
        <v>1</v>
      </c>
      <c r="E411">
        <v>0</v>
      </c>
      <c r="F411">
        <v>0</v>
      </c>
      <c r="G411">
        <v>59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region_summary__52[[#This Row],[REJECTED BY Pengawas]]+region_summary__52[[#This Row],[REJECTED BY Admin Kabupaten]]</f>
        <v>0</v>
      </c>
    </row>
    <row r="412" spans="1:13" x14ac:dyDescent="0.25">
      <c r="A412" s="5" t="s">
        <v>120</v>
      </c>
      <c r="B412">
        <v>7172031006000101</v>
      </c>
      <c r="C412">
        <v>229</v>
      </c>
      <c r="D412">
        <v>219</v>
      </c>
      <c r="E412">
        <v>4</v>
      </c>
      <c r="F412">
        <v>2</v>
      </c>
      <c r="G412">
        <v>3</v>
      </c>
      <c r="H412">
        <v>0</v>
      </c>
      <c r="I412">
        <v>0</v>
      </c>
      <c r="J412">
        <v>0</v>
      </c>
      <c r="K412">
        <v>1</v>
      </c>
      <c r="L412">
        <v>0</v>
      </c>
      <c r="M412">
        <f>region_summary__52[[#This Row],[REJECTED BY Pengawas]]+region_summary__52[[#This Row],[REJECTED BY Admin Kabupaten]]</f>
        <v>0</v>
      </c>
    </row>
    <row r="413" spans="1:13" x14ac:dyDescent="0.25">
      <c r="A413" s="5" t="s">
        <v>120</v>
      </c>
      <c r="B413">
        <v>7172031006000200</v>
      </c>
      <c r="C413">
        <v>136</v>
      </c>
      <c r="D413">
        <v>4</v>
      </c>
      <c r="E413">
        <v>60</v>
      </c>
      <c r="F413">
        <v>0</v>
      </c>
      <c r="G413">
        <v>71</v>
      </c>
      <c r="H413">
        <v>0</v>
      </c>
      <c r="I413">
        <v>0</v>
      </c>
      <c r="J413">
        <v>0</v>
      </c>
      <c r="K413">
        <v>1</v>
      </c>
      <c r="L413">
        <v>0</v>
      </c>
      <c r="M413">
        <f>region_summary__52[[#This Row],[REJECTED BY Pengawas]]+region_summary__52[[#This Row],[REJECTED BY Admin Kabupaten]]</f>
        <v>0</v>
      </c>
    </row>
    <row r="414" spans="1:13" x14ac:dyDescent="0.25">
      <c r="A414" s="5" t="s">
        <v>120</v>
      </c>
      <c r="B414">
        <v>7172031006000300</v>
      </c>
      <c r="C414">
        <v>134</v>
      </c>
      <c r="D414">
        <v>16</v>
      </c>
      <c r="E414">
        <v>1</v>
      </c>
      <c r="F414">
        <v>0</v>
      </c>
      <c r="G414">
        <v>117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region_summary__52[[#This Row],[REJECTED BY Pengawas]]+region_summary__52[[#This Row],[REJECTED BY Admin Kabupaten]]</f>
        <v>0</v>
      </c>
    </row>
    <row r="415" spans="1:13" x14ac:dyDescent="0.25">
      <c r="A415" s="5" t="s">
        <v>120</v>
      </c>
      <c r="B415">
        <v>7172031006000400</v>
      </c>
      <c r="C415">
        <v>123</v>
      </c>
      <c r="D415">
        <v>0</v>
      </c>
      <c r="E415">
        <v>0</v>
      </c>
      <c r="F415">
        <v>0</v>
      </c>
      <c r="G415">
        <v>123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region_summary__52[[#This Row],[REJECTED BY Pengawas]]+region_summary__52[[#This Row],[REJECTED BY Admin Kabupaten]]</f>
        <v>0</v>
      </c>
    </row>
    <row r="416" spans="1:13" x14ac:dyDescent="0.25">
      <c r="A416" s="5" t="s">
        <v>120</v>
      </c>
      <c r="B416">
        <v>7172031006000102</v>
      </c>
      <c r="C416">
        <v>95</v>
      </c>
      <c r="D416">
        <v>78</v>
      </c>
      <c r="E416">
        <v>10</v>
      </c>
      <c r="F416">
        <v>0</v>
      </c>
      <c r="G416">
        <v>3</v>
      </c>
      <c r="H416">
        <v>0</v>
      </c>
      <c r="I416">
        <v>0</v>
      </c>
      <c r="J416">
        <v>0</v>
      </c>
      <c r="K416">
        <v>4</v>
      </c>
      <c r="L416">
        <v>0</v>
      </c>
      <c r="M416">
        <f>region_summary__52[[#This Row],[REJECTED BY Pengawas]]+region_summary__52[[#This Row],[REJECTED BY Admin Kabupaten]]</f>
        <v>0</v>
      </c>
    </row>
    <row r="417" spans="1:13" x14ac:dyDescent="0.25">
      <c r="A417" s="5" t="s">
        <v>127</v>
      </c>
      <c r="B417">
        <v>7172031007001600</v>
      </c>
      <c r="C417">
        <v>137</v>
      </c>
      <c r="D417">
        <v>82</v>
      </c>
      <c r="E417">
        <v>4</v>
      </c>
      <c r="F417">
        <v>0</v>
      </c>
      <c r="G417">
        <v>49</v>
      </c>
      <c r="H417">
        <v>0</v>
      </c>
      <c r="I417">
        <v>2</v>
      </c>
      <c r="J417">
        <v>0</v>
      </c>
      <c r="K417">
        <v>0</v>
      </c>
      <c r="L417">
        <v>0</v>
      </c>
      <c r="M417">
        <f>region_summary__52[[#This Row],[REJECTED BY Pengawas]]+region_summary__52[[#This Row],[REJECTED BY Admin Kabupaten]]</f>
        <v>2</v>
      </c>
    </row>
    <row r="418" spans="1:13" x14ac:dyDescent="0.25">
      <c r="A418" s="5" t="s">
        <v>127</v>
      </c>
      <c r="B418">
        <v>7172031007001800</v>
      </c>
      <c r="C418">
        <v>117</v>
      </c>
      <c r="D418">
        <v>18</v>
      </c>
      <c r="E418">
        <v>0</v>
      </c>
      <c r="F418">
        <v>0</v>
      </c>
      <c r="G418">
        <v>99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region_summary__52[[#This Row],[REJECTED BY Pengawas]]+region_summary__52[[#This Row],[REJECTED BY Admin Kabupaten]]</f>
        <v>0</v>
      </c>
    </row>
    <row r="419" spans="1:13" x14ac:dyDescent="0.25">
      <c r="A419" s="5" t="s">
        <v>127</v>
      </c>
      <c r="B419">
        <v>7172031007001200</v>
      </c>
      <c r="C419">
        <v>106</v>
      </c>
      <c r="D419">
        <v>84</v>
      </c>
      <c r="E419">
        <v>3</v>
      </c>
      <c r="F419">
        <v>0</v>
      </c>
      <c r="G419">
        <v>9</v>
      </c>
      <c r="H419">
        <v>0</v>
      </c>
      <c r="I419">
        <v>9</v>
      </c>
      <c r="J419">
        <v>1</v>
      </c>
      <c r="K419">
        <v>0</v>
      </c>
      <c r="L419">
        <v>0</v>
      </c>
      <c r="M419">
        <f>region_summary__52[[#This Row],[REJECTED BY Pengawas]]+region_summary__52[[#This Row],[REJECTED BY Admin Kabupaten]]</f>
        <v>9</v>
      </c>
    </row>
    <row r="420" spans="1:13" x14ac:dyDescent="0.25">
      <c r="A420" s="5" t="s">
        <v>127</v>
      </c>
      <c r="B420">
        <v>7172031007001000</v>
      </c>
      <c r="C420">
        <v>102</v>
      </c>
      <c r="D420">
        <v>91</v>
      </c>
      <c r="E420">
        <v>1</v>
      </c>
      <c r="F420">
        <v>0</v>
      </c>
      <c r="G420">
        <v>4</v>
      </c>
      <c r="H420">
        <v>0</v>
      </c>
      <c r="I420">
        <v>5</v>
      </c>
      <c r="J420">
        <v>1</v>
      </c>
      <c r="K420">
        <v>0</v>
      </c>
      <c r="L420">
        <v>0</v>
      </c>
      <c r="M420">
        <f>region_summary__52[[#This Row],[REJECTED BY Pengawas]]+region_summary__52[[#This Row],[REJECTED BY Admin Kabupaten]]</f>
        <v>5</v>
      </c>
    </row>
    <row r="421" spans="1:13" x14ac:dyDescent="0.25">
      <c r="A421" s="5" t="s">
        <v>127</v>
      </c>
      <c r="B421">
        <v>7172031007001700</v>
      </c>
      <c r="C421">
        <v>99</v>
      </c>
      <c r="D421">
        <v>72</v>
      </c>
      <c r="E421">
        <v>1</v>
      </c>
      <c r="F421">
        <v>0</v>
      </c>
      <c r="G421">
        <v>21</v>
      </c>
      <c r="H421">
        <v>0</v>
      </c>
      <c r="I421">
        <v>5</v>
      </c>
      <c r="J421">
        <v>0</v>
      </c>
      <c r="K421">
        <v>0</v>
      </c>
      <c r="L421">
        <v>0</v>
      </c>
      <c r="M421">
        <f>region_summary__52[[#This Row],[REJECTED BY Pengawas]]+region_summary__52[[#This Row],[REJECTED BY Admin Kabupaten]]</f>
        <v>5</v>
      </c>
    </row>
    <row r="422" spans="1:13" x14ac:dyDescent="0.25">
      <c r="A422" s="5" t="s">
        <v>127</v>
      </c>
      <c r="B422">
        <v>7172031007002000</v>
      </c>
      <c r="C422">
        <v>82</v>
      </c>
      <c r="D422">
        <v>12</v>
      </c>
      <c r="E422">
        <v>0</v>
      </c>
      <c r="F422">
        <v>0</v>
      </c>
      <c r="G422">
        <v>56</v>
      </c>
      <c r="H422">
        <v>0</v>
      </c>
      <c r="I422">
        <v>0</v>
      </c>
      <c r="J422">
        <v>0</v>
      </c>
      <c r="K422">
        <v>14</v>
      </c>
      <c r="L422">
        <v>0</v>
      </c>
      <c r="M422">
        <f>region_summary__52[[#This Row],[REJECTED BY Pengawas]]+region_summary__52[[#This Row],[REJECTED BY Admin Kabupaten]]</f>
        <v>0</v>
      </c>
    </row>
    <row r="423" spans="1:13" x14ac:dyDescent="0.25">
      <c r="A423" s="5" t="s">
        <v>122</v>
      </c>
      <c r="B423">
        <v>7172031006000900</v>
      </c>
      <c r="C423">
        <v>204</v>
      </c>
      <c r="D423">
        <v>148</v>
      </c>
      <c r="E423">
        <v>16</v>
      </c>
      <c r="F423">
        <v>0</v>
      </c>
      <c r="G423">
        <v>36</v>
      </c>
      <c r="H423">
        <v>0</v>
      </c>
      <c r="I423">
        <v>3</v>
      </c>
      <c r="J423">
        <v>0</v>
      </c>
      <c r="K423">
        <v>1</v>
      </c>
      <c r="L423">
        <v>0</v>
      </c>
      <c r="M423">
        <f>region_summary__52[[#This Row],[REJECTED BY Pengawas]]+region_summary__52[[#This Row],[REJECTED BY Admin Kabupaten]]</f>
        <v>3</v>
      </c>
    </row>
    <row r="424" spans="1:13" x14ac:dyDescent="0.25">
      <c r="A424" s="5" t="s">
        <v>122</v>
      </c>
      <c r="B424">
        <v>7172031006001200</v>
      </c>
      <c r="C424">
        <v>136</v>
      </c>
      <c r="D424">
        <v>0</v>
      </c>
      <c r="E424">
        <v>0</v>
      </c>
      <c r="F424">
        <v>0</v>
      </c>
      <c r="G424">
        <v>136</v>
      </c>
      <c r="H424">
        <v>0</v>
      </c>
      <c r="I424">
        <v>0</v>
      </c>
      <c r="J424">
        <v>0</v>
      </c>
      <c r="K424">
        <v>0</v>
      </c>
      <c r="L424">
        <v>0</v>
      </c>
      <c r="M424">
        <f>region_summary__52[[#This Row],[REJECTED BY Pengawas]]+region_summary__52[[#This Row],[REJECTED BY Admin Kabupaten]]</f>
        <v>0</v>
      </c>
    </row>
    <row r="425" spans="1:13" x14ac:dyDescent="0.25">
      <c r="A425" s="5" t="s">
        <v>122</v>
      </c>
      <c r="B425">
        <v>7172031006001000</v>
      </c>
      <c r="C425">
        <v>117</v>
      </c>
      <c r="D425">
        <v>1</v>
      </c>
      <c r="E425">
        <v>29</v>
      </c>
      <c r="F425">
        <v>0</v>
      </c>
      <c r="G425">
        <v>46</v>
      </c>
      <c r="H425">
        <v>0</v>
      </c>
      <c r="I425">
        <v>0</v>
      </c>
      <c r="J425">
        <v>0</v>
      </c>
      <c r="K425">
        <v>41</v>
      </c>
      <c r="L425">
        <v>0</v>
      </c>
      <c r="M425">
        <f>region_summary__52[[#This Row],[REJECTED BY Pengawas]]+region_summary__52[[#This Row],[REJECTED BY Admin Kabupaten]]</f>
        <v>0</v>
      </c>
    </row>
    <row r="426" spans="1:13" x14ac:dyDescent="0.25">
      <c r="A426" s="5" t="s">
        <v>122</v>
      </c>
      <c r="B426">
        <v>7172031006001300</v>
      </c>
      <c r="C426">
        <v>116</v>
      </c>
      <c r="D426">
        <v>111</v>
      </c>
      <c r="E426">
        <v>5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region_summary__52[[#This Row],[REJECTED BY Pengawas]]+region_summary__52[[#This Row],[REJECTED BY Admin Kabupaten]]</f>
        <v>0</v>
      </c>
    </row>
    <row r="427" spans="1:13" x14ac:dyDescent="0.25">
      <c r="A427" s="5" t="s">
        <v>122</v>
      </c>
      <c r="B427">
        <v>7172031006000700</v>
      </c>
      <c r="C427">
        <v>72</v>
      </c>
      <c r="D427">
        <v>3</v>
      </c>
      <c r="E427">
        <v>0</v>
      </c>
      <c r="F427">
        <v>0</v>
      </c>
      <c r="G427">
        <v>69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region_summary__52[[#This Row],[REJECTED BY Pengawas]]+region_summary__52[[#This Row],[REJECTED BY Admin Kabupaten]]</f>
        <v>0</v>
      </c>
    </row>
    <row r="428" spans="1:13" x14ac:dyDescent="0.25">
      <c r="A428" s="5" t="s">
        <v>124</v>
      </c>
      <c r="B428">
        <v>7172031006001400</v>
      </c>
      <c r="C428">
        <v>178</v>
      </c>
      <c r="D428">
        <v>153</v>
      </c>
      <c r="E428">
        <v>16</v>
      </c>
      <c r="F428">
        <v>2</v>
      </c>
      <c r="G428">
        <v>0</v>
      </c>
      <c r="H428">
        <v>0</v>
      </c>
      <c r="I428">
        <v>6</v>
      </c>
      <c r="J428">
        <v>0</v>
      </c>
      <c r="K428">
        <v>1</v>
      </c>
      <c r="L428">
        <v>0</v>
      </c>
      <c r="M428">
        <f>region_summary__52[[#This Row],[REJECTED BY Pengawas]]+region_summary__52[[#This Row],[REJECTED BY Admin Kabupaten]]</f>
        <v>6</v>
      </c>
    </row>
    <row r="429" spans="1:13" x14ac:dyDescent="0.25">
      <c r="A429" s="5" t="s">
        <v>124</v>
      </c>
      <c r="B429">
        <v>7172031006001500</v>
      </c>
      <c r="C429">
        <v>155</v>
      </c>
      <c r="D429">
        <v>52</v>
      </c>
      <c r="E429">
        <v>36</v>
      </c>
      <c r="F429">
        <v>0</v>
      </c>
      <c r="G429">
        <v>59</v>
      </c>
      <c r="H429">
        <v>0</v>
      </c>
      <c r="I429">
        <v>0</v>
      </c>
      <c r="J429">
        <v>0</v>
      </c>
      <c r="K429">
        <v>8</v>
      </c>
      <c r="L429">
        <v>0</v>
      </c>
      <c r="M429">
        <f>region_summary__52[[#This Row],[REJECTED BY Pengawas]]+region_summary__52[[#This Row],[REJECTED BY Admin Kabupaten]]</f>
        <v>0</v>
      </c>
    </row>
    <row r="430" spans="1:13" x14ac:dyDescent="0.25">
      <c r="A430" s="5" t="s">
        <v>124</v>
      </c>
      <c r="B430">
        <v>7172031006001700</v>
      </c>
      <c r="C430">
        <v>139</v>
      </c>
      <c r="D430">
        <v>110</v>
      </c>
      <c r="E430">
        <v>5</v>
      </c>
      <c r="F430">
        <v>1</v>
      </c>
      <c r="G430">
        <v>7</v>
      </c>
      <c r="H430">
        <v>0</v>
      </c>
      <c r="I430">
        <v>16</v>
      </c>
      <c r="J430">
        <v>0</v>
      </c>
      <c r="K430">
        <v>0</v>
      </c>
      <c r="L430">
        <v>0</v>
      </c>
      <c r="M430">
        <f>region_summary__52[[#This Row],[REJECTED BY Pengawas]]+region_summary__52[[#This Row],[REJECTED BY Admin Kabupaten]]</f>
        <v>16</v>
      </c>
    </row>
    <row r="431" spans="1:13" x14ac:dyDescent="0.25">
      <c r="A431" s="5" t="s">
        <v>124</v>
      </c>
      <c r="B431">
        <v>7172031006001600</v>
      </c>
      <c r="C431">
        <v>101</v>
      </c>
      <c r="D431">
        <v>73</v>
      </c>
      <c r="E431">
        <v>17</v>
      </c>
      <c r="F431">
        <v>0</v>
      </c>
      <c r="G431">
        <v>9</v>
      </c>
      <c r="H431">
        <v>0</v>
      </c>
      <c r="I431">
        <v>2</v>
      </c>
      <c r="J431">
        <v>0</v>
      </c>
      <c r="K431">
        <v>0</v>
      </c>
      <c r="L431">
        <v>0</v>
      </c>
      <c r="M431">
        <f>region_summary__52[[#This Row],[REJECTED BY Pengawas]]+region_summary__52[[#This Row],[REJECTED BY Admin Kabupaten]]</f>
        <v>2</v>
      </c>
    </row>
    <row r="432" spans="1:13" x14ac:dyDescent="0.25">
      <c r="A432" s="5" t="s">
        <v>124</v>
      </c>
      <c r="B432">
        <v>7172031006001800</v>
      </c>
      <c r="C432">
        <v>91</v>
      </c>
      <c r="D432">
        <v>0</v>
      </c>
      <c r="E432">
        <v>1</v>
      </c>
      <c r="F432">
        <v>0</v>
      </c>
      <c r="G432">
        <v>90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region_summary__52[[#This Row],[REJECTED BY Pengawas]]+region_summary__52[[#This Row],[REJECTED BY Admin Kabupaten]]</f>
        <v>0</v>
      </c>
    </row>
    <row r="433" spans="1:13" x14ac:dyDescent="0.25">
      <c r="A433" s="5" t="s">
        <v>129</v>
      </c>
      <c r="B433">
        <v>7172031008000300</v>
      </c>
      <c r="C433">
        <v>93</v>
      </c>
      <c r="D433">
        <v>92</v>
      </c>
      <c r="E433">
        <v>0</v>
      </c>
      <c r="F433">
        <v>0</v>
      </c>
      <c r="G433">
        <v>0</v>
      </c>
      <c r="H433">
        <v>0</v>
      </c>
      <c r="I433">
        <v>1</v>
      </c>
      <c r="J433">
        <v>0</v>
      </c>
      <c r="K433">
        <v>0</v>
      </c>
      <c r="L433">
        <v>0</v>
      </c>
      <c r="M433">
        <f>region_summary__52[[#This Row],[REJECTED BY Pengawas]]+region_summary__52[[#This Row],[REJECTED BY Admin Kabupaten]]</f>
        <v>1</v>
      </c>
    </row>
    <row r="434" spans="1:13" x14ac:dyDescent="0.25">
      <c r="A434" s="5" t="s">
        <v>129</v>
      </c>
      <c r="B434">
        <v>7172031008000900</v>
      </c>
      <c r="C434">
        <v>93</v>
      </c>
      <c r="D434">
        <v>86</v>
      </c>
      <c r="E434">
        <v>4</v>
      </c>
      <c r="F434">
        <v>0</v>
      </c>
      <c r="G434">
        <v>3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region_summary__52[[#This Row],[REJECTED BY Pengawas]]+region_summary__52[[#This Row],[REJECTED BY Admin Kabupaten]]</f>
        <v>0</v>
      </c>
    </row>
    <row r="435" spans="1:13" x14ac:dyDescent="0.25">
      <c r="A435" s="5" t="s">
        <v>129</v>
      </c>
      <c r="B435">
        <v>7172031008001200</v>
      </c>
      <c r="C435">
        <v>92</v>
      </c>
      <c r="D435">
        <v>15</v>
      </c>
      <c r="E435">
        <v>14</v>
      </c>
      <c r="F435">
        <v>0</v>
      </c>
      <c r="G435">
        <v>63</v>
      </c>
      <c r="H435">
        <v>0</v>
      </c>
      <c r="I435">
        <v>0</v>
      </c>
      <c r="J435">
        <v>0</v>
      </c>
      <c r="K435">
        <v>0</v>
      </c>
      <c r="L435">
        <v>0</v>
      </c>
      <c r="M435">
        <f>region_summary__52[[#This Row],[REJECTED BY Pengawas]]+region_summary__52[[#This Row],[REJECTED BY Admin Kabupaten]]</f>
        <v>0</v>
      </c>
    </row>
    <row r="436" spans="1:13" x14ac:dyDescent="0.25">
      <c r="A436" s="5" t="s">
        <v>129</v>
      </c>
      <c r="B436">
        <v>7172031008001000</v>
      </c>
      <c r="C436">
        <v>86</v>
      </c>
      <c r="D436">
        <v>0</v>
      </c>
      <c r="E436">
        <v>0</v>
      </c>
      <c r="F436">
        <v>0</v>
      </c>
      <c r="G436">
        <v>86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region_summary__52[[#This Row],[REJECTED BY Pengawas]]+region_summary__52[[#This Row],[REJECTED BY Admin Kabupaten]]</f>
        <v>0</v>
      </c>
    </row>
    <row r="437" spans="1:13" x14ac:dyDescent="0.25">
      <c r="A437" s="5" t="s">
        <v>129</v>
      </c>
      <c r="B437">
        <v>7172031008001300</v>
      </c>
      <c r="C437">
        <v>73</v>
      </c>
      <c r="D437">
        <v>0</v>
      </c>
      <c r="E437">
        <v>0</v>
      </c>
      <c r="F437">
        <v>0</v>
      </c>
      <c r="G437">
        <v>73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region_summary__52[[#This Row],[REJECTED BY Pengawas]]+region_summary__52[[#This Row],[REJECTED BY Admin Kabupaten]]</f>
        <v>0</v>
      </c>
    </row>
    <row r="438" spans="1:13" x14ac:dyDescent="0.25">
      <c r="A438" s="5" t="s">
        <v>129</v>
      </c>
      <c r="B438">
        <v>7172031008001100</v>
      </c>
      <c r="C438">
        <v>57</v>
      </c>
      <c r="D438">
        <v>0</v>
      </c>
      <c r="E438">
        <v>0</v>
      </c>
      <c r="F438">
        <v>0</v>
      </c>
      <c r="G438">
        <v>57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region_summary__52[[#This Row],[REJECTED BY Pengawas]]+region_summary__52[[#This Row],[REJECTED BY Admin Kabupaten]]</f>
        <v>0</v>
      </c>
    </row>
    <row r="439" spans="1:13" x14ac:dyDescent="0.25">
      <c r="A439" s="5" t="s">
        <v>129</v>
      </c>
      <c r="B439">
        <v>7172031008000500</v>
      </c>
      <c r="C439">
        <v>50</v>
      </c>
      <c r="D439">
        <v>47</v>
      </c>
      <c r="E439">
        <v>1</v>
      </c>
      <c r="F439">
        <v>0</v>
      </c>
      <c r="G439">
        <v>1</v>
      </c>
      <c r="H439">
        <v>0</v>
      </c>
      <c r="I439">
        <v>0</v>
      </c>
      <c r="J439">
        <v>1</v>
      </c>
      <c r="K439">
        <v>0</v>
      </c>
      <c r="L439">
        <v>0</v>
      </c>
      <c r="M439">
        <f>region_summary__52[[#This Row],[REJECTED BY Pengawas]]+region_summary__52[[#This Row],[REJECTED BY Admin Kabupaten]]</f>
        <v>0</v>
      </c>
    </row>
    <row r="440" spans="1:13" x14ac:dyDescent="0.25">
      <c r="A440" s="5" t="s">
        <v>129</v>
      </c>
      <c r="B440">
        <v>7172031008000600</v>
      </c>
      <c r="C440">
        <v>46</v>
      </c>
      <c r="D440">
        <v>42</v>
      </c>
      <c r="E440">
        <v>1</v>
      </c>
      <c r="F440">
        <v>2</v>
      </c>
      <c r="G440">
        <v>0</v>
      </c>
      <c r="H440">
        <v>0</v>
      </c>
      <c r="I440">
        <v>1</v>
      </c>
      <c r="J440">
        <v>0</v>
      </c>
      <c r="K440">
        <v>0</v>
      </c>
      <c r="L440">
        <v>0</v>
      </c>
      <c r="M440">
        <f>region_summary__52[[#This Row],[REJECTED BY Pengawas]]+region_summary__52[[#This Row],[REJECTED BY Admin Kabupaten]]</f>
        <v>1</v>
      </c>
    </row>
    <row r="441" spans="1:13" x14ac:dyDescent="0.25">
      <c r="A441" s="5" t="s">
        <v>129</v>
      </c>
      <c r="B441">
        <v>7172031008000700</v>
      </c>
      <c r="C441">
        <v>26</v>
      </c>
      <c r="D441">
        <v>25</v>
      </c>
      <c r="E441">
        <v>0</v>
      </c>
      <c r="F441">
        <v>1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region_summary__52[[#This Row],[REJECTED BY Pengawas]]+region_summary__52[[#This Row],[REJECTED BY Admin Kabupaten]]</f>
        <v>0</v>
      </c>
    </row>
    <row r="442" spans="1:13" x14ac:dyDescent="0.25">
      <c r="A442" s="5" t="s">
        <v>129</v>
      </c>
      <c r="B442">
        <v>7172031008500100</v>
      </c>
      <c r="C442">
        <v>21</v>
      </c>
      <c r="D442">
        <v>19</v>
      </c>
      <c r="E442">
        <v>1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region_summary__52[[#This Row],[REJECTED BY Pengawas]]+region_summary__52[[#This Row],[REJECTED BY Admin Kabupaten]]</f>
        <v>0</v>
      </c>
    </row>
    <row r="443" spans="1:13" x14ac:dyDescent="0.25">
      <c r="A443" s="5" t="s">
        <v>130</v>
      </c>
      <c r="B443">
        <v>7172040009000500</v>
      </c>
      <c r="C443">
        <v>98</v>
      </c>
      <c r="D443">
        <v>54</v>
      </c>
      <c r="E443">
        <v>9</v>
      </c>
      <c r="F443">
        <v>1</v>
      </c>
      <c r="G443">
        <v>14</v>
      </c>
      <c r="H443">
        <v>0</v>
      </c>
      <c r="I443">
        <v>0</v>
      </c>
      <c r="J443">
        <v>0</v>
      </c>
      <c r="K443">
        <v>20</v>
      </c>
      <c r="L443">
        <v>0</v>
      </c>
      <c r="M443">
        <f>region_summary__52[[#This Row],[REJECTED BY Pengawas]]+region_summary__52[[#This Row],[REJECTED BY Admin Kabupaten]]</f>
        <v>0</v>
      </c>
    </row>
    <row r="444" spans="1:13" x14ac:dyDescent="0.25">
      <c r="A444" s="5" t="s">
        <v>130</v>
      </c>
      <c r="B444">
        <v>7172040009000200</v>
      </c>
      <c r="C444">
        <v>85</v>
      </c>
      <c r="D444">
        <v>0</v>
      </c>
      <c r="E444">
        <v>0</v>
      </c>
      <c r="F444">
        <v>0</v>
      </c>
      <c r="G444">
        <v>85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region_summary__52[[#This Row],[REJECTED BY Pengawas]]+region_summary__52[[#This Row],[REJECTED BY Admin Kabupaten]]</f>
        <v>0</v>
      </c>
    </row>
    <row r="445" spans="1:13" x14ac:dyDescent="0.25">
      <c r="A445" s="5" t="s">
        <v>130</v>
      </c>
      <c r="B445">
        <v>7172040009000600</v>
      </c>
      <c r="C445">
        <v>84</v>
      </c>
      <c r="D445">
        <v>67</v>
      </c>
      <c r="E445">
        <v>5</v>
      </c>
      <c r="F445">
        <v>1</v>
      </c>
      <c r="G445">
        <v>6</v>
      </c>
      <c r="H445">
        <v>0</v>
      </c>
      <c r="I445">
        <v>2</v>
      </c>
      <c r="J445">
        <v>0</v>
      </c>
      <c r="K445">
        <v>3</v>
      </c>
      <c r="L445">
        <v>0</v>
      </c>
      <c r="M445">
        <f>region_summary__52[[#This Row],[REJECTED BY Pengawas]]+region_summary__52[[#This Row],[REJECTED BY Admin Kabupaten]]</f>
        <v>2</v>
      </c>
    </row>
    <row r="446" spans="1:13" x14ac:dyDescent="0.25">
      <c r="A446" s="5" t="s">
        <v>130</v>
      </c>
      <c r="B446">
        <v>7172040001000200</v>
      </c>
      <c r="C446">
        <v>72</v>
      </c>
      <c r="D446">
        <v>7</v>
      </c>
      <c r="E446">
        <v>0</v>
      </c>
      <c r="F446">
        <v>0</v>
      </c>
      <c r="G446">
        <v>31</v>
      </c>
      <c r="H446">
        <v>0</v>
      </c>
      <c r="I446">
        <v>0</v>
      </c>
      <c r="J446">
        <v>0</v>
      </c>
      <c r="K446">
        <v>34</v>
      </c>
      <c r="L446">
        <v>0</v>
      </c>
      <c r="M446">
        <f>region_summary__52[[#This Row],[REJECTED BY Pengawas]]+region_summary__52[[#This Row],[REJECTED BY Admin Kabupaten]]</f>
        <v>0</v>
      </c>
    </row>
    <row r="447" spans="1:13" x14ac:dyDescent="0.25">
      <c r="A447" s="5" t="s">
        <v>130</v>
      </c>
      <c r="B447">
        <v>7172040009000100</v>
      </c>
      <c r="C447">
        <v>69</v>
      </c>
      <c r="D447">
        <v>2</v>
      </c>
      <c r="E447">
        <v>0</v>
      </c>
      <c r="F447">
        <v>0</v>
      </c>
      <c r="G447">
        <v>62</v>
      </c>
      <c r="H447">
        <v>0</v>
      </c>
      <c r="I447">
        <v>0</v>
      </c>
      <c r="J447">
        <v>0</v>
      </c>
      <c r="K447">
        <v>5</v>
      </c>
      <c r="L447">
        <v>0</v>
      </c>
      <c r="M447">
        <f>region_summary__52[[#This Row],[REJECTED BY Pengawas]]+region_summary__52[[#This Row],[REJECTED BY Admin Kabupaten]]</f>
        <v>0</v>
      </c>
    </row>
    <row r="448" spans="1:13" x14ac:dyDescent="0.25">
      <c r="A448" s="5" t="s">
        <v>130</v>
      </c>
      <c r="B448">
        <v>7172040009000300</v>
      </c>
      <c r="C448">
        <v>67</v>
      </c>
      <c r="D448">
        <v>5</v>
      </c>
      <c r="E448">
        <v>3</v>
      </c>
      <c r="F448">
        <v>0</v>
      </c>
      <c r="G448">
        <v>45</v>
      </c>
      <c r="H448">
        <v>0</v>
      </c>
      <c r="I448">
        <v>0</v>
      </c>
      <c r="J448">
        <v>0</v>
      </c>
      <c r="K448">
        <v>14</v>
      </c>
      <c r="L448">
        <v>0</v>
      </c>
      <c r="M448">
        <f>region_summary__52[[#This Row],[REJECTED BY Pengawas]]+region_summary__52[[#This Row],[REJECTED BY Admin Kabupaten]]</f>
        <v>0</v>
      </c>
    </row>
    <row r="449" spans="1:13" x14ac:dyDescent="0.25">
      <c r="A449" s="5" t="s">
        <v>130</v>
      </c>
      <c r="B449">
        <v>7172040001000100</v>
      </c>
      <c r="C449">
        <v>59</v>
      </c>
      <c r="D449">
        <v>12</v>
      </c>
      <c r="E449">
        <v>0</v>
      </c>
      <c r="F449">
        <v>0</v>
      </c>
      <c r="G449">
        <v>22</v>
      </c>
      <c r="H449">
        <v>0</v>
      </c>
      <c r="I449">
        <v>8</v>
      </c>
      <c r="J449">
        <v>0</v>
      </c>
      <c r="K449">
        <v>17</v>
      </c>
      <c r="L449">
        <v>0</v>
      </c>
      <c r="M449">
        <f>region_summary__52[[#This Row],[REJECTED BY Pengawas]]+region_summary__52[[#This Row],[REJECTED BY Admin Kabupaten]]</f>
        <v>8</v>
      </c>
    </row>
    <row r="450" spans="1:13" x14ac:dyDescent="0.25">
      <c r="A450" s="5" t="s">
        <v>130</v>
      </c>
      <c r="B450">
        <v>7172040009000400</v>
      </c>
      <c r="C450">
        <v>59</v>
      </c>
      <c r="D450">
        <v>15</v>
      </c>
      <c r="E450">
        <v>5</v>
      </c>
      <c r="F450">
        <v>0</v>
      </c>
      <c r="G450">
        <v>39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region_summary__52[[#This Row],[REJECTED BY Pengawas]]+region_summary__52[[#This Row],[REJECTED BY Admin Kabupaten]]</f>
        <v>0</v>
      </c>
    </row>
    <row r="451" spans="1:13" x14ac:dyDescent="0.25">
      <c r="A451" s="5" t="s">
        <v>130</v>
      </c>
      <c r="B451">
        <v>7172040001000300</v>
      </c>
      <c r="C451">
        <v>38</v>
      </c>
      <c r="D451">
        <v>8</v>
      </c>
      <c r="E451">
        <v>0</v>
      </c>
      <c r="F451">
        <v>0</v>
      </c>
      <c r="G451">
        <v>26</v>
      </c>
      <c r="H451">
        <v>0</v>
      </c>
      <c r="I451">
        <v>0</v>
      </c>
      <c r="J451">
        <v>0</v>
      </c>
      <c r="K451">
        <v>4</v>
      </c>
      <c r="L451">
        <v>0</v>
      </c>
      <c r="M451">
        <f>region_summary__52[[#This Row],[REJECTED BY Pengawas]]+region_summary__52[[#This Row],[REJECTED BY Admin Kabupaten]]</f>
        <v>0</v>
      </c>
    </row>
    <row r="452" spans="1:13" x14ac:dyDescent="0.25">
      <c r="A452" s="5" t="s">
        <v>132</v>
      </c>
      <c r="B452">
        <v>7172040003000601</v>
      </c>
      <c r="C452">
        <v>198</v>
      </c>
      <c r="D452">
        <v>180</v>
      </c>
      <c r="E452">
        <v>15</v>
      </c>
      <c r="F452">
        <v>2</v>
      </c>
      <c r="G452">
        <v>1</v>
      </c>
      <c r="H452">
        <v>0</v>
      </c>
      <c r="I452">
        <v>0</v>
      </c>
      <c r="J452">
        <v>0</v>
      </c>
      <c r="K452">
        <v>0</v>
      </c>
      <c r="L452">
        <v>0</v>
      </c>
      <c r="M452">
        <f>region_summary__52[[#This Row],[REJECTED BY Pengawas]]+region_summary__52[[#This Row],[REJECTED BY Admin Kabupaten]]</f>
        <v>0</v>
      </c>
    </row>
    <row r="453" spans="1:13" x14ac:dyDescent="0.25">
      <c r="A453" s="5" t="s">
        <v>132</v>
      </c>
      <c r="B453">
        <v>7172040003000500</v>
      </c>
      <c r="C453">
        <v>170</v>
      </c>
      <c r="D453">
        <v>42</v>
      </c>
      <c r="E453">
        <v>12</v>
      </c>
      <c r="F453">
        <v>0</v>
      </c>
      <c r="G453">
        <v>116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region_summary__52[[#This Row],[REJECTED BY Pengawas]]+region_summary__52[[#This Row],[REJECTED BY Admin Kabupaten]]</f>
        <v>0</v>
      </c>
    </row>
    <row r="454" spans="1:13" x14ac:dyDescent="0.25">
      <c r="A454" s="5" t="s">
        <v>132</v>
      </c>
      <c r="B454">
        <v>7172040005001900</v>
      </c>
      <c r="C454">
        <v>119</v>
      </c>
      <c r="D454">
        <v>92</v>
      </c>
      <c r="E454">
        <v>2</v>
      </c>
      <c r="F454">
        <v>1</v>
      </c>
      <c r="G454">
        <v>22</v>
      </c>
      <c r="H454">
        <v>0</v>
      </c>
      <c r="I454">
        <v>0</v>
      </c>
      <c r="J454">
        <v>0</v>
      </c>
      <c r="K454">
        <v>2</v>
      </c>
      <c r="L454">
        <v>0</v>
      </c>
      <c r="M454">
        <f>region_summary__52[[#This Row],[REJECTED BY Pengawas]]+region_summary__52[[#This Row],[REJECTED BY Admin Kabupaten]]</f>
        <v>0</v>
      </c>
    </row>
    <row r="455" spans="1:13" x14ac:dyDescent="0.25">
      <c r="A455" s="5" t="s">
        <v>132</v>
      </c>
      <c r="B455">
        <v>7172040003000101</v>
      </c>
      <c r="C455">
        <v>96</v>
      </c>
      <c r="D455">
        <v>0</v>
      </c>
      <c r="E455">
        <v>0</v>
      </c>
      <c r="F455">
        <v>0</v>
      </c>
      <c r="G455">
        <v>96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region_summary__52[[#This Row],[REJECTED BY Pengawas]]+region_summary__52[[#This Row],[REJECTED BY Admin Kabupaten]]</f>
        <v>0</v>
      </c>
    </row>
    <row r="456" spans="1:13" x14ac:dyDescent="0.25">
      <c r="A456" s="5" t="s">
        <v>132</v>
      </c>
      <c r="B456">
        <v>7172040005002002</v>
      </c>
      <c r="C456">
        <v>70</v>
      </c>
      <c r="D456">
        <v>38</v>
      </c>
      <c r="E456">
        <v>11</v>
      </c>
      <c r="F456">
        <v>0</v>
      </c>
      <c r="G456">
        <v>21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region_summary__52[[#This Row],[REJECTED BY Pengawas]]+region_summary__52[[#This Row],[REJECTED BY Admin Kabupaten]]</f>
        <v>0</v>
      </c>
    </row>
    <row r="457" spans="1:13" x14ac:dyDescent="0.25">
      <c r="A457" s="5" t="s">
        <v>133</v>
      </c>
      <c r="B457">
        <v>7172040003000300</v>
      </c>
      <c r="C457">
        <v>169</v>
      </c>
      <c r="D457">
        <v>75</v>
      </c>
      <c r="E457">
        <v>0</v>
      </c>
      <c r="F457">
        <v>0</v>
      </c>
      <c r="G457">
        <v>92</v>
      </c>
      <c r="H457">
        <v>0</v>
      </c>
      <c r="I457">
        <v>0</v>
      </c>
      <c r="J457">
        <v>2</v>
      </c>
      <c r="K457">
        <v>0</v>
      </c>
      <c r="L457">
        <v>0</v>
      </c>
      <c r="M457">
        <f>region_summary__52[[#This Row],[REJECTED BY Pengawas]]+region_summary__52[[#This Row],[REJECTED BY Admin Kabupaten]]</f>
        <v>0</v>
      </c>
    </row>
    <row r="458" spans="1:13" x14ac:dyDescent="0.25">
      <c r="A458" s="5" t="s">
        <v>133</v>
      </c>
      <c r="B458">
        <v>7172040003000102</v>
      </c>
      <c r="C458">
        <v>141</v>
      </c>
      <c r="D458">
        <v>65</v>
      </c>
      <c r="E458">
        <v>0</v>
      </c>
      <c r="F458">
        <v>0</v>
      </c>
      <c r="G458">
        <v>76</v>
      </c>
      <c r="H458">
        <v>0</v>
      </c>
      <c r="I458">
        <v>0</v>
      </c>
      <c r="J458">
        <v>0</v>
      </c>
      <c r="K458">
        <v>0</v>
      </c>
      <c r="L458">
        <v>0</v>
      </c>
      <c r="M458">
        <f>region_summary__52[[#This Row],[REJECTED BY Pengawas]]+region_summary__52[[#This Row],[REJECTED BY Admin Kabupaten]]</f>
        <v>0</v>
      </c>
    </row>
    <row r="459" spans="1:13" x14ac:dyDescent="0.25">
      <c r="A459" s="5" t="s">
        <v>133</v>
      </c>
      <c r="B459">
        <v>7172040003000602</v>
      </c>
      <c r="C459">
        <v>99</v>
      </c>
      <c r="D459">
        <v>96</v>
      </c>
      <c r="E459">
        <v>1</v>
      </c>
      <c r="F459">
        <v>0</v>
      </c>
      <c r="G459">
        <v>1</v>
      </c>
      <c r="H459">
        <v>0</v>
      </c>
      <c r="I459">
        <v>0</v>
      </c>
      <c r="J459">
        <v>0</v>
      </c>
      <c r="K459">
        <v>0</v>
      </c>
      <c r="L459">
        <v>1</v>
      </c>
      <c r="M459">
        <f>region_summary__52[[#This Row],[REJECTED BY Pengawas]]+region_summary__52[[#This Row],[REJECTED BY Admin Kabupaten]]</f>
        <v>0</v>
      </c>
    </row>
    <row r="460" spans="1:13" x14ac:dyDescent="0.25">
      <c r="A460" s="5" t="s">
        <v>133</v>
      </c>
      <c r="B460">
        <v>7172040003000700</v>
      </c>
      <c r="C460">
        <v>82</v>
      </c>
      <c r="D460">
        <v>75</v>
      </c>
      <c r="E460">
        <v>1</v>
      </c>
      <c r="F460">
        <v>0</v>
      </c>
      <c r="G460">
        <v>6</v>
      </c>
      <c r="H460">
        <v>0</v>
      </c>
      <c r="I460">
        <v>0</v>
      </c>
      <c r="J460">
        <v>0</v>
      </c>
      <c r="K460">
        <v>0</v>
      </c>
      <c r="L460">
        <v>0</v>
      </c>
      <c r="M460">
        <f>region_summary__52[[#This Row],[REJECTED BY Pengawas]]+region_summary__52[[#This Row],[REJECTED BY Admin Kabupaten]]</f>
        <v>0</v>
      </c>
    </row>
    <row r="461" spans="1:13" x14ac:dyDescent="0.25">
      <c r="A461" s="5" t="s">
        <v>133</v>
      </c>
      <c r="B461">
        <v>7172040003000400</v>
      </c>
      <c r="C461">
        <v>76</v>
      </c>
      <c r="D461">
        <v>15</v>
      </c>
      <c r="E461">
        <v>0</v>
      </c>
      <c r="F461">
        <v>0</v>
      </c>
      <c r="G461">
        <v>61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region_summary__52[[#This Row],[REJECTED BY Pengawas]]+region_summary__52[[#This Row],[REJECTED BY Admin Kabupaten]]</f>
        <v>0</v>
      </c>
    </row>
    <row r="462" spans="1:13" x14ac:dyDescent="0.25">
      <c r="A462" s="5" t="s">
        <v>133</v>
      </c>
      <c r="B462">
        <v>7172040005000600</v>
      </c>
      <c r="C462">
        <v>42</v>
      </c>
      <c r="D462">
        <v>2</v>
      </c>
      <c r="E462">
        <v>0</v>
      </c>
      <c r="F462">
        <v>0</v>
      </c>
      <c r="G462">
        <v>40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region_summary__52[[#This Row],[REJECTED BY Pengawas]]+region_summary__52[[#This Row],[REJECTED BY Admin Kabupaten]]</f>
        <v>0</v>
      </c>
    </row>
    <row r="463" spans="1:13" x14ac:dyDescent="0.25">
      <c r="A463" s="5" t="s">
        <v>133</v>
      </c>
      <c r="B463">
        <v>7172040005001600</v>
      </c>
      <c r="C463">
        <v>35</v>
      </c>
      <c r="D463">
        <v>0</v>
      </c>
      <c r="E463">
        <v>0</v>
      </c>
      <c r="F463">
        <v>0</v>
      </c>
      <c r="G463">
        <v>21</v>
      </c>
      <c r="H463">
        <v>0</v>
      </c>
      <c r="I463">
        <v>0</v>
      </c>
      <c r="J463">
        <v>0</v>
      </c>
      <c r="K463">
        <v>14</v>
      </c>
      <c r="L463">
        <v>0</v>
      </c>
      <c r="M463">
        <f>region_summary__52[[#This Row],[REJECTED BY Pengawas]]+region_summary__52[[#This Row],[REJECTED BY Admin Kabupaten]]</f>
        <v>0</v>
      </c>
    </row>
    <row r="464" spans="1:13" x14ac:dyDescent="0.25">
      <c r="A464" s="5" t="s">
        <v>136</v>
      </c>
      <c r="B464">
        <v>7172040004000600</v>
      </c>
      <c r="C464">
        <v>132</v>
      </c>
      <c r="D464">
        <v>0</v>
      </c>
      <c r="E464">
        <v>0</v>
      </c>
      <c r="F464">
        <v>0</v>
      </c>
      <c r="G464">
        <v>132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region_summary__52[[#This Row],[REJECTED BY Pengawas]]+region_summary__52[[#This Row],[REJECTED BY Admin Kabupaten]]</f>
        <v>0</v>
      </c>
    </row>
    <row r="465" spans="1:13" x14ac:dyDescent="0.25">
      <c r="A465" s="5" t="s">
        <v>136</v>
      </c>
      <c r="B465">
        <v>7172040004000500</v>
      </c>
      <c r="C465">
        <v>96</v>
      </c>
      <c r="D465">
        <v>44</v>
      </c>
      <c r="E465">
        <v>16</v>
      </c>
      <c r="F465">
        <v>0</v>
      </c>
      <c r="G465">
        <v>30</v>
      </c>
      <c r="H465">
        <v>0</v>
      </c>
      <c r="I465">
        <v>0</v>
      </c>
      <c r="J465">
        <v>0</v>
      </c>
      <c r="K465">
        <v>6</v>
      </c>
      <c r="L465">
        <v>0</v>
      </c>
      <c r="M465">
        <f>region_summary__52[[#This Row],[REJECTED BY Pengawas]]+region_summary__52[[#This Row],[REJECTED BY Admin Kabupaten]]</f>
        <v>0</v>
      </c>
    </row>
    <row r="466" spans="1:13" x14ac:dyDescent="0.25">
      <c r="A466" s="5" t="s">
        <v>136</v>
      </c>
      <c r="B466">
        <v>7172040004000200</v>
      </c>
      <c r="C466">
        <v>64</v>
      </c>
      <c r="D466">
        <v>9</v>
      </c>
      <c r="E466">
        <v>0</v>
      </c>
      <c r="F466">
        <v>0</v>
      </c>
      <c r="G466">
        <v>55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region_summary__52[[#This Row],[REJECTED BY Pengawas]]+region_summary__52[[#This Row],[REJECTED BY Admin Kabupaten]]</f>
        <v>0</v>
      </c>
    </row>
    <row r="467" spans="1:13" x14ac:dyDescent="0.25">
      <c r="A467" s="5" t="s">
        <v>136</v>
      </c>
      <c r="B467">
        <v>7172040008000200</v>
      </c>
      <c r="C467">
        <v>58</v>
      </c>
      <c r="D467">
        <v>55</v>
      </c>
      <c r="E467">
        <v>1</v>
      </c>
      <c r="F467">
        <v>0</v>
      </c>
      <c r="G467">
        <v>2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region_summary__52[[#This Row],[REJECTED BY Pengawas]]+region_summary__52[[#This Row],[REJECTED BY Admin Kabupaten]]</f>
        <v>0</v>
      </c>
    </row>
    <row r="468" spans="1:13" x14ac:dyDescent="0.25">
      <c r="A468" s="5" t="s">
        <v>136</v>
      </c>
      <c r="B468">
        <v>7172040004000100</v>
      </c>
      <c r="C468">
        <v>54</v>
      </c>
      <c r="D468">
        <v>11</v>
      </c>
      <c r="E468">
        <v>0</v>
      </c>
      <c r="F468">
        <v>0</v>
      </c>
      <c r="G468">
        <v>43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region_summary__52[[#This Row],[REJECTED BY Pengawas]]+region_summary__52[[#This Row],[REJECTED BY Admin Kabupaten]]</f>
        <v>0</v>
      </c>
    </row>
    <row r="469" spans="1:13" x14ac:dyDescent="0.25">
      <c r="A469" s="5" t="s">
        <v>136</v>
      </c>
      <c r="B469">
        <v>7172040008000300</v>
      </c>
      <c r="C469">
        <v>52</v>
      </c>
      <c r="D469">
        <v>49</v>
      </c>
      <c r="E469">
        <v>2</v>
      </c>
      <c r="F469">
        <v>0</v>
      </c>
      <c r="G469">
        <v>1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region_summary__52[[#This Row],[REJECTED BY Pengawas]]+region_summary__52[[#This Row],[REJECTED BY Admin Kabupaten]]</f>
        <v>0</v>
      </c>
    </row>
    <row r="470" spans="1:13" x14ac:dyDescent="0.25">
      <c r="A470" s="5" t="s">
        <v>136</v>
      </c>
      <c r="B470">
        <v>7172040004000300</v>
      </c>
      <c r="C470">
        <v>47</v>
      </c>
      <c r="D470">
        <v>9</v>
      </c>
      <c r="E470">
        <v>0</v>
      </c>
      <c r="F470">
        <v>0</v>
      </c>
      <c r="G470">
        <v>38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region_summary__52[[#This Row],[REJECTED BY Pengawas]]+region_summary__52[[#This Row],[REJECTED BY Admin Kabupaten]]</f>
        <v>0</v>
      </c>
    </row>
    <row r="471" spans="1:13" x14ac:dyDescent="0.25">
      <c r="A471" s="5" t="s">
        <v>136</v>
      </c>
      <c r="B471">
        <v>7172040004000400</v>
      </c>
      <c r="C471">
        <v>42</v>
      </c>
      <c r="D471">
        <v>12</v>
      </c>
      <c r="E471">
        <v>5</v>
      </c>
      <c r="F471">
        <v>0</v>
      </c>
      <c r="G471">
        <v>24</v>
      </c>
      <c r="H471">
        <v>0</v>
      </c>
      <c r="I471">
        <v>0</v>
      </c>
      <c r="J471">
        <v>0</v>
      </c>
      <c r="K471">
        <v>1</v>
      </c>
      <c r="L471">
        <v>0</v>
      </c>
      <c r="M471">
        <f>region_summary__52[[#This Row],[REJECTED BY Pengawas]]+region_summary__52[[#This Row],[REJECTED BY Admin Kabupaten]]</f>
        <v>0</v>
      </c>
    </row>
    <row r="472" spans="1:13" x14ac:dyDescent="0.25">
      <c r="A472" s="5" t="s">
        <v>136</v>
      </c>
      <c r="B472">
        <v>7172040008000400</v>
      </c>
      <c r="C472">
        <v>42</v>
      </c>
      <c r="D472">
        <v>42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region_summary__52[[#This Row],[REJECTED BY Pengawas]]+region_summary__52[[#This Row],[REJECTED BY Admin Kabupaten]]</f>
        <v>0</v>
      </c>
    </row>
    <row r="473" spans="1:13" x14ac:dyDescent="0.25">
      <c r="A473" s="5" t="s">
        <v>136</v>
      </c>
      <c r="B473">
        <v>7172040008000100</v>
      </c>
      <c r="C473">
        <v>39</v>
      </c>
      <c r="D473">
        <v>38</v>
      </c>
      <c r="E473">
        <v>0</v>
      </c>
      <c r="F473">
        <v>1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region_summary__52[[#This Row],[REJECTED BY Pengawas]]+region_summary__52[[#This Row],[REJECTED BY Admin Kabupaten]]</f>
        <v>0</v>
      </c>
    </row>
    <row r="474" spans="1:13" x14ac:dyDescent="0.25">
      <c r="A474" s="5" t="s">
        <v>140</v>
      </c>
      <c r="B474">
        <v>7172040012000200</v>
      </c>
      <c r="C474">
        <v>105</v>
      </c>
      <c r="D474">
        <v>89</v>
      </c>
      <c r="E474">
        <v>0</v>
      </c>
      <c r="F474">
        <v>0</v>
      </c>
      <c r="G474">
        <v>0</v>
      </c>
      <c r="H474">
        <v>0</v>
      </c>
      <c r="I474">
        <v>4</v>
      </c>
      <c r="J474">
        <v>1</v>
      </c>
      <c r="K474">
        <v>11</v>
      </c>
      <c r="L474">
        <v>0</v>
      </c>
      <c r="M474">
        <f>region_summary__52[[#This Row],[REJECTED BY Pengawas]]+region_summary__52[[#This Row],[REJECTED BY Admin Kabupaten]]</f>
        <v>4</v>
      </c>
    </row>
    <row r="475" spans="1:13" x14ac:dyDescent="0.25">
      <c r="A475" s="5" t="s">
        <v>140</v>
      </c>
      <c r="B475">
        <v>7172040012000300</v>
      </c>
      <c r="C475">
        <v>104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1</v>
      </c>
      <c r="K475">
        <v>14</v>
      </c>
      <c r="L475">
        <v>0</v>
      </c>
      <c r="M475">
        <f>region_summary__52[[#This Row],[REJECTED BY Pengawas]]+region_summary__52[[#This Row],[REJECTED BY Admin Kabupaten]]</f>
        <v>0</v>
      </c>
    </row>
    <row r="476" spans="1:13" x14ac:dyDescent="0.25">
      <c r="A476" s="5" t="s">
        <v>140</v>
      </c>
      <c r="B476">
        <v>7172040012000400</v>
      </c>
      <c r="C476">
        <v>87</v>
      </c>
      <c r="D476">
        <v>72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5</v>
      </c>
      <c r="K476">
        <v>10</v>
      </c>
      <c r="L476">
        <v>0</v>
      </c>
      <c r="M476">
        <f>region_summary__52[[#This Row],[REJECTED BY Pengawas]]+region_summary__52[[#This Row],[REJECTED BY Admin Kabupaten]]</f>
        <v>0</v>
      </c>
    </row>
    <row r="477" spans="1:13" x14ac:dyDescent="0.25">
      <c r="A477" s="5" t="s">
        <v>140</v>
      </c>
      <c r="B477">
        <v>7172040012000100</v>
      </c>
      <c r="C477">
        <v>81</v>
      </c>
      <c r="D477">
        <v>21</v>
      </c>
      <c r="E477">
        <v>2</v>
      </c>
      <c r="F477">
        <v>0</v>
      </c>
      <c r="G477">
        <v>21</v>
      </c>
      <c r="H477">
        <v>0</v>
      </c>
      <c r="I477">
        <v>0</v>
      </c>
      <c r="J477">
        <v>0</v>
      </c>
      <c r="K477">
        <v>37</v>
      </c>
      <c r="L477">
        <v>0</v>
      </c>
      <c r="M477">
        <f>region_summary__52[[#This Row],[REJECTED BY Pengawas]]+region_summary__52[[#This Row],[REJECTED BY Admin Kabupaten]]</f>
        <v>0</v>
      </c>
    </row>
    <row r="478" spans="1:13" x14ac:dyDescent="0.25">
      <c r="A478" s="5" t="s">
        <v>140</v>
      </c>
      <c r="B478">
        <v>7172040010000500</v>
      </c>
      <c r="C478">
        <v>58</v>
      </c>
      <c r="D478">
        <v>0</v>
      </c>
      <c r="E478">
        <v>0</v>
      </c>
      <c r="F478">
        <v>0</v>
      </c>
      <c r="G478">
        <v>58</v>
      </c>
      <c r="H478">
        <v>0</v>
      </c>
      <c r="I478">
        <v>0</v>
      </c>
      <c r="J478">
        <v>0</v>
      </c>
      <c r="K478">
        <v>0</v>
      </c>
      <c r="L478">
        <v>0</v>
      </c>
      <c r="M478">
        <f>region_summary__52[[#This Row],[REJECTED BY Pengawas]]+region_summary__52[[#This Row],[REJECTED BY Admin Kabupaten]]</f>
        <v>0</v>
      </c>
    </row>
    <row r="479" spans="1:13" x14ac:dyDescent="0.25">
      <c r="A479" s="5" t="s">
        <v>140</v>
      </c>
      <c r="B479">
        <v>7172040010000600</v>
      </c>
      <c r="C479">
        <v>56</v>
      </c>
      <c r="D479">
        <v>0</v>
      </c>
      <c r="E479">
        <v>0</v>
      </c>
      <c r="F479">
        <v>0</v>
      </c>
      <c r="G479">
        <v>56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region_summary__52[[#This Row],[REJECTED BY Pengawas]]+region_summary__52[[#This Row],[REJECTED BY Admin Kabupaten]]</f>
        <v>0</v>
      </c>
    </row>
    <row r="480" spans="1:13" x14ac:dyDescent="0.25">
      <c r="A480" s="5" t="s">
        <v>140</v>
      </c>
      <c r="B480">
        <v>7172040012000500</v>
      </c>
      <c r="C480">
        <v>46</v>
      </c>
      <c r="D480">
        <v>34</v>
      </c>
      <c r="E480">
        <v>0</v>
      </c>
      <c r="F480">
        <v>0</v>
      </c>
      <c r="G480">
        <v>1</v>
      </c>
      <c r="H480">
        <v>0</v>
      </c>
      <c r="I480">
        <v>0</v>
      </c>
      <c r="J480">
        <v>0</v>
      </c>
      <c r="K480">
        <v>11</v>
      </c>
      <c r="L480">
        <v>0</v>
      </c>
      <c r="M480">
        <f>region_summary__52[[#This Row],[REJECTED BY Pengawas]]+region_summary__52[[#This Row],[REJECTED BY Admin Kabupaten]]</f>
        <v>0</v>
      </c>
    </row>
    <row r="481" spans="1:13" x14ac:dyDescent="0.25">
      <c r="A481" s="5" t="s">
        <v>140</v>
      </c>
      <c r="B481">
        <v>7172040010000800</v>
      </c>
      <c r="C481">
        <v>40</v>
      </c>
      <c r="D481">
        <v>0</v>
      </c>
      <c r="E481">
        <v>0</v>
      </c>
      <c r="F481">
        <v>0</v>
      </c>
      <c r="G481">
        <v>40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f>region_summary__52[[#This Row],[REJECTED BY Pengawas]]+region_summary__52[[#This Row],[REJECTED BY Admin Kabupaten]]</f>
        <v>0</v>
      </c>
    </row>
    <row r="482" spans="1:13" x14ac:dyDescent="0.25">
      <c r="A482" s="5" t="s">
        <v>140</v>
      </c>
      <c r="B482">
        <v>7172040010000700</v>
      </c>
      <c r="C482">
        <v>32</v>
      </c>
      <c r="D482">
        <v>0</v>
      </c>
      <c r="E482">
        <v>0</v>
      </c>
      <c r="F482">
        <v>0</v>
      </c>
      <c r="G482">
        <v>32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region_summary__52[[#This Row],[REJECTED BY Pengawas]]+region_summary__52[[#This Row],[REJECTED BY Admin Kabupaten]]</f>
        <v>0</v>
      </c>
    </row>
    <row r="483" spans="1:13" x14ac:dyDescent="0.25">
      <c r="A483" s="5" t="s">
        <v>140</v>
      </c>
      <c r="B483">
        <v>7172040010000400</v>
      </c>
      <c r="C483">
        <v>30</v>
      </c>
      <c r="D483">
        <v>0</v>
      </c>
      <c r="E483">
        <v>0</v>
      </c>
      <c r="F483">
        <v>0</v>
      </c>
      <c r="G483">
        <v>30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region_summary__52[[#This Row],[REJECTED BY Pengawas]]+region_summary__52[[#This Row],[REJECTED BY Admin Kabupaten]]</f>
        <v>0</v>
      </c>
    </row>
    <row r="484" spans="1:13" x14ac:dyDescent="0.25">
      <c r="A484" s="5" t="s">
        <v>140</v>
      </c>
      <c r="B484">
        <v>7172040012000600</v>
      </c>
      <c r="C484">
        <v>30</v>
      </c>
      <c r="D484">
        <v>6</v>
      </c>
      <c r="E484">
        <v>0</v>
      </c>
      <c r="F484">
        <v>0</v>
      </c>
      <c r="G484">
        <v>21</v>
      </c>
      <c r="H484">
        <v>0</v>
      </c>
      <c r="I484">
        <v>0</v>
      </c>
      <c r="J484">
        <v>0</v>
      </c>
      <c r="K484">
        <v>3</v>
      </c>
      <c r="L484">
        <v>0</v>
      </c>
      <c r="M484">
        <f>region_summary__52[[#This Row],[REJECTED BY Pengawas]]+region_summary__52[[#This Row],[REJECTED BY Admin Kabupaten]]</f>
        <v>0</v>
      </c>
    </row>
    <row r="485" spans="1:13" x14ac:dyDescent="0.25">
      <c r="A485" s="5" t="s">
        <v>139</v>
      </c>
      <c r="B485">
        <v>7172040006000100</v>
      </c>
      <c r="C485">
        <v>92</v>
      </c>
      <c r="D485">
        <v>87</v>
      </c>
      <c r="E485">
        <v>4</v>
      </c>
      <c r="F485">
        <v>1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region_summary__52[[#This Row],[REJECTED BY Pengawas]]+region_summary__52[[#This Row],[REJECTED BY Admin Kabupaten]]</f>
        <v>0</v>
      </c>
    </row>
    <row r="486" spans="1:13" x14ac:dyDescent="0.25">
      <c r="A486" s="5" t="s">
        <v>139</v>
      </c>
      <c r="B486">
        <v>7172040006000600</v>
      </c>
      <c r="C486">
        <v>87</v>
      </c>
      <c r="D486">
        <v>39</v>
      </c>
      <c r="E486">
        <v>8</v>
      </c>
      <c r="F486">
        <v>0</v>
      </c>
      <c r="G486">
        <v>4</v>
      </c>
      <c r="H486">
        <v>0</v>
      </c>
      <c r="I486">
        <v>1</v>
      </c>
      <c r="J486">
        <v>0</v>
      </c>
      <c r="K486">
        <v>35</v>
      </c>
      <c r="L486">
        <v>0</v>
      </c>
      <c r="M486">
        <f>region_summary__52[[#This Row],[REJECTED BY Pengawas]]+region_summary__52[[#This Row],[REJECTED BY Admin Kabupaten]]</f>
        <v>1</v>
      </c>
    </row>
    <row r="487" spans="1:13" x14ac:dyDescent="0.25">
      <c r="A487" s="5" t="s">
        <v>139</v>
      </c>
      <c r="B487">
        <v>7172040006000500</v>
      </c>
      <c r="C487">
        <v>83</v>
      </c>
      <c r="D487">
        <v>9</v>
      </c>
      <c r="E487">
        <v>0</v>
      </c>
      <c r="F487">
        <v>0</v>
      </c>
      <c r="G487">
        <v>74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region_summary__52[[#This Row],[REJECTED BY Pengawas]]+region_summary__52[[#This Row],[REJECTED BY Admin Kabupaten]]</f>
        <v>0</v>
      </c>
    </row>
    <row r="488" spans="1:13" x14ac:dyDescent="0.25">
      <c r="A488" s="5" t="s">
        <v>139</v>
      </c>
      <c r="B488">
        <v>7172040006000200</v>
      </c>
      <c r="C488">
        <v>80</v>
      </c>
      <c r="D488">
        <v>74</v>
      </c>
      <c r="E488">
        <v>2</v>
      </c>
      <c r="F488">
        <v>0</v>
      </c>
      <c r="G488">
        <v>3</v>
      </c>
      <c r="H488">
        <v>0</v>
      </c>
      <c r="I488">
        <v>1</v>
      </c>
      <c r="J488">
        <v>0</v>
      </c>
      <c r="K488">
        <v>0</v>
      </c>
      <c r="L488">
        <v>0</v>
      </c>
      <c r="M488">
        <f>region_summary__52[[#This Row],[REJECTED BY Pengawas]]+region_summary__52[[#This Row],[REJECTED BY Admin Kabupaten]]</f>
        <v>1</v>
      </c>
    </row>
    <row r="489" spans="1:13" x14ac:dyDescent="0.25">
      <c r="A489" s="5" t="s">
        <v>139</v>
      </c>
      <c r="B489">
        <v>7172040006000300</v>
      </c>
      <c r="C489">
        <v>61</v>
      </c>
      <c r="D489">
        <v>16</v>
      </c>
      <c r="E489">
        <v>0</v>
      </c>
      <c r="F489">
        <v>0</v>
      </c>
      <c r="G489">
        <v>36</v>
      </c>
      <c r="H489">
        <v>0</v>
      </c>
      <c r="I489">
        <v>1</v>
      </c>
      <c r="J489">
        <v>0</v>
      </c>
      <c r="K489">
        <v>8</v>
      </c>
      <c r="L489">
        <v>0</v>
      </c>
      <c r="M489">
        <f>region_summary__52[[#This Row],[REJECTED BY Pengawas]]+region_summary__52[[#This Row],[REJECTED BY Admin Kabupaten]]</f>
        <v>1</v>
      </c>
    </row>
    <row r="490" spans="1:13" x14ac:dyDescent="0.25">
      <c r="A490" s="5" t="s">
        <v>139</v>
      </c>
      <c r="B490">
        <v>7172040006000400</v>
      </c>
      <c r="C490">
        <v>56</v>
      </c>
      <c r="D490">
        <v>6</v>
      </c>
      <c r="E490">
        <v>0</v>
      </c>
      <c r="F490">
        <v>0</v>
      </c>
      <c r="G490">
        <v>50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region_summary__52[[#This Row],[REJECTED BY Pengawas]]+region_summary__52[[#This Row],[REJECTED BY Admin Kabupaten]]</f>
        <v>0</v>
      </c>
    </row>
    <row r="491" spans="1:13" x14ac:dyDescent="0.25">
      <c r="A491" s="5" t="s">
        <v>139</v>
      </c>
      <c r="B491">
        <v>7172040010000100</v>
      </c>
      <c r="C491">
        <v>41</v>
      </c>
      <c r="D491">
        <v>0</v>
      </c>
      <c r="E491">
        <v>0</v>
      </c>
      <c r="F491">
        <v>0</v>
      </c>
      <c r="G491">
        <v>38</v>
      </c>
      <c r="H491">
        <v>0</v>
      </c>
      <c r="I491">
        <v>0</v>
      </c>
      <c r="J491">
        <v>0</v>
      </c>
      <c r="K491">
        <v>3</v>
      </c>
      <c r="L491">
        <v>0</v>
      </c>
      <c r="M491">
        <f>region_summary__52[[#This Row],[REJECTED BY Pengawas]]+region_summary__52[[#This Row],[REJECTED BY Admin Kabupaten]]</f>
        <v>0</v>
      </c>
    </row>
    <row r="492" spans="1:13" x14ac:dyDescent="0.25">
      <c r="A492" s="5" t="s">
        <v>139</v>
      </c>
      <c r="B492">
        <v>7172040010000200</v>
      </c>
      <c r="C492">
        <v>34</v>
      </c>
      <c r="D492">
        <v>0</v>
      </c>
      <c r="E492">
        <v>0</v>
      </c>
      <c r="F492">
        <v>0</v>
      </c>
      <c r="G492">
        <v>32</v>
      </c>
      <c r="H492">
        <v>0</v>
      </c>
      <c r="I492">
        <v>0</v>
      </c>
      <c r="J492">
        <v>0</v>
      </c>
      <c r="K492">
        <v>2</v>
      </c>
      <c r="L492">
        <v>0</v>
      </c>
      <c r="M492">
        <f>region_summary__52[[#This Row],[REJECTED BY Pengawas]]+region_summary__52[[#This Row],[REJECTED BY Admin Kabupaten]]</f>
        <v>0</v>
      </c>
    </row>
    <row r="493" spans="1:13" x14ac:dyDescent="0.25">
      <c r="A493" s="5" t="s">
        <v>139</v>
      </c>
      <c r="B493">
        <v>7172040010000300</v>
      </c>
      <c r="C493">
        <v>29</v>
      </c>
      <c r="D493">
        <v>0</v>
      </c>
      <c r="E493">
        <v>0</v>
      </c>
      <c r="F493">
        <v>0</v>
      </c>
      <c r="G493">
        <v>24</v>
      </c>
      <c r="H493">
        <v>0</v>
      </c>
      <c r="I493">
        <v>0</v>
      </c>
      <c r="J493">
        <v>0</v>
      </c>
      <c r="K493">
        <v>5</v>
      </c>
      <c r="L493">
        <v>0</v>
      </c>
      <c r="M493">
        <f>region_summary__52[[#This Row],[REJECTED BY Pengawas]]+region_summary__52[[#This Row],[REJECTED BY Admin Kabupaten]]</f>
        <v>0</v>
      </c>
    </row>
    <row r="494" spans="1:13" x14ac:dyDescent="0.25">
      <c r="A494" s="5" t="s">
        <v>10</v>
      </c>
      <c r="B494">
        <v>7172010009002700</v>
      </c>
      <c r="C494">
        <v>104</v>
      </c>
      <c r="D494">
        <v>92</v>
      </c>
      <c r="E494">
        <v>3</v>
      </c>
      <c r="F494">
        <v>3</v>
      </c>
      <c r="G494">
        <v>3</v>
      </c>
      <c r="H494">
        <v>0</v>
      </c>
      <c r="I494">
        <v>0</v>
      </c>
      <c r="J494">
        <v>0</v>
      </c>
      <c r="K494">
        <v>3</v>
      </c>
      <c r="L494">
        <v>0</v>
      </c>
      <c r="M494">
        <f>region_summary__52[[#This Row],[REJECTED BY Pengawas]]+region_summary__52[[#This Row],[REJECTED BY Admin Kabupaten]]</f>
        <v>0</v>
      </c>
    </row>
    <row r="495" spans="1:13" x14ac:dyDescent="0.25">
      <c r="A495" s="5" t="s">
        <v>10</v>
      </c>
      <c r="B495">
        <v>7172010009002800</v>
      </c>
      <c r="C495">
        <v>103</v>
      </c>
      <c r="D495">
        <v>99</v>
      </c>
      <c r="E495">
        <v>1</v>
      </c>
      <c r="F495">
        <v>2</v>
      </c>
      <c r="G495">
        <v>0</v>
      </c>
      <c r="H495">
        <v>0</v>
      </c>
      <c r="I495">
        <v>1</v>
      </c>
      <c r="J495">
        <v>0</v>
      </c>
      <c r="K495">
        <v>0</v>
      </c>
      <c r="L495">
        <v>0</v>
      </c>
      <c r="M495">
        <f>region_summary__52[[#This Row],[REJECTED BY Pengawas]]+region_summary__52[[#This Row],[REJECTED BY Admin Kabupaten]]</f>
        <v>1</v>
      </c>
    </row>
    <row r="496" spans="1:13" x14ac:dyDescent="0.25">
      <c r="A496" s="5" t="s">
        <v>10</v>
      </c>
      <c r="B496">
        <v>7172010009002600</v>
      </c>
      <c r="C496">
        <v>93</v>
      </c>
      <c r="D496">
        <v>85</v>
      </c>
      <c r="E496">
        <v>0</v>
      </c>
      <c r="F496">
        <v>1</v>
      </c>
      <c r="G496">
        <v>2</v>
      </c>
      <c r="H496">
        <v>0</v>
      </c>
      <c r="I496">
        <v>0</v>
      </c>
      <c r="J496">
        <v>0</v>
      </c>
      <c r="K496">
        <v>5</v>
      </c>
      <c r="L496">
        <v>0</v>
      </c>
      <c r="M496">
        <f>region_summary__52[[#This Row],[REJECTED BY Pengawas]]+region_summary__52[[#This Row],[REJECTED BY Admin Kabupaten]]</f>
        <v>0</v>
      </c>
    </row>
    <row r="497" spans="1:13" x14ac:dyDescent="0.25">
      <c r="A497" s="5" t="s">
        <v>10</v>
      </c>
      <c r="B497">
        <v>7172010009002500</v>
      </c>
      <c r="C497">
        <v>90</v>
      </c>
      <c r="D497">
        <v>2</v>
      </c>
      <c r="E497">
        <v>2</v>
      </c>
      <c r="F497">
        <v>0</v>
      </c>
      <c r="G497">
        <v>7</v>
      </c>
      <c r="H497">
        <v>0</v>
      </c>
      <c r="I497">
        <v>0</v>
      </c>
      <c r="J497">
        <v>0</v>
      </c>
      <c r="K497">
        <v>79</v>
      </c>
      <c r="L497">
        <v>0</v>
      </c>
      <c r="M497">
        <f>region_summary__52[[#This Row],[REJECTED BY Pengawas]]+region_summary__52[[#This Row],[REJECTED BY Admin Kabupaten]]</f>
        <v>0</v>
      </c>
    </row>
    <row r="498" spans="1:13" x14ac:dyDescent="0.25">
      <c r="A498" s="5" t="s">
        <v>10</v>
      </c>
      <c r="B498">
        <v>7172010009002100</v>
      </c>
      <c r="C498">
        <v>69</v>
      </c>
      <c r="D498">
        <v>0</v>
      </c>
      <c r="E498">
        <v>0</v>
      </c>
      <c r="F498">
        <v>0</v>
      </c>
      <c r="G498">
        <v>69</v>
      </c>
      <c r="H498">
        <v>0</v>
      </c>
      <c r="I498">
        <v>0</v>
      </c>
      <c r="J498">
        <v>0</v>
      </c>
      <c r="K498">
        <v>0</v>
      </c>
      <c r="L498">
        <v>0</v>
      </c>
      <c r="M498">
        <f>region_summary__52[[#This Row],[REJECTED BY Pengawas]]+region_summary__52[[#This Row],[REJECTED BY Admin Kabupaten]]</f>
        <v>0</v>
      </c>
    </row>
    <row r="499" spans="1:13" x14ac:dyDescent="0.25">
      <c r="A499" s="5" t="s">
        <v>10</v>
      </c>
      <c r="B499">
        <v>7172010009002200</v>
      </c>
      <c r="C499">
        <v>57</v>
      </c>
      <c r="D499">
        <v>0</v>
      </c>
      <c r="E499">
        <v>0</v>
      </c>
      <c r="F499">
        <v>0</v>
      </c>
      <c r="G499">
        <v>57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region_summary__52[[#This Row],[REJECTED BY Pengawas]]+region_summary__52[[#This Row],[REJECTED BY Admin Kabupaten]]</f>
        <v>0</v>
      </c>
    </row>
    <row r="500" spans="1:13" x14ac:dyDescent="0.25">
      <c r="A500" s="5" t="s">
        <v>10</v>
      </c>
      <c r="B500">
        <v>7172010009002300</v>
      </c>
      <c r="C500">
        <v>53</v>
      </c>
      <c r="D500">
        <v>0</v>
      </c>
      <c r="E500">
        <v>0</v>
      </c>
      <c r="F500">
        <v>0</v>
      </c>
      <c r="G500">
        <v>53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region_summary__52[[#This Row],[REJECTED BY Pengawas]]+region_summary__52[[#This Row],[REJECTED BY Admin Kabupaten]]</f>
        <v>0</v>
      </c>
    </row>
    <row r="501" spans="1:13" x14ac:dyDescent="0.25">
      <c r="A501" s="5" t="s">
        <v>10</v>
      </c>
      <c r="B501">
        <v>7172010009002400</v>
      </c>
      <c r="C501">
        <v>51</v>
      </c>
      <c r="D501">
        <v>0</v>
      </c>
      <c r="E501">
        <v>1</v>
      </c>
      <c r="F501">
        <v>0</v>
      </c>
      <c r="G501">
        <v>12</v>
      </c>
      <c r="H501">
        <v>0</v>
      </c>
      <c r="I501">
        <v>0</v>
      </c>
      <c r="J501">
        <v>0</v>
      </c>
      <c r="K501">
        <v>38</v>
      </c>
      <c r="L501">
        <v>0</v>
      </c>
      <c r="M501">
        <f>region_summary__52[[#This Row],[REJECTED BY Pengawas]]+region_summary__52[[#This Row],[REJECTED BY Admin Kabupaten]]</f>
        <v>0</v>
      </c>
    </row>
    <row r="502" spans="1:13" x14ac:dyDescent="0.25">
      <c r="A502" s="5" t="s">
        <v>65</v>
      </c>
      <c r="B502">
        <v>7172012005000900</v>
      </c>
      <c r="C502">
        <v>136</v>
      </c>
      <c r="D502">
        <v>0</v>
      </c>
      <c r="E502">
        <v>3</v>
      </c>
      <c r="F502">
        <v>0</v>
      </c>
      <c r="G502">
        <v>122</v>
      </c>
      <c r="H502">
        <v>0</v>
      </c>
      <c r="I502">
        <v>0</v>
      </c>
      <c r="J502">
        <v>0</v>
      </c>
      <c r="K502">
        <v>11</v>
      </c>
      <c r="L502">
        <v>0</v>
      </c>
      <c r="M502">
        <f>region_summary__52[[#This Row],[REJECTED BY Pengawas]]+region_summary__52[[#This Row],[REJECTED BY Admin Kabupaten]]</f>
        <v>0</v>
      </c>
    </row>
    <row r="503" spans="1:13" x14ac:dyDescent="0.25">
      <c r="A503" s="5" t="s">
        <v>65</v>
      </c>
      <c r="B503">
        <v>7172012004002600</v>
      </c>
      <c r="C503">
        <v>131</v>
      </c>
      <c r="D503">
        <v>130</v>
      </c>
      <c r="E503">
        <v>0</v>
      </c>
      <c r="F503">
        <v>1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region_summary__52[[#This Row],[REJECTED BY Pengawas]]+region_summary__52[[#This Row],[REJECTED BY Admin Kabupaten]]</f>
        <v>0</v>
      </c>
    </row>
    <row r="504" spans="1:13" x14ac:dyDescent="0.25">
      <c r="A504" s="5" t="s">
        <v>65</v>
      </c>
      <c r="B504">
        <v>7172012005001000</v>
      </c>
      <c r="C504">
        <v>126</v>
      </c>
      <c r="D504">
        <v>100</v>
      </c>
      <c r="E504">
        <v>7</v>
      </c>
      <c r="F504">
        <v>1</v>
      </c>
      <c r="G504">
        <v>6</v>
      </c>
      <c r="H504">
        <v>0</v>
      </c>
      <c r="I504">
        <v>1</v>
      </c>
      <c r="J504">
        <v>0</v>
      </c>
      <c r="K504">
        <v>11</v>
      </c>
      <c r="L504">
        <v>0</v>
      </c>
      <c r="M504">
        <f>region_summary__52[[#This Row],[REJECTED BY Pengawas]]+region_summary__52[[#This Row],[REJECTED BY Admin Kabupaten]]</f>
        <v>1</v>
      </c>
    </row>
    <row r="505" spans="1:13" x14ac:dyDescent="0.25">
      <c r="A505" s="5" t="s">
        <v>65</v>
      </c>
      <c r="B505">
        <v>7172012004002403</v>
      </c>
      <c r="C505">
        <v>92</v>
      </c>
      <c r="D505">
        <v>90</v>
      </c>
      <c r="E505">
        <v>2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region_summary__52[[#This Row],[REJECTED BY Pengawas]]+region_summary__52[[#This Row],[REJECTED BY Admin Kabupaten]]</f>
        <v>0</v>
      </c>
    </row>
    <row r="506" spans="1:13" x14ac:dyDescent="0.25">
      <c r="A506" s="5" t="s">
        <v>65</v>
      </c>
      <c r="B506">
        <v>7172012005000100</v>
      </c>
      <c r="C506">
        <v>88</v>
      </c>
      <c r="D506">
        <v>0</v>
      </c>
      <c r="E506">
        <v>0</v>
      </c>
      <c r="F506">
        <v>0</v>
      </c>
      <c r="G506">
        <v>88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region_summary__52[[#This Row],[REJECTED BY Pengawas]]+region_summary__52[[#This Row],[REJECTED BY Admin Kabupaten]]</f>
        <v>0</v>
      </c>
    </row>
    <row r="507" spans="1:13" x14ac:dyDescent="0.25">
      <c r="A507" s="5" t="s">
        <v>65</v>
      </c>
      <c r="B507">
        <v>7172012005001100</v>
      </c>
      <c r="C507">
        <v>68</v>
      </c>
      <c r="D507">
        <v>0</v>
      </c>
      <c r="E507">
        <v>0</v>
      </c>
      <c r="F507">
        <v>0</v>
      </c>
      <c r="G507">
        <v>68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region_summary__52[[#This Row],[REJECTED BY Pengawas]]+region_summary__52[[#This Row],[REJECTED BY Admin Kabupaten]]</f>
        <v>0</v>
      </c>
    </row>
    <row r="508" spans="1:13" x14ac:dyDescent="0.25">
      <c r="A508" s="5" t="s">
        <v>65</v>
      </c>
      <c r="B508">
        <v>7172012005000200</v>
      </c>
      <c r="C508">
        <v>53</v>
      </c>
      <c r="D508">
        <v>51</v>
      </c>
      <c r="E508">
        <v>1</v>
      </c>
      <c r="F508">
        <v>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region_summary__52[[#This Row],[REJECTED BY Pengawas]]+region_summary__52[[#This Row],[REJECTED BY Admin Kabupaten]]</f>
        <v>0</v>
      </c>
    </row>
    <row r="509" spans="1:13" x14ac:dyDescent="0.25">
      <c r="A509" s="5" t="s">
        <v>384</v>
      </c>
      <c r="B509">
        <v>7172040003001502</v>
      </c>
      <c r="C509">
        <v>264</v>
      </c>
      <c r="D509">
        <v>260</v>
      </c>
      <c r="E509">
        <v>3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1</v>
      </c>
      <c r="L509">
        <v>0</v>
      </c>
      <c r="M509">
        <f>region_summary__52[[#This Row],[REJECTED BY Pengawas]]+region_summary__52[[#This Row],[REJECTED BY Admin Kabupaten]]</f>
        <v>0</v>
      </c>
    </row>
    <row r="510" spans="1:13" x14ac:dyDescent="0.25">
      <c r="A510" s="5" t="s">
        <v>384</v>
      </c>
      <c r="B510">
        <v>7172040003001501</v>
      </c>
      <c r="C510">
        <v>205</v>
      </c>
      <c r="D510">
        <v>54</v>
      </c>
      <c r="E510">
        <v>7</v>
      </c>
      <c r="F510">
        <v>1</v>
      </c>
      <c r="G510">
        <v>143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region_summary__52[[#This Row],[REJECTED BY Pengawas]]+region_summary__52[[#This Row],[REJECTED BY Admin Kabupaten]]</f>
        <v>0</v>
      </c>
    </row>
    <row r="511" spans="1:13" x14ac:dyDescent="0.25">
      <c r="A511" s="5" t="s">
        <v>384</v>
      </c>
      <c r="B511">
        <v>7172040003001301</v>
      </c>
      <c r="C511">
        <v>136</v>
      </c>
      <c r="D511">
        <v>0</v>
      </c>
      <c r="E511">
        <v>0</v>
      </c>
      <c r="F511">
        <v>0</v>
      </c>
      <c r="G511">
        <v>136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f>region_summary__52[[#This Row],[REJECTED BY Pengawas]]+region_summary__52[[#This Row],[REJECTED BY Admin Kabupaten]]</f>
        <v>0</v>
      </c>
    </row>
    <row r="512" spans="1:13" x14ac:dyDescent="0.25">
      <c r="A512" s="5" t="s">
        <v>384</v>
      </c>
      <c r="B512">
        <v>7172040003001400</v>
      </c>
      <c r="C512">
        <v>112</v>
      </c>
      <c r="D512">
        <v>79</v>
      </c>
      <c r="E512">
        <v>0</v>
      </c>
      <c r="F512">
        <v>0</v>
      </c>
      <c r="G512">
        <v>26</v>
      </c>
      <c r="H512">
        <v>0</v>
      </c>
      <c r="I512">
        <v>0</v>
      </c>
      <c r="J512">
        <v>0</v>
      </c>
      <c r="K512">
        <v>7</v>
      </c>
      <c r="L512">
        <v>0</v>
      </c>
      <c r="M512">
        <f>region_summary__52[[#This Row],[REJECTED BY Pengawas]]+region_summary__52[[#This Row],[REJECTED BY Admin Kabupaten]]</f>
        <v>0</v>
      </c>
    </row>
    <row r="513" spans="1:13" x14ac:dyDescent="0.25">
      <c r="A513" s="5" t="s">
        <v>384</v>
      </c>
      <c r="B513">
        <v>7172040003000800</v>
      </c>
      <c r="C513">
        <v>88</v>
      </c>
      <c r="D513">
        <v>81</v>
      </c>
      <c r="E513">
        <v>6</v>
      </c>
      <c r="F513">
        <v>1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f>region_summary__52[[#This Row],[REJECTED BY Pengawas]]+region_summary__52[[#This Row],[REJECTED BY Admin Kabupaten]]</f>
        <v>0</v>
      </c>
    </row>
    <row r="514" spans="1:13" x14ac:dyDescent="0.25">
      <c r="A514" s="5" t="s">
        <v>384</v>
      </c>
      <c r="B514">
        <v>7172040003001302</v>
      </c>
      <c r="C514">
        <v>52</v>
      </c>
      <c r="D514">
        <v>0</v>
      </c>
      <c r="E514">
        <v>0</v>
      </c>
      <c r="F514">
        <v>0</v>
      </c>
      <c r="G514">
        <v>52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region_summary__52[[#This Row],[REJECTED BY Pengawas]]+region_summary__52[[#This Row],[REJECTED BY Admin Kabupaten]]</f>
        <v>0</v>
      </c>
    </row>
    <row r="515" spans="1:13" x14ac:dyDescent="0.25">
      <c r="A515" s="5" t="s">
        <v>36</v>
      </c>
      <c r="B515">
        <v>7172011003002401</v>
      </c>
      <c r="C515">
        <v>195</v>
      </c>
      <c r="D515">
        <v>154</v>
      </c>
      <c r="E515">
        <v>9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32</v>
      </c>
      <c r="L515">
        <v>0</v>
      </c>
      <c r="M515">
        <f>region_summary__52[[#This Row],[REJECTED BY Pengawas]]+region_summary__52[[#This Row],[REJECTED BY Admin Kabupaten]]</f>
        <v>0</v>
      </c>
    </row>
    <row r="516" spans="1:13" x14ac:dyDescent="0.25">
      <c r="A516" s="5" t="s">
        <v>36</v>
      </c>
      <c r="B516">
        <v>7172011003002100</v>
      </c>
      <c r="C516">
        <v>170</v>
      </c>
      <c r="D516">
        <v>50</v>
      </c>
      <c r="E516">
        <v>44</v>
      </c>
      <c r="F516">
        <v>0</v>
      </c>
      <c r="G516">
        <v>12</v>
      </c>
      <c r="H516">
        <v>0</v>
      </c>
      <c r="I516">
        <v>0</v>
      </c>
      <c r="J516">
        <v>0</v>
      </c>
      <c r="K516">
        <v>64</v>
      </c>
      <c r="L516">
        <v>0</v>
      </c>
      <c r="M516">
        <f>region_summary__52[[#This Row],[REJECTED BY Pengawas]]+region_summary__52[[#This Row],[REJECTED BY Admin Kabupaten]]</f>
        <v>0</v>
      </c>
    </row>
    <row r="517" spans="1:13" x14ac:dyDescent="0.25">
      <c r="A517" s="5" t="s">
        <v>36</v>
      </c>
      <c r="B517">
        <v>7172011003002000</v>
      </c>
      <c r="C517">
        <v>136</v>
      </c>
      <c r="D517">
        <v>51</v>
      </c>
      <c r="E517">
        <v>10</v>
      </c>
      <c r="F517">
        <v>2</v>
      </c>
      <c r="G517">
        <v>38</v>
      </c>
      <c r="H517">
        <v>0</v>
      </c>
      <c r="I517">
        <v>0</v>
      </c>
      <c r="J517">
        <v>0</v>
      </c>
      <c r="K517">
        <v>35</v>
      </c>
      <c r="L517">
        <v>0</v>
      </c>
      <c r="M517">
        <f>region_summary__52[[#This Row],[REJECTED BY Pengawas]]+region_summary__52[[#This Row],[REJECTED BY Admin Kabupaten]]</f>
        <v>0</v>
      </c>
    </row>
    <row r="518" spans="1:13" x14ac:dyDescent="0.25">
      <c r="A518" s="5" t="s">
        <v>36</v>
      </c>
      <c r="B518">
        <v>7172011003002300</v>
      </c>
      <c r="C518">
        <v>114</v>
      </c>
      <c r="D518">
        <v>0</v>
      </c>
      <c r="E518">
        <v>0</v>
      </c>
      <c r="F518">
        <v>0</v>
      </c>
      <c r="G518">
        <v>114</v>
      </c>
      <c r="H518">
        <v>0</v>
      </c>
      <c r="I518">
        <v>0</v>
      </c>
      <c r="J518">
        <v>0</v>
      </c>
      <c r="K518">
        <v>0</v>
      </c>
      <c r="L518">
        <v>0</v>
      </c>
      <c r="M518">
        <f>region_summary__52[[#This Row],[REJECTED BY Pengawas]]+region_summary__52[[#This Row],[REJECTED BY Admin Kabupaten]]</f>
        <v>0</v>
      </c>
    </row>
    <row r="519" spans="1:13" x14ac:dyDescent="0.25">
      <c r="A519" s="5" t="s">
        <v>36</v>
      </c>
      <c r="B519">
        <v>7172011003002402</v>
      </c>
      <c r="C519">
        <v>94</v>
      </c>
      <c r="D519">
        <v>54</v>
      </c>
      <c r="E519">
        <v>4</v>
      </c>
      <c r="F519">
        <v>0</v>
      </c>
      <c r="G519">
        <v>6</v>
      </c>
      <c r="H519">
        <v>0</v>
      </c>
      <c r="I519">
        <v>0</v>
      </c>
      <c r="J519">
        <v>0</v>
      </c>
      <c r="K519">
        <v>30</v>
      </c>
      <c r="L519">
        <v>0</v>
      </c>
      <c r="M519">
        <f>region_summary__52[[#This Row],[REJECTED BY Pengawas]]+region_summary__52[[#This Row],[REJECTED BY Admin Kabupaten]]</f>
        <v>0</v>
      </c>
    </row>
    <row r="520" spans="1:13" x14ac:dyDescent="0.25">
      <c r="A520" s="5" t="s">
        <v>36</v>
      </c>
      <c r="B520">
        <v>7172011003002200</v>
      </c>
      <c r="C520">
        <v>55</v>
      </c>
      <c r="D520">
        <v>0</v>
      </c>
      <c r="E520">
        <v>0</v>
      </c>
      <c r="F520">
        <v>0</v>
      </c>
      <c r="G520">
        <v>55</v>
      </c>
      <c r="H520">
        <v>0</v>
      </c>
      <c r="I520">
        <v>0</v>
      </c>
      <c r="J520">
        <v>0</v>
      </c>
      <c r="K520">
        <v>0</v>
      </c>
      <c r="L520">
        <v>0</v>
      </c>
      <c r="M520">
        <f>region_summary__52[[#This Row],[REJECTED BY Pengawas]]+region_summary__52[[#This Row],[REJECTED BY Admin Kabupaten]]</f>
        <v>0</v>
      </c>
    </row>
    <row r="521" spans="1:13" x14ac:dyDescent="0.25">
      <c r="A521" s="5" t="s">
        <v>236</v>
      </c>
      <c r="B521">
        <v>7172030014001100</v>
      </c>
      <c r="C521">
        <v>254</v>
      </c>
      <c r="D521">
        <v>241</v>
      </c>
      <c r="E521">
        <v>1</v>
      </c>
      <c r="F521">
        <v>5</v>
      </c>
      <c r="G521">
        <v>5</v>
      </c>
      <c r="H521">
        <v>0</v>
      </c>
      <c r="I521">
        <v>1</v>
      </c>
      <c r="J521">
        <v>1</v>
      </c>
      <c r="K521">
        <v>0</v>
      </c>
      <c r="L521">
        <v>0</v>
      </c>
      <c r="M521">
        <f>region_summary__52[[#This Row],[REJECTED BY Pengawas]]+region_summary__52[[#This Row],[REJECTED BY Admin Kabupaten]]</f>
        <v>1</v>
      </c>
    </row>
    <row r="522" spans="1:13" x14ac:dyDescent="0.25">
      <c r="A522" s="5" t="s">
        <v>236</v>
      </c>
      <c r="B522">
        <v>7172030014001000</v>
      </c>
      <c r="C522">
        <v>154</v>
      </c>
      <c r="D522">
        <v>123</v>
      </c>
      <c r="E522">
        <v>3</v>
      </c>
      <c r="F522">
        <v>20</v>
      </c>
      <c r="G522">
        <v>8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region_summary__52[[#This Row],[REJECTED BY Pengawas]]+region_summary__52[[#This Row],[REJECTED BY Admin Kabupaten]]</f>
        <v>0</v>
      </c>
    </row>
    <row r="523" spans="1:13" x14ac:dyDescent="0.25">
      <c r="A523" s="5" t="s">
        <v>236</v>
      </c>
      <c r="B523">
        <v>7172030014001200</v>
      </c>
      <c r="C523">
        <v>137</v>
      </c>
      <c r="D523">
        <v>74</v>
      </c>
      <c r="E523">
        <v>2</v>
      </c>
      <c r="F523">
        <v>2</v>
      </c>
      <c r="G523">
        <v>53</v>
      </c>
      <c r="H523">
        <v>0</v>
      </c>
      <c r="I523">
        <v>0</v>
      </c>
      <c r="J523">
        <v>0</v>
      </c>
      <c r="K523">
        <v>6</v>
      </c>
      <c r="L523">
        <v>0</v>
      </c>
      <c r="M523">
        <f>region_summary__52[[#This Row],[REJECTED BY Pengawas]]+region_summary__52[[#This Row],[REJECTED BY Admin Kabupaten]]</f>
        <v>0</v>
      </c>
    </row>
    <row r="524" spans="1:13" x14ac:dyDescent="0.25">
      <c r="A524" s="5" t="s">
        <v>236</v>
      </c>
      <c r="B524">
        <v>7172030015000200</v>
      </c>
      <c r="C524">
        <v>64</v>
      </c>
      <c r="D524">
        <v>0</v>
      </c>
      <c r="E524">
        <v>0</v>
      </c>
      <c r="F524">
        <v>0</v>
      </c>
      <c r="G524">
        <v>64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region_summary__52[[#This Row],[REJECTED BY Pengawas]]+region_summary__52[[#This Row],[REJECTED BY Admin Kabupaten]]</f>
        <v>0</v>
      </c>
    </row>
    <row r="525" spans="1:13" x14ac:dyDescent="0.25">
      <c r="A525" s="5" t="s">
        <v>236</v>
      </c>
      <c r="B525">
        <v>7172030015000100</v>
      </c>
      <c r="C525">
        <v>63</v>
      </c>
      <c r="D525">
        <v>0</v>
      </c>
      <c r="E525">
        <v>0</v>
      </c>
      <c r="F525">
        <v>0</v>
      </c>
      <c r="G525">
        <v>63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region_summary__52[[#This Row],[REJECTED BY Pengawas]]+region_summary__52[[#This Row],[REJECTED BY Admin Kabupaten]]</f>
        <v>0</v>
      </c>
    </row>
    <row r="526" spans="1:13" x14ac:dyDescent="0.25">
      <c r="A526" s="5" t="s">
        <v>235</v>
      </c>
      <c r="B526">
        <v>7172030015000800</v>
      </c>
      <c r="C526">
        <v>182</v>
      </c>
      <c r="D526">
        <v>17</v>
      </c>
      <c r="E526">
        <v>3</v>
      </c>
      <c r="F526">
        <v>2</v>
      </c>
      <c r="G526">
        <v>117</v>
      </c>
      <c r="H526">
        <v>0</v>
      </c>
      <c r="I526">
        <v>0</v>
      </c>
      <c r="J526">
        <v>0</v>
      </c>
      <c r="K526">
        <v>43</v>
      </c>
      <c r="L526">
        <v>0</v>
      </c>
      <c r="M526">
        <f>region_summary__52[[#This Row],[REJECTED BY Pengawas]]+region_summary__52[[#This Row],[REJECTED BY Admin Kabupaten]]</f>
        <v>0</v>
      </c>
    </row>
    <row r="527" spans="1:13" x14ac:dyDescent="0.25">
      <c r="A527" s="5" t="s">
        <v>235</v>
      </c>
      <c r="B527">
        <v>7172030015000300</v>
      </c>
      <c r="C527">
        <v>124</v>
      </c>
      <c r="D527">
        <v>85</v>
      </c>
      <c r="E527">
        <v>4</v>
      </c>
      <c r="F527">
        <v>1</v>
      </c>
      <c r="G527">
        <v>34</v>
      </c>
      <c r="H527">
        <v>0</v>
      </c>
      <c r="I527">
        <v>0</v>
      </c>
      <c r="J527">
        <v>0</v>
      </c>
      <c r="K527">
        <v>0</v>
      </c>
      <c r="L527">
        <v>0</v>
      </c>
      <c r="M527">
        <f>region_summary__52[[#This Row],[REJECTED BY Pengawas]]+region_summary__52[[#This Row],[REJECTED BY Admin Kabupaten]]</f>
        <v>0</v>
      </c>
    </row>
    <row r="528" spans="1:13" x14ac:dyDescent="0.25">
      <c r="A528" s="5" t="s">
        <v>235</v>
      </c>
      <c r="B528">
        <v>7172030015000400</v>
      </c>
      <c r="C528">
        <v>86</v>
      </c>
      <c r="D528">
        <v>49</v>
      </c>
      <c r="E528">
        <v>2</v>
      </c>
      <c r="F528">
        <v>0</v>
      </c>
      <c r="G528">
        <v>35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region_summary__52[[#This Row],[REJECTED BY Pengawas]]+region_summary__52[[#This Row],[REJECTED BY Admin Kabupaten]]</f>
        <v>0</v>
      </c>
    </row>
    <row r="529" spans="1:13" x14ac:dyDescent="0.25">
      <c r="A529" s="5" t="s">
        <v>235</v>
      </c>
      <c r="B529">
        <v>7172030015001000</v>
      </c>
      <c r="C529">
        <v>85</v>
      </c>
      <c r="D529">
        <v>70</v>
      </c>
      <c r="E529">
        <v>6</v>
      </c>
      <c r="F529">
        <v>0</v>
      </c>
      <c r="G529">
        <v>6</v>
      </c>
      <c r="H529">
        <v>0</v>
      </c>
      <c r="I529">
        <v>0</v>
      </c>
      <c r="J529">
        <v>1</v>
      </c>
      <c r="K529">
        <v>2</v>
      </c>
      <c r="L529">
        <v>0</v>
      </c>
      <c r="M529">
        <f>region_summary__52[[#This Row],[REJECTED BY Pengawas]]+region_summary__52[[#This Row],[REJECTED BY Admin Kabupaten]]</f>
        <v>0</v>
      </c>
    </row>
    <row r="530" spans="1:13" x14ac:dyDescent="0.25">
      <c r="A530" s="5" t="s">
        <v>235</v>
      </c>
      <c r="B530">
        <v>7172030015001100</v>
      </c>
      <c r="C530">
        <v>62</v>
      </c>
      <c r="D530">
        <v>45</v>
      </c>
      <c r="E530">
        <v>3</v>
      </c>
      <c r="F530">
        <v>1</v>
      </c>
      <c r="G530">
        <v>11</v>
      </c>
      <c r="H530">
        <v>0</v>
      </c>
      <c r="I530">
        <v>0</v>
      </c>
      <c r="J530">
        <v>0</v>
      </c>
      <c r="K530">
        <v>2</v>
      </c>
      <c r="L530">
        <v>0</v>
      </c>
      <c r="M530">
        <f>region_summary__52[[#This Row],[REJECTED BY Pengawas]]+region_summary__52[[#This Row],[REJECTED BY Admin Kabupaten]]</f>
        <v>0</v>
      </c>
    </row>
    <row r="531" spans="1:13" x14ac:dyDescent="0.25">
      <c r="A531" s="5" t="s">
        <v>235</v>
      </c>
      <c r="B531">
        <v>7172030015000500</v>
      </c>
      <c r="C531">
        <v>60</v>
      </c>
      <c r="D531">
        <v>5</v>
      </c>
      <c r="E531">
        <v>2</v>
      </c>
      <c r="F531">
        <v>0</v>
      </c>
      <c r="G531">
        <v>32</v>
      </c>
      <c r="H531">
        <v>0</v>
      </c>
      <c r="I531">
        <v>0</v>
      </c>
      <c r="J531">
        <v>0</v>
      </c>
      <c r="K531">
        <v>21</v>
      </c>
      <c r="L531">
        <v>0</v>
      </c>
      <c r="M531">
        <f>region_summary__52[[#This Row],[REJECTED BY Pengawas]]+region_summary__52[[#This Row],[REJECTED BY Admin Kabupaten]]</f>
        <v>0</v>
      </c>
    </row>
    <row r="532" spans="1:13" x14ac:dyDescent="0.25">
      <c r="A532" s="5" t="s">
        <v>235</v>
      </c>
      <c r="B532">
        <v>7172030015000700</v>
      </c>
      <c r="C532">
        <v>57</v>
      </c>
      <c r="D532">
        <v>37</v>
      </c>
      <c r="E532">
        <v>3</v>
      </c>
      <c r="F532">
        <v>1</v>
      </c>
      <c r="G532">
        <v>10</v>
      </c>
      <c r="H532">
        <v>0</v>
      </c>
      <c r="I532">
        <v>0</v>
      </c>
      <c r="J532">
        <v>0</v>
      </c>
      <c r="K532">
        <v>6</v>
      </c>
      <c r="L532">
        <v>0</v>
      </c>
      <c r="M532">
        <f>region_summary__52[[#This Row],[REJECTED BY Pengawas]]+region_summary__52[[#This Row],[REJECTED BY Admin Kabupaten]]</f>
        <v>0</v>
      </c>
    </row>
    <row r="533" spans="1:13" x14ac:dyDescent="0.25">
      <c r="A533" s="5" t="s">
        <v>235</v>
      </c>
      <c r="B533">
        <v>7172030015000600</v>
      </c>
      <c r="C533">
        <v>49</v>
      </c>
      <c r="D533">
        <v>18</v>
      </c>
      <c r="E533">
        <v>1</v>
      </c>
      <c r="F533">
        <v>0</v>
      </c>
      <c r="G533">
        <v>15</v>
      </c>
      <c r="H533">
        <v>0</v>
      </c>
      <c r="I533">
        <v>0</v>
      </c>
      <c r="J533">
        <v>0</v>
      </c>
      <c r="K533">
        <v>15</v>
      </c>
      <c r="L533">
        <v>0</v>
      </c>
      <c r="M533">
        <f>region_summary__52[[#This Row],[REJECTED BY Pengawas]]+region_summary__52[[#This Row],[REJECTED BY Admin Kabupaten]]</f>
        <v>0</v>
      </c>
    </row>
    <row r="534" spans="1:13" x14ac:dyDescent="0.25">
      <c r="A534" s="5" t="s">
        <v>235</v>
      </c>
      <c r="B534">
        <v>7172030015000900</v>
      </c>
      <c r="C534">
        <v>30</v>
      </c>
      <c r="D534">
        <v>5</v>
      </c>
      <c r="E534">
        <v>1</v>
      </c>
      <c r="F534">
        <v>0</v>
      </c>
      <c r="G534">
        <v>12</v>
      </c>
      <c r="H534">
        <v>0</v>
      </c>
      <c r="I534">
        <v>0</v>
      </c>
      <c r="J534">
        <v>0</v>
      </c>
      <c r="K534">
        <v>12</v>
      </c>
      <c r="L534">
        <v>0</v>
      </c>
      <c r="M534">
        <f>region_summary__52[[#This Row],[REJECTED BY Pengawas]]+region_summary__52[[#This Row],[REJECTED BY Admin Kabupaten]]</f>
        <v>0</v>
      </c>
    </row>
    <row r="535" spans="1:13" x14ac:dyDescent="0.25">
      <c r="A535" s="5" t="s">
        <v>105</v>
      </c>
      <c r="B535">
        <v>7172030015001701</v>
      </c>
      <c r="C535">
        <v>138</v>
      </c>
      <c r="D535">
        <v>64</v>
      </c>
      <c r="E535">
        <v>15</v>
      </c>
      <c r="F535">
        <v>0</v>
      </c>
      <c r="G535">
        <v>30</v>
      </c>
      <c r="H535">
        <v>0</v>
      </c>
      <c r="I535">
        <v>2</v>
      </c>
      <c r="J535">
        <v>0</v>
      </c>
      <c r="K535">
        <v>27</v>
      </c>
      <c r="L535">
        <v>0</v>
      </c>
      <c r="M535">
        <f>region_summary__52[[#This Row],[REJECTED BY Pengawas]]+region_summary__52[[#This Row],[REJECTED BY Admin Kabupaten]]</f>
        <v>2</v>
      </c>
    </row>
    <row r="536" spans="1:13" x14ac:dyDescent="0.25">
      <c r="A536" s="5" t="s">
        <v>105</v>
      </c>
      <c r="B536">
        <v>7172030015001800</v>
      </c>
      <c r="C536">
        <v>121</v>
      </c>
      <c r="D536">
        <v>0</v>
      </c>
      <c r="E536">
        <v>2</v>
      </c>
      <c r="F536">
        <v>0</v>
      </c>
      <c r="G536">
        <v>117</v>
      </c>
      <c r="H536">
        <v>0</v>
      </c>
      <c r="I536">
        <v>0</v>
      </c>
      <c r="J536">
        <v>0</v>
      </c>
      <c r="K536">
        <v>2</v>
      </c>
      <c r="L536">
        <v>0</v>
      </c>
      <c r="M536">
        <f>region_summary__52[[#This Row],[REJECTED BY Pengawas]]+region_summary__52[[#This Row],[REJECTED BY Admin Kabupaten]]</f>
        <v>0</v>
      </c>
    </row>
    <row r="537" spans="1:13" x14ac:dyDescent="0.25">
      <c r="A537" s="5" t="s">
        <v>105</v>
      </c>
      <c r="B537">
        <v>7172030015001300</v>
      </c>
      <c r="C537">
        <v>98</v>
      </c>
      <c r="D537">
        <v>79</v>
      </c>
      <c r="E537">
        <v>3</v>
      </c>
      <c r="F537">
        <v>1</v>
      </c>
      <c r="G537">
        <v>5</v>
      </c>
      <c r="H537">
        <v>0</v>
      </c>
      <c r="I537">
        <v>0</v>
      </c>
      <c r="J537">
        <v>0</v>
      </c>
      <c r="K537">
        <v>10</v>
      </c>
      <c r="L537">
        <v>0</v>
      </c>
      <c r="M537">
        <f>region_summary__52[[#This Row],[REJECTED BY Pengawas]]+region_summary__52[[#This Row],[REJECTED BY Admin Kabupaten]]</f>
        <v>0</v>
      </c>
    </row>
    <row r="538" spans="1:13" x14ac:dyDescent="0.25">
      <c r="A538" s="5" t="s">
        <v>105</v>
      </c>
      <c r="B538">
        <v>7172030015001200</v>
      </c>
      <c r="C538">
        <v>67</v>
      </c>
      <c r="D538">
        <v>67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f>region_summary__52[[#This Row],[REJECTED BY Pengawas]]+region_summary__52[[#This Row],[REJECTED BY Admin Kabupaten]]</f>
        <v>0</v>
      </c>
    </row>
    <row r="539" spans="1:13" x14ac:dyDescent="0.25">
      <c r="A539" s="5" t="s">
        <v>105</v>
      </c>
      <c r="B539">
        <v>7172030015001703</v>
      </c>
      <c r="C539">
        <v>54</v>
      </c>
      <c r="D539">
        <v>0</v>
      </c>
      <c r="E539">
        <v>9</v>
      </c>
      <c r="F539">
        <v>0</v>
      </c>
      <c r="G539">
        <v>22</v>
      </c>
      <c r="H539">
        <v>0</v>
      </c>
      <c r="I539">
        <v>0</v>
      </c>
      <c r="J539">
        <v>0</v>
      </c>
      <c r="K539">
        <v>23</v>
      </c>
      <c r="L539">
        <v>0</v>
      </c>
      <c r="M539">
        <f>region_summary__52[[#This Row],[REJECTED BY Pengawas]]+region_summary__52[[#This Row],[REJECTED BY Admin Kabupaten]]</f>
        <v>0</v>
      </c>
    </row>
    <row r="540" spans="1:13" x14ac:dyDescent="0.25">
      <c r="A540" s="5" t="s">
        <v>97</v>
      </c>
      <c r="B540">
        <v>7172030012000100</v>
      </c>
      <c r="C540">
        <v>93</v>
      </c>
      <c r="D540">
        <v>56</v>
      </c>
      <c r="E540">
        <v>0</v>
      </c>
      <c r="F540">
        <v>0</v>
      </c>
      <c r="G540">
        <v>7</v>
      </c>
      <c r="H540">
        <v>0</v>
      </c>
      <c r="I540">
        <v>8</v>
      </c>
      <c r="J540">
        <v>0</v>
      </c>
      <c r="K540">
        <v>22</v>
      </c>
      <c r="L540">
        <v>0</v>
      </c>
      <c r="M540">
        <f>region_summary__52[[#This Row],[REJECTED BY Pengawas]]+region_summary__52[[#This Row],[REJECTED BY Admin Kabupaten]]</f>
        <v>8</v>
      </c>
    </row>
    <row r="541" spans="1:13" x14ac:dyDescent="0.25">
      <c r="A541" s="5" t="s">
        <v>97</v>
      </c>
      <c r="B541">
        <v>7172030012000300</v>
      </c>
      <c r="C541">
        <v>91</v>
      </c>
      <c r="D541">
        <v>79</v>
      </c>
      <c r="E541">
        <v>2</v>
      </c>
      <c r="F541">
        <v>2</v>
      </c>
      <c r="G541">
        <v>0</v>
      </c>
      <c r="H541">
        <v>0</v>
      </c>
      <c r="I541">
        <v>5</v>
      </c>
      <c r="J541">
        <v>0</v>
      </c>
      <c r="K541">
        <v>3</v>
      </c>
      <c r="L541">
        <v>0</v>
      </c>
      <c r="M541">
        <f>region_summary__52[[#This Row],[REJECTED BY Pengawas]]+region_summary__52[[#This Row],[REJECTED BY Admin Kabupaten]]</f>
        <v>5</v>
      </c>
    </row>
    <row r="542" spans="1:13" x14ac:dyDescent="0.25">
      <c r="A542" s="5" t="s">
        <v>97</v>
      </c>
      <c r="B542">
        <v>7172030016000900</v>
      </c>
      <c r="C542">
        <v>64</v>
      </c>
      <c r="D542">
        <v>2</v>
      </c>
      <c r="E542">
        <v>0</v>
      </c>
      <c r="F542">
        <v>0</v>
      </c>
      <c r="G542">
        <v>57</v>
      </c>
      <c r="H542">
        <v>0</v>
      </c>
      <c r="I542">
        <v>0</v>
      </c>
      <c r="J542">
        <v>0</v>
      </c>
      <c r="K542">
        <v>5</v>
      </c>
      <c r="L542">
        <v>0</v>
      </c>
      <c r="M542">
        <f>region_summary__52[[#This Row],[REJECTED BY Pengawas]]+region_summary__52[[#This Row],[REJECTED BY Admin Kabupaten]]</f>
        <v>0</v>
      </c>
    </row>
    <row r="543" spans="1:13" x14ac:dyDescent="0.25">
      <c r="A543" s="5" t="s">
        <v>97</v>
      </c>
      <c r="B543">
        <v>7172030016000600</v>
      </c>
      <c r="C543">
        <v>62</v>
      </c>
      <c r="D543">
        <v>4</v>
      </c>
      <c r="E543">
        <v>0</v>
      </c>
      <c r="F543">
        <v>0</v>
      </c>
      <c r="G543">
        <v>56</v>
      </c>
      <c r="H543">
        <v>0</v>
      </c>
      <c r="I543">
        <v>0</v>
      </c>
      <c r="J543">
        <v>0</v>
      </c>
      <c r="K543">
        <v>2</v>
      </c>
      <c r="L543">
        <v>0</v>
      </c>
      <c r="M543">
        <f>region_summary__52[[#This Row],[REJECTED BY Pengawas]]+region_summary__52[[#This Row],[REJECTED BY Admin Kabupaten]]</f>
        <v>0</v>
      </c>
    </row>
    <row r="544" spans="1:13" x14ac:dyDescent="0.25">
      <c r="A544" s="5" t="s">
        <v>97</v>
      </c>
      <c r="B544">
        <v>7172030016000300</v>
      </c>
      <c r="C544">
        <v>59</v>
      </c>
      <c r="D544">
        <v>33</v>
      </c>
      <c r="E544">
        <v>0</v>
      </c>
      <c r="F544">
        <v>5</v>
      </c>
      <c r="G544">
        <v>16</v>
      </c>
      <c r="H544">
        <v>0</v>
      </c>
      <c r="I544">
        <v>0</v>
      </c>
      <c r="J544">
        <v>0</v>
      </c>
      <c r="K544">
        <v>5</v>
      </c>
      <c r="L544">
        <v>0</v>
      </c>
      <c r="M544">
        <f>region_summary__52[[#This Row],[REJECTED BY Pengawas]]+region_summary__52[[#This Row],[REJECTED BY Admin Kabupaten]]</f>
        <v>0</v>
      </c>
    </row>
    <row r="545" spans="1:13" x14ac:dyDescent="0.25">
      <c r="A545" s="5" t="s">
        <v>97</v>
      </c>
      <c r="B545">
        <v>7172030016000400</v>
      </c>
      <c r="C545">
        <v>57</v>
      </c>
      <c r="D545">
        <v>8</v>
      </c>
      <c r="E545">
        <v>0</v>
      </c>
      <c r="F545">
        <v>0</v>
      </c>
      <c r="G545">
        <v>49</v>
      </c>
      <c r="H545">
        <v>0</v>
      </c>
      <c r="I545">
        <v>0</v>
      </c>
      <c r="J545">
        <v>0</v>
      </c>
      <c r="K545">
        <v>0</v>
      </c>
      <c r="L545">
        <v>0</v>
      </c>
      <c r="M545">
        <f>region_summary__52[[#This Row],[REJECTED BY Pengawas]]+region_summary__52[[#This Row],[REJECTED BY Admin Kabupaten]]</f>
        <v>0</v>
      </c>
    </row>
    <row r="546" spans="1:13" x14ac:dyDescent="0.25">
      <c r="A546" s="5" t="s">
        <v>97</v>
      </c>
      <c r="B546">
        <v>7172030016000200</v>
      </c>
      <c r="C546">
        <v>48</v>
      </c>
      <c r="D546">
        <v>12</v>
      </c>
      <c r="E546">
        <v>0</v>
      </c>
      <c r="F546">
        <v>1</v>
      </c>
      <c r="G546">
        <v>5</v>
      </c>
      <c r="H546">
        <v>0</v>
      </c>
      <c r="I546">
        <v>0</v>
      </c>
      <c r="J546">
        <v>0</v>
      </c>
      <c r="K546">
        <v>30</v>
      </c>
      <c r="L546">
        <v>0</v>
      </c>
      <c r="M546">
        <f>region_summary__52[[#This Row],[REJECTED BY Pengawas]]+region_summary__52[[#This Row],[REJECTED BY Admin Kabupaten]]</f>
        <v>0</v>
      </c>
    </row>
    <row r="547" spans="1:13" x14ac:dyDescent="0.25">
      <c r="A547" s="5" t="s">
        <v>97</v>
      </c>
      <c r="B547">
        <v>7172030016000800</v>
      </c>
      <c r="C547">
        <v>47</v>
      </c>
      <c r="D547">
        <v>6</v>
      </c>
      <c r="E547">
        <v>0</v>
      </c>
      <c r="F547">
        <v>0</v>
      </c>
      <c r="G547">
        <v>40</v>
      </c>
      <c r="H547">
        <v>0</v>
      </c>
      <c r="I547">
        <v>0</v>
      </c>
      <c r="J547">
        <v>0</v>
      </c>
      <c r="K547">
        <v>1</v>
      </c>
      <c r="L547">
        <v>0</v>
      </c>
      <c r="M547">
        <f>region_summary__52[[#This Row],[REJECTED BY Pengawas]]+region_summary__52[[#This Row],[REJECTED BY Admin Kabupaten]]</f>
        <v>0</v>
      </c>
    </row>
    <row r="548" spans="1:13" x14ac:dyDescent="0.25">
      <c r="A548" s="5" t="s">
        <v>97</v>
      </c>
      <c r="B548">
        <v>7172030016000700</v>
      </c>
      <c r="C548">
        <v>46</v>
      </c>
      <c r="D548">
        <v>7</v>
      </c>
      <c r="E548">
        <v>0</v>
      </c>
      <c r="F548">
        <v>0</v>
      </c>
      <c r="G548">
        <v>39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region_summary__52[[#This Row],[REJECTED BY Pengawas]]+region_summary__52[[#This Row],[REJECTED BY Admin Kabupaten]]</f>
        <v>0</v>
      </c>
    </row>
    <row r="549" spans="1:13" x14ac:dyDescent="0.25">
      <c r="A549" s="5" t="s">
        <v>97</v>
      </c>
      <c r="B549">
        <v>7172030016000100</v>
      </c>
      <c r="C549">
        <v>33</v>
      </c>
      <c r="D549">
        <v>2</v>
      </c>
      <c r="E549">
        <v>0</v>
      </c>
      <c r="F549">
        <v>0</v>
      </c>
      <c r="G549">
        <v>28</v>
      </c>
      <c r="H549">
        <v>0</v>
      </c>
      <c r="I549">
        <v>0</v>
      </c>
      <c r="J549">
        <v>0</v>
      </c>
      <c r="K549">
        <v>3</v>
      </c>
      <c r="L549">
        <v>0</v>
      </c>
      <c r="M549">
        <f>region_summary__52[[#This Row],[REJECTED BY Pengawas]]+region_summary__52[[#This Row],[REJECTED BY Admin Kabupaten]]</f>
        <v>0</v>
      </c>
    </row>
    <row r="550" spans="1:13" x14ac:dyDescent="0.25">
      <c r="A550" s="5" t="s">
        <v>97</v>
      </c>
      <c r="B550">
        <v>7172030016000500</v>
      </c>
      <c r="C550">
        <v>33</v>
      </c>
      <c r="D550">
        <v>2</v>
      </c>
      <c r="E550">
        <v>0</v>
      </c>
      <c r="F550">
        <v>0</v>
      </c>
      <c r="G550">
        <v>31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region_summary__52[[#This Row],[REJECTED BY Pengawas]]+region_summary__52[[#This Row],[REJECTED BY Admin Kabupaten]]</f>
        <v>0</v>
      </c>
    </row>
    <row r="551" spans="1:13" x14ac:dyDescent="0.25">
      <c r="A551" s="5" t="s">
        <v>109</v>
      </c>
      <c r="B551">
        <v>7172031001000700</v>
      </c>
      <c r="C551">
        <v>99</v>
      </c>
      <c r="D551">
        <v>60</v>
      </c>
      <c r="E551">
        <v>14</v>
      </c>
      <c r="F551">
        <v>0</v>
      </c>
      <c r="G551">
        <v>25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region_summary__52[[#This Row],[REJECTED BY Pengawas]]+region_summary__52[[#This Row],[REJECTED BY Admin Kabupaten]]</f>
        <v>0</v>
      </c>
    </row>
    <row r="552" spans="1:13" x14ac:dyDescent="0.25">
      <c r="A552" s="5" t="s">
        <v>109</v>
      </c>
      <c r="B552">
        <v>7172031001000800</v>
      </c>
      <c r="C552">
        <v>59</v>
      </c>
      <c r="D552">
        <v>51</v>
      </c>
      <c r="E552">
        <v>7</v>
      </c>
      <c r="F552">
        <v>0</v>
      </c>
      <c r="G552">
        <v>1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region_summary__52[[#This Row],[REJECTED BY Pengawas]]+region_summary__52[[#This Row],[REJECTED BY Admin Kabupaten]]</f>
        <v>0</v>
      </c>
    </row>
    <row r="553" spans="1:13" x14ac:dyDescent="0.25">
      <c r="A553" s="5" t="s">
        <v>109</v>
      </c>
      <c r="B553">
        <v>7172031001001200</v>
      </c>
      <c r="C553">
        <v>58</v>
      </c>
      <c r="D553">
        <v>0</v>
      </c>
      <c r="E553">
        <v>0</v>
      </c>
      <c r="F553">
        <v>0</v>
      </c>
      <c r="G553">
        <v>58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region_summary__52[[#This Row],[REJECTED BY Pengawas]]+region_summary__52[[#This Row],[REJECTED BY Admin Kabupaten]]</f>
        <v>0</v>
      </c>
    </row>
    <row r="554" spans="1:13" x14ac:dyDescent="0.25">
      <c r="A554" s="5" t="s">
        <v>109</v>
      </c>
      <c r="B554">
        <v>7172031001001400</v>
      </c>
      <c r="C554">
        <v>56</v>
      </c>
      <c r="D554">
        <v>47</v>
      </c>
      <c r="E554">
        <v>7</v>
      </c>
      <c r="F554">
        <v>0</v>
      </c>
      <c r="G554">
        <v>2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region_summary__52[[#This Row],[REJECTED BY Pengawas]]+region_summary__52[[#This Row],[REJECTED BY Admin Kabupaten]]</f>
        <v>0</v>
      </c>
    </row>
    <row r="555" spans="1:13" x14ac:dyDescent="0.25">
      <c r="A555" s="5" t="s">
        <v>109</v>
      </c>
      <c r="B555">
        <v>7172031001001100</v>
      </c>
      <c r="C555">
        <v>50</v>
      </c>
      <c r="D555">
        <v>1</v>
      </c>
      <c r="E555">
        <v>1</v>
      </c>
      <c r="F555">
        <v>0</v>
      </c>
      <c r="G555">
        <v>48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region_summary__52[[#This Row],[REJECTED BY Pengawas]]+region_summary__52[[#This Row],[REJECTED BY Admin Kabupaten]]</f>
        <v>0</v>
      </c>
    </row>
    <row r="556" spans="1:13" x14ac:dyDescent="0.25">
      <c r="A556" s="5" t="s">
        <v>109</v>
      </c>
      <c r="B556">
        <v>7172031001000600</v>
      </c>
      <c r="C556">
        <v>49</v>
      </c>
      <c r="D556">
        <v>31</v>
      </c>
      <c r="E556">
        <v>8</v>
      </c>
      <c r="F556">
        <v>0</v>
      </c>
      <c r="G556">
        <v>10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region_summary__52[[#This Row],[REJECTED BY Pengawas]]+region_summary__52[[#This Row],[REJECTED BY Admin Kabupaten]]</f>
        <v>0</v>
      </c>
    </row>
    <row r="557" spans="1:13" x14ac:dyDescent="0.25">
      <c r="A557" s="5" t="s">
        <v>109</v>
      </c>
      <c r="B557">
        <v>7172031001000400</v>
      </c>
      <c r="C557">
        <v>47</v>
      </c>
      <c r="D557">
        <v>23</v>
      </c>
      <c r="E557">
        <v>10</v>
      </c>
      <c r="F557">
        <v>0</v>
      </c>
      <c r="G557">
        <v>11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region_summary__52[[#This Row],[REJECTED BY Pengawas]]+region_summary__52[[#This Row],[REJECTED BY Admin Kabupaten]]</f>
        <v>0</v>
      </c>
    </row>
    <row r="558" spans="1:13" x14ac:dyDescent="0.25">
      <c r="A558" s="5" t="s">
        <v>109</v>
      </c>
      <c r="B558">
        <v>7172031001001300</v>
      </c>
      <c r="C558">
        <v>47</v>
      </c>
      <c r="D558">
        <v>44</v>
      </c>
      <c r="E558">
        <v>3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f>region_summary__52[[#This Row],[REJECTED BY Pengawas]]+region_summary__52[[#This Row],[REJECTED BY Admin Kabupaten]]</f>
        <v>0</v>
      </c>
    </row>
    <row r="559" spans="1:13" x14ac:dyDescent="0.25">
      <c r="A559" s="5" t="s">
        <v>109</v>
      </c>
      <c r="B559">
        <v>7172031001000500</v>
      </c>
      <c r="C559">
        <v>45</v>
      </c>
      <c r="D559">
        <v>22</v>
      </c>
      <c r="E559">
        <v>6</v>
      </c>
      <c r="F559">
        <v>0</v>
      </c>
      <c r="G559">
        <v>17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region_summary__52[[#This Row],[REJECTED BY Pengawas]]+region_summary__52[[#This Row],[REJECTED BY Admin Kabupaten]]</f>
        <v>0</v>
      </c>
    </row>
    <row r="560" spans="1:13" x14ac:dyDescent="0.25">
      <c r="A560" s="5" t="s">
        <v>109</v>
      </c>
      <c r="B560">
        <v>7172031001000200</v>
      </c>
      <c r="C560">
        <v>43</v>
      </c>
      <c r="D560">
        <v>40</v>
      </c>
      <c r="E560">
        <v>3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region_summary__52[[#This Row],[REJECTED BY Pengawas]]+region_summary__52[[#This Row],[REJECTED BY Admin Kabupaten]]</f>
        <v>0</v>
      </c>
    </row>
    <row r="561" spans="1:13" x14ac:dyDescent="0.25">
      <c r="A561" s="5" t="s">
        <v>109</v>
      </c>
      <c r="B561">
        <v>7172031001000300</v>
      </c>
      <c r="C561">
        <v>41</v>
      </c>
      <c r="D561">
        <v>24</v>
      </c>
      <c r="E561">
        <v>12</v>
      </c>
      <c r="F561">
        <v>0</v>
      </c>
      <c r="G561">
        <v>3</v>
      </c>
      <c r="H561">
        <v>0</v>
      </c>
      <c r="I561">
        <v>0</v>
      </c>
      <c r="J561">
        <v>0</v>
      </c>
      <c r="K561">
        <v>2</v>
      </c>
      <c r="L561">
        <v>0</v>
      </c>
      <c r="M561">
        <f>region_summary__52[[#This Row],[REJECTED BY Pengawas]]+region_summary__52[[#This Row],[REJECTED BY Admin Kabupaten]]</f>
        <v>0</v>
      </c>
    </row>
    <row r="562" spans="1:13" x14ac:dyDescent="0.25">
      <c r="A562" s="5" t="s">
        <v>109</v>
      </c>
      <c r="B562">
        <v>7172031001001000</v>
      </c>
      <c r="C562">
        <v>40</v>
      </c>
      <c r="D562">
        <v>29</v>
      </c>
      <c r="E562">
        <v>5</v>
      </c>
      <c r="F562">
        <v>0</v>
      </c>
      <c r="G562">
        <v>6</v>
      </c>
      <c r="H562">
        <v>0</v>
      </c>
      <c r="I562">
        <v>0</v>
      </c>
      <c r="J562">
        <v>0</v>
      </c>
      <c r="K562">
        <v>0</v>
      </c>
      <c r="L562">
        <v>0</v>
      </c>
      <c r="M562">
        <f>region_summary__52[[#This Row],[REJECTED BY Pengawas]]+region_summary__52[[#This Row],[REJECTED BY Admin Kabupaten]]</f>
        <v>0</v>
      </c>
    </row>
    <row r="563" spans="1:13" x14ac:dyDescent="0.25">
      <c r="A563" s="5" t="s">
        <v>109</v>
      </c>
      <c r="B563">
        <v>7172031001000900</v>
      </c>
      <c r="C563">
        <v>34</v>
      </c>
      <c r="D563">
        <v>29</v>
      </c>
      <c r="E563">
        <v>2</v>
      </c>
      <c r="F563">
        <v>1</v>
      </c>
      <c r="G563">
        <v>1</v>
      </c>
      <c r="H563">
        <v>0</v>
      </c>
      <c r="I563">
        <v>1</v>
      </c>
      <c r="J563">
        <v>0</v>
      </c>
      <c r="K563">
        <v>0</v>
      </c>
      <c r="L563">
        <v>0</v>
      </c>
      <c r="M563">
        <f>region_summary__52[[#This Row],[REJECTED BY Pengawas]]+region_summary__52[[#This Row],[REJECTED BY Admin Kabupaten]]</f>
        <v>1</v>
      </c>
    </row>
    <row r="564" spans="1:13" x14ac:dyDescent="0.25">
      <c r="A564" s="5" t="s">
        <v>109</v>
      </c>
      <c r="B564">
        <v>7172031001000100</v>
      </c>
      <c r="C564">
        <v>33</v>
      </c>
      <c r="D564">
        <v>29</v>
      </c>
      <c r="E564">
        <v>1</v>
      </c>
      <c r="F564">
        <v>0</v>
      </c>
      <c r="G564">
        <v>2</v>
      </c>
      <c r="H564">
        <v>0</v>
      </c>
      <c r="I564">
        <v>0</v>
      </c>
      <c r="J564">
        <v>0</v>
      </c>
      <c r="K564">
        <v>1</v>
      </c>
      <c r="L564">
        <v>0</v>
      </c>
      <c r="M564">
        <f>region_summary__52[[#This Row],[REJECTED BY Pengawas]]+region_summary__52[[#This Row],[REJECTED BY Admin Kabupaten]]</f>
        <v>0</v>
      </c>
    </row>
    <row r="565" spans="1:13" x14ac:dyDescent="0.25">
      <c r="A565" s="5" t="s">
        <v>113</v>
      </c>
      <c r="B565">
        <v>7172031005001800</v>
      </c>
      <c r="C565">
        <v>155</v>
      </c>
      <c r="D565">
        <v>148</v>
      </c>
      <c r="E565">
        <v>1</v>
      </c>
      <c r="F565">
        <v>1</v>
      </c>
      <c r="G565">
        <v>4</v>
      </c>
      <c r="H565">
        <v>0</v>
      </c>
      <c r="I565">
        <v>0</v>
      </c>
      <c r="J565">
        <v>1</v>
      </c>
      <c r="K565">
        <v>0</v>
      </c>
      <c r="L565">
        <v>0</v>
      </c>
      <c r="M565">
        <f>region_summary__52[[#This Row],[REJECTED BY Pengawas]]+region_summary__52[[#This Row],[REJECTED BY Admin Kabupaten]]</f>
        <v>0</v>
      </c>
    </row>
    <row r="566" spans="1:13" x14ac:dyDescent="0.25">
      <c r="A566" s="5" t="s">
        <v>113</v>
      </c>
      <c r="B566">
        <v>7172031002001200</v>
      </c>
      <c r="C566">
        <v>99</v>
      </c>
      <c r="D566">
        <v>0</v>
      </c>
      <c r="E566">
        <v>0</v>
      </c>
      <c r="F566">
        <v>0</v>
      </c>
      <c r="G566">
        <v>99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region_summary__52[[#This Row],[REJECTED BY Pengawas]]+region_summary__52[[#This Row],[REJECTED BY Admin Kabupaten]]</f>
        <v>0</v>
      </c>
    </row>
    <row r="567" spans="1:13" x14ac:dyDescent="0.25">
      <c r="A567" s="5" t="s">
        <v>113</v>
      </c>
      <c r="B567">
        <v>7172031005001500</v>
      </c>
      <c r="C567">
        <v>82</v>
      </c>
      <c r="D567">
        <v>80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f>region_summary__52[[#This Row],[REJECTED BY Pengawas]]+region_summary__52[[#This Row],[REJECTED BY Admin Kabupaten]]</f>
        <v>0</v>
      </c>
    </row>
    <row r="568" spans="1:13" x14ac:dyDescent="0.25">
      <c r="A568" s="5" t="s">
        <v>113</v>
      </c>
      <c r="B568">
        <v>7172031005000800</v>
      </c>
      <c r="C568">
        <v>81</v>
      </c>
      <c r="D568">
        <v>10</v>
      </c>
      <c r="E568">
        <v>3</v>
      </c>
      <c r="F568">
        <v>0</v>
      </c>
      <c r="G568">
        <v>68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region_summary__52[[#This Row],[REJECTED BY Pengawas]]+region_summary__52[[#This Row],[REJECTED BY Admin Kabupaten]]</f>
        <v>0</v>
      </c>
    </row>
    <row r="569" spans="1:13" x14ac:dyDescent="0.25">
      <c r="A569" s="5" t="s">
        <v>113</v>
      </c>
      <c r="B569">
        <v>7172031005001600</v>
      </c>
      <c r="C569">
        <v>78</v>
      </c>
      <c r="D569">
        <v>73</v>
      </c>
      <c r="E569">
        <v>4</v>
      </c>
      <c r="F569">
        <v>1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region_summary__52[[#This Row],[REJECTED BY Pengawas]]+region_summary__52[[#This Row],[REJECTED BY Admin Kabupaten]]</f>
        <v>0</v>
      </c>
    </row>
    <row r="570" spans="1:13" x14ac:dyDescent="0.25">
      <c r="A570" s="5" t="s">
        <v>113</v>
      </c>
      <c r="B570">
        <v>7172031005001300</v>
      </c>
      <c r="C570">
        <v>74</v>
      </c>
      <c r="D570">
        <v>24</v>
      </c>
      <c r="E570">
        <v>1</v>
      </c>
      <c r="F570">
        <v>0</v>
      </c>
      <c r="G570">
        <v>49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region_summary__52[[#This Row],[REJECTED BY Pengawas]]+region_summary__52[[#This Row],[REJECTED BY Admin Kabupaten]]</f>
        <v>0</v>
      </c>
    </row>
    <row r="571" spans="1:13" x14ac:dyDescent="0.25">
      <c r="A571" s="5" t="s">
        <v>113</v>
      </c>
      <c r="B571">
        <v>7172031005001400</v>
      </c>
      <c r="C571">
        <v>69</v>
      </c>
      <c r="D571">
        <v>66</v>
      </c>
      <c r="E571">
        <v>0</v>
      </c>
      <c r="F571">
        <v>1</v>
      </c>
      <c r="G571">
        <v>2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region_summary__52[[#This Row],[REJECTED BY Pengawas]]+region_summary__52[[#This Row],[REJECTED BY Admin Kabupaten]]</f>
        <v>0</v>
      </c>
    </row>
    <row r="572" spans="1:13" x14ac:dyDescent="0.25">
      <c r="A572" s="5" t="s">
        <v>113</v>
      </c>
      <c r="B572">
        <v>7172031003000100</v>
      </c>
      <c r="C572">
        <v>53</v>
      </c>
      <c r="D572">
        <v>23</v>
      </c>
      <c r="E572">
        <v>12</v>
      </c>
      <c r="F572">
        <v>0</v>
      </c>
      <c r="G572">
        <v>17</v>
      </c>
      <c r="H572">
        <v>0</v>
      </c>
      <c r="I572">
        <v>0</v>
      </c>
      <c r="J572">
        <v>0</v>
      </c>
      <c r="K572">
        <v>1</v>
      </c>
      <c r="L572">
        <v>0</v>
      </c>
      <c r="M572">
        <f>region_summary__52[[#This Row],[REJECTED BY Pengawas]]+region_summary__52[[#This Row],[REJECTED BY Admin Kabupaten]]</f>
        <v>0</v>
      </c>
    </row>
    <row r="573" spans="1:13" x14ac:dyDescent="0.25">
      <c r="A573" s="5" t="s">
        <v>114</v>
      </c>
      <c r="B573">
        <v>7172031003001300</v>
      </c>
      <c r="C573">
        <v>85</v>
      </c>
      <c r="D573">
        <v>79</v>
      </c>
      <c r="E573">
        <v>1</v>
      </c>
      <c r="F573">
        <v>5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region_summary__52[[#This Row],[REJECTED BY Pengawas]]+region_summary__52[[#This Row],[REJECTED BY Admin Kabupaten]]</f>
        <v>0</v>
      </c>
    </row>
    <row r="574" spans="1:13" x14ac:dyDescent="0.25">
      <c r="A574" s="5" t="s">
        <v>114</v>
      </c>
      <c r="B574">
        <v>7172031003001000</v>
      </c>
      <c r="C574">
        <v>73</v>
      </c>
      <c r="D574">
        <v>58</v>
      </c>
      <c r="E574">
        <v>0</v>
      </c>
      <c r="F574">
        <v>11</v>
      </c>
      <c r="G574">
        <v>3</v>
      </c>
      <c r="H574">
        <v>0</v>
      </c>
      <c r="I574">
        <v>0</v>
      </c>
      <c r="J574">
        <v>1</v>
      </c>
      <c r="K574">
        <v>0</v>
      </c>
      <c r="L574">
        <v>0</v>
      </c>
      <c r="M574">
        <f>region_summary__52[[#This Row],[REJECTED BY Pengawas]]+region_summary__52[[#This Row],[REJECTED BY Admin Kabupaten]]</f>
        <v>0</v>
      </c>
    </row>
    <row r="575" spans="1:13" x14ac:dyDescent="0.25">
      <c r="A575" s="5" t="s">
        <v>114</v>
      </c>
      <c r="B575">
        <v>7172031003000500</v>
      </c>
      <c r="C575">
        <v>67</v>
      </c>
      <c r="D575">
        <v>16</v>
      </c>
      <c r="E575">
        <v>0</v>
      </c>
      <c r="F575">
        <v>0</v>
      </c>
      <c r="G575">
        <v>51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region_summary__52[[#This Row],[REJECTED BY Pengawas]]+region_summary__52[[#This Row],[REJECTED BY Admin Kabupaten]]</f>
        <v>0</v>
      </c>
    </row>
    <row r="576" spans="1:13" x14ac:dyDescent="0.25">
      <c r="A576" s="5" t="s">
        <v>114</v>
      </c>
      <c r="B576">
        <v>7172031003001600</v>
      </c>
      <c r="C576">
        <v>66</v>
      </c>
      <c r="D576">
        <v>2</v>
      </c>
      <c r="E576">
        <v>6</v>
      </c>
      <c r="F576">
        <v>0</v>
      </c>
      <c r="G576">
        <v>58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region_summary__52[[#This Row],[REJECTED BY Pengawas]]+region_summary__52[[#This Row],[REJECTED BY Admin Kabupaten]]</f>
        <v>0</v>
      </c>
    </row>
    <row r="577" spans="1:13" x14ac:dyDescent="0.25">
      <c r="A577" s="5" t="s">
        <v>114</v>
      </c>
      <c r="B577">
        <v>7172031003000900</v>
      </c>
      <c r="C577">
        <v>59</v>
      </c>
      <c r="D577">
        <v>49</v>
      </c>
      <c r="E577">
        <v>0</v>
      </c>
      <c r="F577">
        <v>10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region_summary__52[[#This Row],[REJECTED BY Pengawas]]+region_summary__52[[#This Row],[REJECTED BY Admin Kabupaten]]</f>
        <v>0</v>
      </c>
    </row>
    <row r="578" spans="1:13" x14ac:dyDescent="0.25">
      <c r="A578" s="5" t="s">
        <v>114</v>
      </c>
      <c r="B578">
        <v>7172031003000800</v>
      </c>
      <c r="C578">
        <v>57</v>
      </c>
      <c r="D578">
        <v>16</v>
      </c>
      <c r="E578">
        <v>0</v>
      </c>
      <c r="F578">
        <v>0</v>
      </c>
      <c r="G578">
        <v>41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region_summary__52[[#This Row],[REJECTED BY Pengawas]]+region_summary__52[[#This Row],[REJECTED BY Admin Kabupaten]]</f>
        <v>0</v>
      </c>
    </row>
    <row r="579" spans="1:13" x14ac:dyDescent="0.25">
      <c r="A579" s="5" t="s">
        <v>114</v>
      </c>
      <c r="B579">
        <v>7172031003001500</v>
      </c>
      <c r="C579">
        <v>49</v>
      </c>
      <c r="D579">
        <v>44</v>
      </c>
      <c r="E579">
        <v>1</v>
      </c>
      <c r="F579">
        <v>0</v>
      </c>
      <c r="G579">
        <v>4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region_summary__52[[#This Row],[REJECTED BY Pengawas]]+region_summary__52[[#This Row],[REJECTED BY Admin Kabupaten]]</f>
        <v>0</v>
      </c>
    </row>
    <row r="580" spans="1:13" x14ac:dyDescent="0.25">
      <c r="A580" s="5" t="s">
        <v>114</v>
      </c>
      <c r="B580">
        <v>7172031003000600</v>
      </c>
      <c r="C580">
        <v>43</v>
      </c>
      <c r="D580">
        <v>11</v>
      </c>
      <c r="E580">
        <v>0</v>
      </c>
      <c r="F580">
        <v>0</v>
      </c>
      <c r="G580">
        <v>32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region_summary__52[[#This Row],[REJECTED BY Pengawas]]+region_summary__52[[#This Row],[REJECTED BY Admin Kabupaten]]</f>
        <v>0</v>
      </c>
    </row>
    <row r="581" spans="1:13" x14ac:dyDescent="0.25">
      <c r="A581" s="5" t="s">
        <v>114</v>
      </c>
      <c r="B581">
        <v>7172031003000700</v>
      </c>
      <c r="C581">
        <v>40</v>
      </c>
      <c r="D581">
        <v>9</v>
      </c>
      <c r="E581">
        <v>0</v>
      </c>
      <c r="F581">
        <v>0</v>
      </c>
      <c r="G581">
        <v>31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region_summary__52[[#This Row],[REJECTED BY Pengawas]]+region_summary__52[[#This Row],[REJECTED BY Admin Kabupaten]]</f>
        <v>0</v>
      </c>
    </row>
    <row r="582" spans="1:13" x14ac:dyDescent="0.25">
      <c r="A582" s="5" t="s">
        <v>114</v>
      </c>
      <c r="B582">
        <v>7172031003001100</v>
      </c>
      <c r="C582">
        <v>40</v>
      </c>
      <c r="D582">
        <v>33</v>
      </c>
      <c r="E582">
        <v>2</v>
      </c>
      <c r="F582">
        <v>3</v>
      </c>
      <c r="G582">
        <v>2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region_summary__52[[#This Row],[REJECTED BY Pengawas]]+region_summary__52[[#This Row],[REJECTED BY Admin Kabupaten]]</f>
        <v>0</v>
      </c>
    </row>
    <row r="583" spans="1:13" x14ac:dyDescent="0.25">
      <c r="A583" s="5" t="s">
        <v>114</v>
      </c>
      <c r="B583">
        <v>7172031003000300</v>
      </c>
      <c r="C583">
        <v>39</v>
      </c>
      <c r="D583">
        <v>0</v>
      </c>
      <c r="E583">
        <v>0</v>
      </c>
      <c r="F583">
        <v>0</v>
      </c>
      <c r="G583">
        <v>39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region_summary__52[[#This Row],[REJECTED BY Pengawas]]+region_summary__52[[#This Row],[REJECTED BY Admin Kabupaten]]</f>
        <v>0</v>
      </c>
    </row>
    <row r="584" spans="1:13" x14ac:dyDescent="0.25">
      <c r="A584" s="5" t="s">
        <v>114</v>
      </c>
      <c r="B584">
        <v>7172031003000400</v>
      </c>
      <c r="C584">
        <v>38</v>
      </c>
      <c r="D584">
        <v>16</v>
      </c>
      <c r="E584">
        <v>1</v>
      </c>
      <c r="F584">
        <v>0</v>
      </c>
      <c r="G584">
        <v>21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region_summary__52[[#This Row],[REJECTED BY Pengawas]]+region_summary__52[[#This Row],[REJECTED BY Admin Kabupaten]]</f>
        <v>0</v>
      </c>
    </row>
    <row r="585" spans="1:13" x14ac:dyDescent="0.25">
      <c r="A585" s="5" t="s">
        <v>114</v>
      </c>
      <c r="B585">
        <v>7172031003001200</v>
      </c>
      <c r="C585">
        <v>38</v>
      </c>
      <c r="D585">
        <v>36</v>
      </c>
      <c r="E585">
        <v>0</v>
      </c>
      <c r="F585">
        <v>0</v>
      </c>
      <c r="G585">
        <v>1</v>
      </c>
      <c r="H585">
        <v>0</v>
      </c>
      <c r="I585">
        <v>0</v>
      </c>
      <c r="J585">
        <v>0</v>
      </c>
      <c r="K585">
        <v>1</v>
      </c>
      <c r="L585">
        <v>0</v>
      </c>
      <c r="M585">
        <f>region_summary__52[[#This Row],[REJECTED BY Pengawas]]+region_summary__52[[#This Row],[REJECTED BY Admin Kabupaten]]</f>
        <v>0</v>
      </c>
    </row>
    <row r="586" spans="1:13" x14ac:dyDescent="0.25">
      <c r="A586" s="5" t="s">
        <v>121</v>
      </c>
      <c r="B586">
        <v>7172031006000500</v>
      </c>
      <c r="C586">
        <v>221</v>
      </c>
      <c r="D586">
        <v>62</v>
      </c>
      <c r="E586">
        <v>55</v>
      </c>
      <c r="F586">
        <v>0</v>
      </c>
      <c r="G586">
        <v>103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region_summary__52[[#This Row],[REJECTED BY Pengawas]]+region_summary__52[[#This Row],[REJECTED BY Admin Kabupaten]]</f>
        <v>0</v>
      </c>
    </row>
    <row r="587" spans="1:13" x14ac:dyDescent="0.25">
      <c r="A587" s="5" t="s">
        <v>121</v>
      </c>
      <c r="B587">
        <v>7172031006001100</v>
      </c>
      <c r="C587">
        <v>209</v>
      </c>
      <c r="D587">
        <v>171</v>
      </c>
      <c r="E587">
        <v>3</v>
      </c>
      <c r="F587">
        <v>17</v>
      </c>
      <c r="G587">
        <v>6</v>
      </c>
      <c r="H587">
        <v>0</v>
      </c>
      <c r="I587">
        <v>0</v>
      </c>
      <c r="J587">
        <v>0</v>
      </c>
      <c r="K587">
        <v>12</v>
      </c>
      <c r="L587">
        <v>0</v>
      </c>
      <c r="M587">
        <f>region_summary__52[[#This Row],[REJECTED BY Pengawas]]+region_summary__52[[#This Row],[REJECTED BY Admin Kabupaten]]</f>
        <v>0</v>
      </c>
    </row>
    <row r="588" spans="1:13" x14ac:dyDescent="0.25">
      <c r="A588" s="5" t="s">
        <v>121</v>
      </c>
      <c r="B588">
        <v>7172031006000600</v>
      </c>
      <c r="C588">
        <v>127</v>
      </c>
      <c r="D588">
        <v>104</v>
      </c>
      <c r="E588">
        <v>6</v>
      </c>
      <c r="F588">
        <v>4</v>
      </c>
      <c r="G588">
        <v>9</v>
      </c>
      <c r="H588">
        <v>0</v>
      </c>
      <c r="I588">
        <v>0</v>
      </c>
      <c r="J588">
        <v>0</v>
      </c>
      <c r="K588">
        <v>4</v>
      </c>
      <c r="L588">
        <v>0</v>
      </c>
      <c r="M588">
        <f>region_summary__52[[#This Row],[REJECTED BY Pengawas]]+region_summary__52[[#This Row],[REJECTED BY Admin Kabupaten]]</f>
        <v>0</v>
      </c>
    </row>
    <row r="589" spans="1:13" x14ac:dyDescent="0.25">
      <c r="A589" s="5" t="s">
        <v>121</v>
      </c>
      <c r="B589">
        <v>7172031007002600</v>
      </c>
      <c r="C589">
        <v>72</v>
      </c>
      <c r="D589">
        <v>0</v>
      </c>
      <c r="E589">
        <v>0</v>
      </c>
      <c r="F589">
        <v>0</v>
      </c>
      <c r="G589">
        <v>72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region_summary__52[[#This Row],[REJECTED BY Pengawas]]+region_summary__52[[#This Row],[REJECTED BY Admin Kabupaten]]</f>
        <v>0</v>
      </c>
    </row>
    <row r="590" spans="1:13" x14ac:dyDescent="0.25">
      <c r="A590" s="5" t="s">
        <v>121</v>
      </c>
      <c r="B590">
        <v>7172031007002900</v>
      </c>
      <c r="C590">
        <v>61</v>
      </c>
      <c r="D590">
        <v>0</v>
      </c>
      <c r="E590">
        <v>0</v>
      </c>
      <c r="F590">
        <v>0</v>
      </c>
      <c r="G590">
        <v>61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region_summary__52[[#This Row],[REJECTED BY Pengawas]]+region_summary__52[[#This Row],[REJECTED BY Admin Kabupaten]]</f>
        <v>0</v>
      </c>
    </row>
    <row r="591" spans="1:13" x14ac:dyDescent="0.25">
      <c r="A591" s="5" t="s">
        <v>125</v>
      </c>
      <c r="B591">
        <v>7172031007000200</v>
      </c>
      <c r="C591">
        <v>160</v>
      </c>
      <c r="D591">
        <v>59</v>
      </c>
      <c r="E591">
        <v>22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23</v>
      </c>
      <c r="L591">
        <v>0</v>
      </c>
      <c r="M591">
        <f>region_summary__52[[#This Row],[REJECTED BY Pengawas]]+region_summary__52[[#This Row],[REJECTED BY Admin Kabupaten]]</f>
        <v>0</v>
      </c>
    </row>
    <row r="592" spans="1:13" x14ac:dyDescent="0.25">
      <c r="A592" s="5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region_summary__52[[#This Row],[REJECTED BY Pengawas]]+region_summary__52[[#This Row],[REJECTED BY Admin Kabupaten]]</f>
        <v>0</v>
      </c>
    </row>
    <row r="593" spans="1:13" x14ac:dyDescent="0.25">
      <c r="A593" s="5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region_summary__52[[#This Row],[REJECTED BY Pengawas]]+region_summary__52[[#This Row],[REJECTED BY Admin Kabupaten]]</f>
        <v>1</v>
      </c>
    </row>
    <row r="594" spans="1:13" x14ac:dyDescent="0.25">
      <c r="A594" s="5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region_summary__52[[#This Row],[REJECTED BY Pengawas]]+region_summary__52[[#This Row],[REJECTED BY Admin Kabupaten]]</f>
        <v>3</v>
      </c>
    </row>
    <row r="595" spans="1:13" x14ac:dyDescent="0.25">
      <c r="A595" s="5" t="s">
        <v>125</v>
      </c>
      <c r="B595">
        <v>7172031007000500</v>
      </c>
      <c r="C595">
        <v>105</v>
      </c>
      <c r="D595">
        <v>90</v>
      </c>
      <c r="E595">
        <v>11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0</v>
      </c>
      <c r="L595">
        <v>0</v>
      </c>
      <c r="M595">
        <f>region_summary__52[[#This Row],[REJECTED BY Pengawas]]+region_summary__52[[#This Row],[REJECTED BY Admin Kabupaten]]</f>
        <v>3</v>
      </c>
    </row>
    <row r="596" spans="1:13" x14ac:dyDescent="0.25">
      <c r="A596" s="5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region_summary__52[[#This Row],[REJECTED BY Pengawas]]+region_summary__52[[#This Row],[REJECTED BY Admin Kabupaten]]</f>
        <v>0</v>
      </c>
    </row>
    <row r="597" spans="1:13" x14ac:dyDescent="0.25">
      <c r="A597" s="5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region_summary__52[[#This Row],[REJECTED BY Pengawas]]+region_summary__52[[#This Row],[REJECTED BY Admin Kabupaten]]</f>
        <v>0</v>
      </c>
    </row>
    <row r="598" spans="1:13" x14ac:dyDescent="0.25">
      <c r="A598" s="5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region_summary__52[[#This Row],[REJECTED BY Pengawas]]+region_summary__52[[#This Row],[REJECTED BY Admin Kabupaten]]</f>
        <v>0</v>
      </c>
    </row>
    <row r="599" spans="1:13" x14ac:dyDescent="0.25">
      <c r="A599" s="5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99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region_summary__52[[#This Row],[REJECTED BY Pengawas]]+region_summary__52[[#This Row],[REJECTED BY Admin Kabupaten]]</f>
        <v>0</v>
      </c>
    </row>
    <row r="600" spans="1:13" x14ac:dyDescent="0.25">
      <c r="A600" s="5" t="s">
        <v>123</v>
      </c>
      <c r="B600">
        <v>7172031008000200</v>
      </c>
      <c r="C600">
        <v>105</v>
      </c>
      <c r="D600">
        <v>80</v>
      </c>
      <c r="E600">
        <v>0</v>
      </c>
      <c r="F600">
        <v>0</v>
      </c>
      <c r="G600">
        <v>24</v>
      </c>
      <c r="H600">
        <v>0</v>
      </c>
      <c r="I600">
        <v>1</v>
      </c>
      <c r="J600">
        <v>0</v>
      </c>
      <c r="K600">
        <v>0</v>
      </c>
      <c r="L600">
        <v>0</v>
      </c>
      <c r="M600">
        <f>region_summary__52[[#This Row],[REJECTED BY Pengawas]]+region_summary__52[[#This Row],[REJECTED BY Admin Kabupaten]]</f>
        <v>1</v>
      </c>
    </row>
    <row r="601" spans="1:13" x14ac:dyDescent="0.25">
      <c r="A601" s="5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region_summary__52[[#This Row],[REJECTED BY Pengawas]]+region_summary__52[[#This Row],[REJECTED BY Admin Kabupaten]]</f>
        <v>0</v>
      </c>
    </row>
    <row r="602" spans="1:13" x14ac:dyDescent="0.25">
      <c r="A602" s="5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region_summary__52[[#This Row],[REJECTED BY Pengawas]]+region_summary__52[[#This Row],[REJECTED BY Admin Kabupaten]]</f>
        <v>1</v>
      </c>
    </row>
    <row r="603" spans="1:13" x14ac:dyDescent="0.25">
      <c r="A603" s="5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region_summary__52[[#This Row],[REJECTED BY Pengawas]]+region_summary__52[[#This Row],[REJECTED BY Admin Kabupaten]]</f>
        <v>0</v>
      </c>
    </row>
    <row r="604" spans="1:13" x14ac:dyDescent="0.25">
      <c r="A604" s="5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region_summary__52[[#This Row],[REJECTED BY Pengawas]]+region_summary__52[[#This Row],[REJECTED BY Admin Kabupaten]]</f>
        <v>1</v>
      </c>
    </row>
    <row r="605" spans="1:13" x14ac:dyDescent="0.25">
      <c r="A605" s="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region_summary__52[[#This Row],[REJECTED BY Pengawas]]+region_summary__52[[#This Row],[REJECTED BY Admin Kabupaten]]</f>
        <v>0</v>
      </c>
    </row>
    <row r="606" spans="1:13" x14ac:dyDescent="0.25">
      <c r="A606" s="5" t="s">
        <v>126</v>
      </c>
      <c r="B606">
        <v>7172031007000900</v>
      </c>
      <c r="C606">
        <v>120</v>
      </c>
      <c r="D606">
        <v>34</v>
      </c>
      <c r="E606">
        <v>20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11</v>
      </c>
      <c r="L606">
        <v>0</v>
      </c>
      <c r="M606">
        <f>region_summary__52[[#This Row],[REJECTED BY Pengawas]]+region_summary__52[[#This Row],[REJECTED BY Admin Kabupaten]]</f>
        <v>0</v>
      </c>
    </row>
    <row r="607" spans="1:13" x14ac:dyDescent="0.25">
      <c r="A607" s="5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region_summary__52[[#This Row],[REJECTED BY Pengawas]]+region_summary__52[[#This Row],[REJECTED BY Admin Kabupaten]]</f>
        <v>0</v>
      </c>
    </row>
    <row r="608" spans="1:13" x14ac:dyDescent="0.25">
      <c r="A608" s="5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region_summary__52[[#This Row],[REJECTED BY Pengawas]]+region_summary__52[[#This Row],[REJECTED BY Admin Kabupaten]]</f>
        <v>0</v>
      </c>
    </row>
    <row r="609" spans="1:13" x14ac:dyDescent="0.25">
      <c r="A609" s="5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region_summary__52[[#This Row],[REJECTED BY Pengawas]]+region_summary__52[[#This Row],[REJECTED BY Admin Kabupaten]]</f>
        <v>0</v>
      </c>
    </row>
    <row r="610" spans="1:13" x14ac:dyDescent="0.25">
      <c r="A610" s="5" t="s">
        <v>128</v>
      </c>
      <c r="B610">
        <v>7172031007001900</v>
      </c>
      <c r="C610">
        <v>160</v>
      </c>
      <c r="D610">
        <v>123</v>
      </c>
      <c r="E610">
        <v>23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8</v>
      </c>
      <c r="L610">
        <v>0</v>
      </c>
      <c r="M610">
        <f>region_summary__52[[#This Row],[REJECTED BY Pengawas]]+region_summary__52[[#This Row],[REJECTED BY Admin Kabupaten]]</f>
        <v>0</v>
      </c>
    </row>
    <row r="611" spans="1:13" x14ac:dyDescent="0.25">
      <c r="A611" s="5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region_summary__52[[#This Row],[REJECTED BY Pengawas]]+region_summary__52[[#This Row],[REJECTED BY Admin Kabupaten]]</f>
        <v>0</v>
      </c>
    </row>
    <row r="612" spans="1:13" x14ac:dyDescent="0.25">
      <c r="A612" s="5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region_summary__52[[#This Row],[REJECTED BY Pengawas]]+region_summary__52[[#This Row],[REJECTED BY Admin Kabupaten]]</f>
        <v>1</v>
      </c>
    </row>
    <row r="613" spans="1:13" x14ac:dyDescent="0.25">
      <c r="A613" s="5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region_summary__52[[#This Row],[REJECTED BY Pengawas]]+region_summary__52[[#This Row],[REJECTED BY Admin Kabupaten]]</f>
        <v>0</v>
      </c>
    </row>
    <row r="614" spans="1:13" x14ac:dyDescent="0.25">
      <c r="A614" s="5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region_summary__52[[#This Row],[REJECTED BY Pengawas]]+region_summary__52[[#This Row],[REJECTED BY Admin Kabupaten]]</f>
        <v>0</v>
      </c>
    </row>
    <row r="615" spans="1:13" x14ac:dyDescent="0.25">
      <c r="A615" s="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region_summary__52[[#This Row],[REJECTED BY Pengawas]]+region_summary__52[[#This Row],[REJECTED BY Admin Kabupaten]]</f>
        <v>0</v>
      </c>
    </row>
    <row r="616" spans="1:13" x14ac:dyDescent="0.25">
      <c r="A616" s="5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region_summary__52[[#This Row],[REJECTED BY Pengawas]]+region_summary__52[[#This Row],[REJECTED BY Admin Kabupaten]]</f>
        <v>2</v>
      </c>
    </row>
    <row r="617" spans="1:13" x14ac:dyDescent="0.25">
      <c r="A617" s="5" t="s">
        <v>131</v>
      </c>
      <c r="B617">
        <v>7172040007000100</v>
      </c>
      <c r="C617">
        <v>81</v>
      </c>
      <c r="D617">
        <v>44</v>
      </c>
      <c r="E617">
        <v>5</v>
      </c>
      <c r="F617">
        <v>2</v>
      </c>
      <c r="G617">
        <v>23</v>
      </c>
      <c r="H617">
        <v>0</v>
      </c>
      <c r="I617">
        <v>0</v>
      </c>
      <c r="J617">
        <v>0</v>
      </c>
      <c r="K617">
        <v>7</v>
      </c>
      <c r="L617">
        <v>0</v>
      </c>
      <c r="M617">
        <f>region_summary__52[[#This Row],[REJECTED BY Pengawas]]+region_summary__52[[#This Row],[REJECTED BY Admin Kabupaten]]</f>
        <v>0</v>
      </c>
    </row>
    <row r="618" spans="1:13" x14ac:dyDescent="0.25">
      <c r="A618" s="5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region_summary__52[[#This Row],[REJECTED BY Pengawas]]+region_summary__52[[#This Row],[REJECTED BY Admin Kabupaten]]</f>
        <v>0</v>
      </c>
    </row>
    <row r="619" spans="1:13" x14ac:dyDescent="0.25">
      <c r="A619" s="5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region_summary__52[[#This Row],[REJECTED BY Pengawas]]+region_summary__52[[#This Row],[REJECTED BY Admin Kabupaten]]</f>
        <v>0</v>
      </c>
    </row>
    <row r="620" spans="1:13" x14ac:dyDescent="0.25">
      <c r="A620" s="5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region_summary__52[[#This Row],[REJECTED BY Pengawas]]+region_summary__52[[#This Row],[REJECTED BY Admin Kabupaten]]</f>
        <v>0</v>
      </c>
    </row>
    <row r="621" spans="1:13" x14ac:dyDescent="0.25">
      <c r="A621" s="5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region_summary__52[[#This Row],[REJECTED BY Pengawas]]+region_summary__52[[#This Row],[REJECTED BY Admin Kabupaten]]</f>
        <v>0</v>
      </c>
    </row>
    <row r="622" spans="1:13" x14ac:dyDescent="0.25">
      <c r="A622" s="5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region_summary__52[[#This Row],[REJECTED BY Pengawas]]+region_summary__52[[#This Row],[REJECTED BY Admin Kabupaten]]</f>
        <v>0</v>
      </c>
    </row>
    <row r="623" spans="1:13" x14ac:dyDescent="0.25">
      <c r="A623" s="5" t="s">
        <v>131</v>
      </c>
      <c r="B623">
        <v>7172040007000400</v>
      </c>
      <c r="C623">
        <v>47</v>
      </c>
      <c r="D623">
        <v>45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1</v>
      </c>
      <c r="L623">
        <v>0</v>
      </c>
      <c r="M623">
        <f>region_summary__52[[#This Row],[REJECTED BY Pengawas]]+region_summary__52[[#This Row],[REJECTED BY Admin Kabupaten]]</f>
        <v>0</v>
      </c>
    </row>
    <row r="624" spans="1:13" x14ac:dyDescent="0.25">
      <c r="A624" s="5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region_summary__52[[#This Row],[REJECTED BY Pengawas]]+region_summary__52[[#This Row],[REJECTED BY Admin Kabupaten]]</f>
        <v>0</v>
      </c>
    </row>
    <row r="625" spans="1:13" x14ac:dyDescent="0.25">
      <c r="A625" s="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region_summary__52[[#This Row],[REJECTED BY Pengawas]]+region_summary__52[[#This Row],[REJECTED BY Admin Kabupaten]]</f>
        <v>0</v>
      </c>
    </row>
    <row r="626" spans="1:13" x14ac:dyDescent="0.25">
      <c r="A626" s="5" t="s">
        <v>134</v>
      </c>
      <c r="B626">
        <v>7172040003001200</v>
      </c>
      <c r="C626">
        <v>219</v>
      </c>
      <c r="D626">
        <v>125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18</v>
      </c>
      <c r="L626">
        <v>0</v>
      </c>
      <c r="M626">
        <f>region_summary__52[[#This Row],[REJECTED BY Pengawas]]+region_summary__52[[#This Row],[REJECTED BY Admin Kabupaten]]</f>
        <v>1</v>
      </c>
    </row>
    <row r="627" spans="1:13" x14ac:dyDescent="0.25">
      <c r="A627" s="5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region_summary__52[[#This Row],[REJECTED BY Pengawas]]+region_summary__52[[#This Row],[REJECTED BY Admin Kabupaten]]</f>
        <v>0</v>
      </c>
    </row>
    <row r="628" spans="1:13" x14ac:dyDescent="0.25">
      <c r="A628" s="5" t="s">
        <v>134</v>
      </c>
      <c r="B628">
        <v>7172040003001100</v>
      </c>
      <c r="C628">
        <v>130</v>
      </c>
      <c r="D628">
        <v>1</v>
      </c>
      <c r="E628">
        <v>0</v>
      </c>
      <c r="F628">
        <v>0</v>
      </c>
      <c r="G628">
        <v>118</v>
      </c>
      <c r="H628">
        <v>0</v>
      </c>
      <c r="I628">
        <v>0</v>
      </c>
      <c r="J628">
        <v>0</v>
      </c>
      <c r="K628">
        <v>11</v>
      </c>
      <c r="L628">
        <v>0</v>
      </c>
      <c r="M628">
        <f>region_summary__52[[#This Row],[REJECTED BY Pengawas]]+region_summary__52[[#This Row],[REJECTED BY Admin Kabupaten]]</f>
        <v>0</v>
      </c>
    </row>
    <row r="629" spans="1:13" x14ac:dyDescent="0.25">
      <c r="A629" s="5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region_summary__52[[#This Row],[REJECTED BY Pengawas]]+region_summary__52[[#This Row],[REJECTED BY Admin Kabupaten]]</f>
        <v>0</v>
      </c>
    </row>
    <row r="630" spans="1:13" x14ac:dyDescent="0.25">
      <c r="A630" s="5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region_summary__52[[#This Row],[REJECTED BY Pengawas]]+region_summary__52[[#This Row],[REJECTED BY Admin Kabupaten]]</f>
        <v>0</v>
      </c>
    </row>
    <row r="631" spans="1:13" x14ac:dyDescent="0.25">
      <c r="A631" s="5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region_summary__52[[#This Row],[REJECTED BY Pengawas]]+region_summary__52[[#This Row],[REJECTED BY Admin Kabupaten]]</f>
        <v>0</v>
      </c>
    </row>
    <row r="632" spans="1:13" x14ac:dyDescent="0.25">
      <c r="A632" s="5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region_summary__52[[#This Row],[REJECTED BY Pengawas]]+region_summary__52[[#This Row],[REJECTED BY Admin Kabupaten]]</f>
        <v>0</v>
      </c>
    </row>
    <row r="633" spans="1:13" x14ac:dyDescent="0.25">
      <c r="A633" s="5" t="s">
        <v>137</v>
      </c>
      <c r="B633">
        <v>7172040005000400</v>
      </c>
      <c r="C633">
        <v>73</v>
      </c>
      <c r="D633">
        <v>40</v>
      </c>
      <c r="E633">
        <v>2</v>
      </c>
      <c r="F633">
        <v>2</v>
      </c>
      <c r="G633">
        <v>23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region_summary__52[[#This Row],[REJECTED BY Pengawas]]+region_summary__52[[#This Row],[REJECTED BY Admin Kabupaten]]</f>
        <v>0</v>
      </c>
    </row>
    <row r="634" spans="1:13" x14ac:dyDescent="0.25">
      <c r="A634" s="5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region_summary__52[[#This Row],[REJECTED BY Pengawas]]+region_summary__52[[#This Row],[REJECTED BY Admin Kabupaten]]</f>
        <v>0</v>
      </c>
    </row>
    <row r="635" spans="1:13" x14ac:dyDescent="0.25">
      <c r="A635" s="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region_summary__52[[#This Row],[REJECTED BY Pengawas]]+region_summary__52[[#This Row],[REJECTED BY Admin Kabupaten]]</f>
        <v>1</v>
      </c>
    </row>
    <row r="636" spans="1:13" x14ac:dyDescent="0.25">
      <c r="A636" s="5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region_summary__52[[#This Row],[REJECTED BY Pengawas]]+region_summary__52[[#This Row],[REJECTED BY Admin Kabupaten]]</f>
        <v>0</v>
      </c>
    </row>
    <row r="637" spans="1:13" x14ac:dyDescent="0.25">
      <c r="A637" s="5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region_summary__52[[#This Row],[REJECTED BY Pengawas]]+region_summary__52[[#This Row],[REJECTED BY Admin Kabupaten]]</f>
        <v>0</v>
      </c>
    </row>
    <row r="638" spans="1:13" x14ac:dyDescent="0.25">
      <c r="A638" s="5" t="s">
        <v>137</v>
      </c>
      <c r="B638">
        <v>7172040005000900</v>
      </c>
      <c r="C638">
        <v>44</v>
      </c>
      <c r="D638">
        <v>2</v>
      </c>
      <c r="E638">
        <v>0</v>
      </c>
      <c r="F638">
        <v>0</v>
      </c>
      <c r="G638">
        <v>42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region_summary__52[[#This Row],[REJECTED BY Pengawas]]+region_summary__52[[#This Row],[REJECTED BY Admin Kabupaten]]</f>
        <v>0</v>
      </c>
    </row>
    <row r="639" spans="1:13" x14ac:dyDescent="0.25">
      <c r="A639" s="5" t="s">
        <v>137</v>
      </c>
      <c r="B639">
        <v>7172040005000300</v>
      </c>
      <c r="C639">
        <v>43</v>
      </c>
      <c r="D639">
        <v>26</v>
      </c>
      <c r="E639">
        <v>6</v>
      </c>
      <c r="F639">
        <v>0</v>
      </c>
      <c r="G639">
        <v>2</v>
      </c>
      <c r="H639">
        <v>0</v>
      </c>
      <c r="I639">
        <v>1</v>
      </c>
      <c r="J639">
        <v>0</v>
      </c>
      <c r="K639">
        <v>8</v>
      </c>
      <c r="L639">
        <v>0</v>
      </c>
      <c r="M639">
        <f>region_summary__52[[#This Row],[REJECTED BY Pengawas]]+region_summary__52[[#This Row],[REJECTED BY Admin Kabupaten]]</f>
        <v>1</v>
      </c>
    </row>
    <row r="640" spans="1:13" x14ac:dyDescent="0.25">
      <c r="A640" s="5" t="s">
        <v>137</v>
      </c>
      <c r="B640">
        <v>7172040005000800</v>
      </c>
      <c r="C640">
        <v>39</v>
      </c>
      <c r="D640">
        <v>3</v>
      </c>
      <c r="E640">
        <v>0</v>
      </c>
      <c r="F640">
        <v>0</v>
      </c>
      <c r="G640">
        <v>36</v>
      </c>
      <c r="H640">
        <v>0</v>
      </c>
      <c r="I640">
        <v>0</v>
      </c>
      <c r="J640">
        <v>0</v>
      </c>
      <c r="K640">
        <v>0</v>
      </c>
      <c r="L640">
        <v>0</v>
      </c>
      <c r="M640">
        <f>region_summary__52[[#This Row],[REJECTED BY Pengawas]]+region_summary__52[[#This Row],[REJECTED BY Admin Kabupaten]]</f>
        <v>0</v>
      </c>
    </row>
    <row r="641" spans="1:13" x14ac:dyDescent="0.25">
      <c r="A641" s="5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region_summary__52[[#This Row],[REJECTED BY Pengawas]]+region_summary__52[[#This Row],[REJECTED BY Admin Kabupaten]]</f>
        <v>0</v>
      </c>
    </row>
    <row r="642" spans="1:13" x14ac:dyDescent="0.25">
      <c r="A642" s="5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region_summary__52[[#This Row],[REJECTED BY Pengawas]]+region_summary__52[[#This Row],[REJECTED BY Admin Kabupaten]]</f>
        <v>0</v>
      </c>
    </row>
    <row r="643" spans="1:13" x14ac:dyDescent="0.25">
      <c r="A643" s="5" t="s">
        <v>138</v>
      </c>
      <c r="B643">
        <v>7172040005001800</v>
      </c>
      <c r="C643">
        <v>125</v>
      </c>
      <c r="D643">
        <v>73</v>
      </c>
      <c r="E643">
        <v>3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region_summary__52[[#This Row],[REJECTED BY Pengawas]]+region_summary__52[[#This Row],[REJECTED BY Admin Kabupaten]]</f>
        <v>0</v>
      </c>
    </row>
    <row r="644" spans="1:13" x14ac:dyDescent="0.25">
      <c r="A644" s="5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region_summary__52[[#This Row],[REJECTED BY Pengawas]]+region_summary__52[[#This Row],[REJECTED BY Admin Kabupaten]]</f>
        <v>1</v>
      </c>
    </row>
    <row r="645" spans="1:13" x14ac:dyDescent="0.25">
      <c r="A645" s="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region_summary__52[[#This Row],[REJECTED BY Pengawas]]+region_summary__52[[#This Row],[REJECTED BY Admin Kabupaten]]</f>
        <v>0</v>
      </c>
    </row>
    <row r="646" spans="1:13" x14ac:dyDescent="0.25">
      <c r="A646" s="5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region_summary__52[[#This Row],[REJECTED BY Pengawas]]+region_summary__52[[#This Row],[REJECTED BY Admin Kabupaten]]</f>
        <v>0</v>
      </c>
    </row>
    <row r="647" spans="1:13" x14ac:dyDescent="0.25">
      <c r="A647" s="5" t="s">
        <v>138</v>
      </c>
      <c r="B647">
        <v>7172040005001500</v>
      </c>
      <c r="C647">
        <v>66</v>
      </c>
      <c r="D647">
        <v>19</v>
      </c>
      <c r="E647">
        <v>1</v>
      </c>
      <c r="F647">
        <v>0</v>
      </c>
      <c r="G647">
        <v>27</v>
      </c>
      <c r="H647">
        <v>0</v>
      </c>
      <c r="I647">
        <v>0</v>
      </c>
      <c r="J647">
        <v>0</v>
      </c>
      <c r="K647">
        <v>19</v>
      </c>
      <c r="L647">
        <v>0</v>
      </c>
      <c r="M647">
        <f>region_summary__52[[#This Row],[REJECTED BY Pengawas]]+region_summary__52[[#This Row],[REJECTED BY Admin Kabupaten]]</f>
        <v>0</v>
      </c>
    </row>
    <row r="648" spans="1:13" x14ac:dyDescent="0.25">
      <c r="A648" s="5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region_summary__52[[#This Row],[REJECTED BY Pengawas]]+region_summary__52[[#This Row],[REJECTED BY Admin Kabupaten]]</f>
        <v>0</v>
      </c>
    </row>
    <row r="649" spans="1:13" x14ac:dyDescent="0.25">
      <c r="A649" s="5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region_summary__52[[#This Row],[REJECTED BY Pengawas]]+region_summary__52[[#This Row],[REJECTED BY Admin Kabupaten]]</f>
        <v>2</v>
      </c>
    </row>
    <row r="650" spans="1:13" x14ac:dyDescent="0.25">
      <c r="A650" s="5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region_summary__52[[#This Row],[REJECTED BY Pengawas]]+region_summary__52[[#This Row],[REJECTED BY Admin Kabupaten]]</f>
        <v>5</v>
      </c>
    </row>
    <row r="651" spans="1:13" x14ac:dyDescent="0.25">
      <c r="A651" s="5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region_summary__52[[#This Row],[REJECTED BY Pengawas]]+region_summary__52[[#This Row],[REJECTED BY Admin Kabupaten]]</f>
        <v>0</v>
      </c>
    </row>
    <row r="652" spans="1:13" x14ac:dyDescent="0.25">
      <c r="A652" s="5" t="s">
        <v>141</v>
      </c>
      <c r="B652">
        <v>7172040012001400</v>
      </c>
      <c r="C652">
        <v>57</v>
      </c>
      <c r="D652">
        <v>16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27</v>
      </c>
      <c r="L652">
        <v>0</v>
      </c>
      <c r="M652">
        <f>region_summary__52[[#This Row],[REJECTED BY Pengawas]]+region_summary__52[[#This Row],[REJECTED BY Admin Kabupaten]]</f>
        <v>0</v>
      </c>
    </row>
    <row r="653" spans="1:13" x14ac:dyDescent="0.25">
      <c r="A653" s="5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region_summary__52[[#This Row],[REJECTED BY Pengawas]]+region_summary__52[[#This Row],[REJECTED BY Admin Kabupaten]]</f>
        <v>0</v>
      </c>
    </row>
    <row r="654" spans="1:13" x14ac:dyDescent="0.25">
      <c r="A654" s="5" t="s">
        <v>141</v>
      </c>
      <c r="B654">
        <v>7172040012000900</v>
      </c>
      <c r="C654">
        <v>51</v>
      </c>
      <c r="D654">
        <v>13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7</v>
      </c>
      <c r="L654">
        <v>0</v>
      </c>
      <c r="M654">
        <f>region_summary__52[[#This Row],[REJECTED BY Pengawas]]+region_summary__52[[#This Row],[REJECTED BY Admin Kabupaten]]</f>
        <v>0</v>
      </c>
    </row>
    <row r="655" spans="1:13" x14ac:dyDescent="0.25">
      <c r="A655" s="5" t="s">
        <v>141</v>
      </c>
      <c r="B655">
        <v>7172040012000800</v>
      </c>
      <c r="C655">
        <v>43</v>
      </c>
      <c r="D655">
        <v>13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12</v>
      </c>
      <c r="L655">
        <v>0</v>
      </c>
      <c r="M655">
        <f>region_summary__52[[#This Row],[REJECTED BY Pengawas]]+region_summary__52[[#This Row],[REJECTED BY Admin Kabupaten]]</f>
        <v>0</v>
      </c>
    </row>
    <row r="656" spans="1:13" x14ac:dyDescent="0.25">
      <c r="A656" s="5" t="s">
        <v>141</v>
      </c>
      <c r="B656">
        <v>7172040012001100</v>
      </c>
      <c r="C656">
        <v>40</v>
      </c>
      <c r="D656">
        <v>8</v>
      </c>
      <c r="E656">
        <v>2</v>
      </c>
      <c r="F656">
        <v>0</v>
      </c>
      <c r="G656">
        <v>30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region_summary__52[[#This Row],[REJECTED BY Pengawas]]+region_summary__52[[#This Row],[REJECTED BY Admin Kabupaten]]</f>
        <v>0</v>
      </c>
    </row>
    <row r="657" spans="1:13" x14ac:dyDescent="0.25">
      <c r="A657" s="5" t="s">
        <v>141</v>
      </c>
      <c r="B657">
        <v>7172040012000700</v>
      </c>
      <c r="C657">
        <v>38</v>
      </c>
      <c r="D657">
        <v>15</v>
      </c>
      <c r="E657">
        <v>0</v>
      </c>
      <c r="F657">
        <v>0</v>
      </c>
      <c r="G657">
        <v>20</v>
      </c>
      <c r="H657">
        <v>0</v>
      </c>
      <c r="I657">
        <v>0</v>
      </c>
      <c r="J657">
        <v>0</v>
      </c>
      <c r="K657">
        <v>3</v>
      </c>
      <c r="L657">
        <v>0</v>
      </c>
      <c r="M657">
        <f>region_summary__52[[#This Row],[REJECTED BY Pengawas]]+region_summary__52[[#This Row],[REJECTED BY Admin Kabupaten]]</f>
        <v>0</v>
      </c>
    </row>
    <row r="658" spans="1:13" x14ac:dyDescent="0.25">
      <c r="A658" s="5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region_summary__52[[#This Row],[REJECTED BY Pengawas]]+region_summary__52[[#This Row],[REJECTED BY Admin Kabupaten]]</f>
        <v>0</v>
      </c>
    </row>
    <row r="659" spans="1:13" x14ac:dyDescent="0.25">
      <c r="A659" s="5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region_summary__52[[#This Row],[REJECTED BY Pengawas]]+region_summary__52[[#This Row],[REJECTED BY Admin Kabupaten]]</f>
        <v>7</v>
      </c>
    </row>
    <row r="660" spans="1:13" x14ac:dyDescent="0.25">
      <c r="A660" s="5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region_summary__52[[#This Row],[REJECTED BY Pengawas]]+region_summary__52[[#This Row],[REJECTED BY Admin Kabupaten]]</f>
        <v>1</v>
      </c>
    </row>
    <row r="661" spans="1:13" x14ac:dyDescent="0.25">
      <c r="A661" s="5" t="s">
        <v>142</v>
      </c>
      <c r="B661">
        <v>7172040013000300</v>
      </c>
      <c r="C661">
        <v>69</v>
      </c>
      <c r="D661">
        <v>21</v>
      </c>
      <c r="E661">
        <v>10</v>
      </c>
      <c r="F661">
        <v>0</v>
      </c>
      <c r="G661">
        <v>27</v>
      </c>
      <c r="H661">
        <v>0</v>
      </c>
      <c r="I661">
        <v>0</v>
      </c>
      <c r="J661">
        <v>0</v>
      </c>
      <c r="K661">
        <v>11</v>
      </c>
      <c r="L661">
        <v>0</v>
      </c>
      <c r="M661">
        <f>region_summary__52[[#This Row],[REJECTED BY Pengawas]]+region_summary__52[[#This Row],[REJECTED BY Admin Kabupaten]]</f>
        <v>0</v>
      </c>
    </row>
    <row r="662" spans="1:13" x14ac:dyDescent="0.25">
      <c r="A662" s="5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region_summary__52[[#This Row],[REJECTED BY Pengawas]]+region_summary__52[[#This Row],[REJECTED BY Admin Kabupaten]]</f>
        <v>0</v>
      </c>
    </row>
    <row r="663" spans="1:13" x14ac:dyDescent="0.25">
      <c r="A663" s="5" t="s">
        <v>142</v>
      </c>
      <c r="B663">
        <v>7172040013000900</v>
      </c>
      <c r="C663">
        <v>60</v>
      </c>
      <c r="D663">
        <v>34</v>
      </c>
      <c r="E663">
        <v>5</v>
      </c>
      <c r="F663">
        <v>0</v>
      </c>
      <c r="G663">
        <v>13</v>
      </c>
      <c r="H663">
        <v>0</v>
      </c>
      <c r="I663">
        <v>0</v>
      </c>
      <c r="J663">
        <v>0</v>
      </c>
      <c r="K663">
        <v>8</v>
      </c>
      <c r="L663">
        <v>0</v>
      </c>
      <c r="M663">
        <f>region_summary__52[[#This Row],[REJECTED BY Pengawas]]+region_summary__52[[#This Row],[REJECTED BY Admin Kabupaten]]</f>
        <v>0</v>
      </c>
    </row>
    <row r="664" spans="1:13" x14ac:dyDescent="0.25">
      <c r="A664" s="5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region_summary__52[[#This Row],[REJECTED BY Pengawas]]+region_summary__52[[#This Row],[REJECTED BY Admin Kabupaten]]</f>
        <v>4</v>
      </c>
    </row>
    <row r="665" spans="1:13" x14ac:dyDescent="0.25">
      <c r="A665" s="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region_summary__52[[#This Row],[REJECTED BY Pengawas]]+region_summary__52[[#This Row],[REJECTED BY Admin Kabupaten]]</f>
        <v>0</v>
      </c>
    </row>
    <row r="666" spans="1:13" x14ac:dyDescent="0.25">
      <c r="A666" s="5" t="s">
        <v>142</v>
      </c>
      <c r="B666">
        <v>7172040013001100</v>
      </c>
      <c r="C666">
        <v>54</v>
      </c>
      <c r="D666">
        <v>7</v>
      </c>
      <c r="E666">
        <v>9</v>
      </c>
      <c r="F666">
        <v>0</v>
      </c>
      <c r="G666">
        <v>13</v>
      </c>
      <c r="H666">
        <v>0</v>
      </c>
      <c r="I666">
        <v>0</v>
      </c>
      <c r="J666">
        <v>0</v>
      </c>
      <c r="K666">
        <v>25</v>
      </c>
      <c r="L666">
        <v>0</v>
      </c>
      <c r="M666">
        <f>region_summary__52[[#This Row],[REJECTED BY Pengawas]]+region_summary__52[[#This Row],[REJECTED BY Admin Kabupaten]]</f>
        <v>0</v>
      </c>
    </row>
    <row r="667" spans="1:13" x14ac:dyDescent="0.25">
      <c r="A667" s="5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region_summary__52[[#This Row],[REJECTED BY Pengawas]]+region_summary__52[[#This Row],[REJECTED BY Admin Kabupaten]]</f>
        <v>0</v>
      </c>
    </row>
    <row r="668" spans="1:13" x14ac:dyDescent="0.25">
      <c r="A668" s="5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region_summary__52[[#This Row],[REJECTED BY Pengawas]]+region_summary__52[[#This Row],[REJECTED BY Admin Kabupaten]]</f>
        <v>0</v>
      </c>
    </row>
    <row r="669" spans="1:13" x14ac:dyDescent="0.25">
      <c r="A669" s="5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region_summary__52[[#This Row],[REJECTED BY Pengawas]]+region_summary__52[[#This Row],[REJECTED BY Admin Kabupaten]]</f>
        <v>0</v>
      </c>
    </row>
    <row r="670" spans="1:13" x14ac:dyDescent="0.25">
      <c r="A670" s="5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region_summary__52[[#This Row],[REJECTED BY Pengawas]]+region_summary__52[[#This Row],[REJECTED BY Admin Kabupaten]]</f>
        <v>0</v>
      </c>
    </row>
    <row r="671" spans="1:13" x14ac:dyDescent="0.25">
      <c r="A671" s="5" t="s">
        <v>6</v>
      </c>
      <c r="B671">
        <v>7172010008000600</v>
      </c>
      <c r="C671">
        <v>144</v>
      </c>
      <c r="D671">
        <v>42</v>
      </c>
      <c r="E671">
        <v>8</v>
      </c>
      <c r="F671">
        <v>0</v>
      </c>
      <c r="G671">
        <v>14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region_summary__52[[#This Row],[REJECTED BY Pengawas]]+region_summary__52[[#This Row],[REJECTED BY Admin Kabupaten]]</f>
        <v>0</v>
      </c>
    </row>
    <row r="672" spans="1:13" x14ac:dyDescent="0.25">
      <c r="A672" s="5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region_summary__52[[#This Row],[REJECTED BY Pengawas]]+region_summary__52[[#This Row],[REJECTED BY Admin Kabupaten]]</f>
        <v>0</v>
      </c>
    </row>
    <row r="673" spans="1:13" x14ac:dyDescent="0.25">
      <c r="A673" s="5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region_summary__52[[#This Row],[REJECTED BY Pengawas]]+region_summary__52[[#This Row],[REJECTED BY Admin Kabupaten]]</f>
        <v>0</v>
      </c>
    </row>
    <row r="674" spans="1:13" x14ac:dyDescent="0.25">
      <c r="A674" s="5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region_summary__52[[#This Row],[REJECTED BY Pengawas]]+region_summary__52[[#This Row],[REJECTED BY Admin Kabupaten]]</f>
        <v>0</v>
      </c>
    </row>
    <row r="675" spans="1:13" x14ac:dyDescent="0.25">
      <c r="A675" s="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region_summary__52[[#This Row],[REJECTED BY Pengawas]]+region_summary__52[[#This Row],[REJECTED BY Admin Kabupaten]]</f>
        <v>0</v>
      </c>
    </row>
    <row r="676" spans="1:13" x14ac:dyDescent="0.25">
      <c r="A676" s="5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region_summary__52[[#This Row],[REJECTED BY Pengawas]]+region_summary__52[[#This Row],[REJECTED BY Admin Kabupaten]]</f>
        <v>0</v>
      </c>
    </row>
    <row r="677" spans="1:13" x14ac:dyDescent="0.25">
      <c r="A677" s="5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region_summary__52[[#This Row],[REJECTED BY Pengawas]]+region_summary__52[[#This Row],[REJECTED BY Admin Kabupaten]]</f>
        <v>0</v>
      </c>
    </row>
    <row r="678" spans="1:13" x14ac:dyDescent="0.25">
      <c r="A678" s="5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region_summary__52[[#This Row],[REJECTED BY Pengawas]]+region_summary__52[[#This Row],[REJECTED BY Admin Kabupaten]]</f>
        <v>0</v>
      </c>
    </row>
    <row r="679" spans="1:13" x14ac:dyDescent="0.25">
      <c r="A679" s="5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region_summary__52[[#This Row],[REJECTED BY Pengawas]]+region_summary__52[[#This Row],[REJECTED BY Admin Kabupaten]]</f>
        <v>0</v>
      </c>
    </row>
    <row r="680" spans="1:13" x14ac:dyDescent="0.25">
      <c r="A680" s="5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region_summary__52[[#This Row],[REJECTED BY Pengawas]]+region_summary__52[[#This Row],[REJECTED BY Admin Kabupaten]]</f>
        <v>0</v>
      </c>
    </row>
    <row r="681" spans="1:13" x14ac:dyDescent="0.25">
      <c r="A681" s="5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region_summary__52[[#This Row],[REJECTED BY Pengawas]]+region_summary__52[[#This Row],[REJECTED BY Admin Kabupaten]]</f>
        <v>0</v>
      </c>
    </row>
    <row r="682" spans="1:13" x14ac:dyDescent="0.25">
      <c r="A682" s="5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region_summary__52[[#This Row],[REJECTED BY Pengawas]]+region_summary__52[[#This Row],[REJECTED BY Admin Kabupaten]]</f>
        <v>0</v>
      </c>
    </row>
    <row r="683" spans="1:13" x14ac:dyDescent="0.25">
      <c r="A683" s="5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region_summary__52[[#This Row],[REJECTED BY Pengawas]]+region_summary__52[[#This Row],[REJECTED BY Admin Kabupaten]]</f>
        <v>0</v>
      </c>
    </row>
    <row r="684" spans="1:13" x14ac:dyDescent="0.25">
      <c r="A684" s="5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region_summary__52[[#This Row],[REJECTED BY Pengawas]]+region_summary__52[[#This Row],[REJECTED BY Admin Kabupaten]]</f>
        <v>0</v>
      </c>
    </row>
    <row r="685" spans="1:13" x14ac:dyDescent="0.25">
      <c r="A685" s="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region_summary__52[[#This Row],[REJECTED BY Pengawas]]+region_summary__52[[#This Row],[REJECTED BY Admin Kabupaten]]</f>
        <v>0</v>
      </c>
    </row>
    <row r="686" spans="1:13" x14ac:dyDescent="0.25">
      <c r="A686" s="5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region_summary__52[[#This Row],[REJECTED BY Pengawas]]+region_summary__52[[#This Row],[REJECTED BY Admin Kabupaten]]</f>
        <v>0</v>
      </c>
    </row>
    <row r="687" spans="1:13" x14ac:dyDescent="0.25">
      <c r="A687" s="5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15</v>
      </c>
      <c r="H687">
        <v>0</v>
      </c>
      <c r="I687">
        <v>0</v>
      </c>
      <c r="J687">
        <v>0</v>
      </c>
      <c r="K687">
        <v>17</v>
      </c>
      <c r="L687">
        <v>0</v>
      </c>
      <c r="M687">
        <f>region_summary__52[[#This Row],[REJECTED BY Pengawas]]+region_summary__52[[#This Row],[REJECTED BY Admin Kabupaten]]</f>
        <v>0</v>
      </c>
    </row>
    <row r="688" spans="1:13" x14ac:dyDescent="0.25">
      <c r="A688" s="5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region_summary__52[[#This Row],[REJECTED BY Pengawas]]+region_summary__52[[#This Row],[REJECTED BY Admin Kabupaten]]</f>
        <v>0</v>
      </c>
    </row>
    <row r="689" spans="1:13" x14ac:dyDescent="0.25">
      <c r="A689" s="5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region_summary__52[[#This Row],[REJECTED BY Pengawas]]+region_summary__52[[#This Row],[REJECTED BY Admin Kabupaten]]</f>
        <v>0</v>
      </c>
    </row>
    <row r="690" spans="1:13" x14ac:dyDescent="0.25">
      <c r="A690" s="5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region_summary__52[[#This Row],[REJECTED BY Pengawas]]+region_summary__52[[#This Row],[REJECTED BY Admin Kabupaten]]</f>
        <v>0</v>
      </c>
    </row>
    <row r="691" spans="1:13" x14ac:dyDescent="0.25">
      <c r="A691" s="5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region_summary__52[[#This Row],[REJECTED BY Pengawas]]+region_summary__52[[#This Row],[REJECTED BY Admin Kabupaten]]</f>
        <v>0</v>
      </c>
    </row>
    <row r="692" spans="1:13" x14ac:dyDescent="0.25">
      <c r="A692" s="5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region_summary__52[[#This Row],[REJECTED BY Pengawas]]+region_summary__52[[#This Row],[REJECTED BY Admin Kabupaten]]</f>
        <v>1</v>
      </c>
    </row>
    <row r="693" spans="1:13" x14ac:dyDescent="0.25">
      <c r="A693" s="5" t="s">
        <v>16</v>
      </c>
      <c r="B693">
        <v>7172010012002200</v>
      </c>
      <c r="C693">
        <v>73</v>
      </c>
      <c r="D693">
        <v>0</v>
      </c>
      <c r="E693">
        <v>0</v>
      </c>
      <c r="F693">
        <v>0</v>
      </c>
      <c r="G693">
        <v>14</v>
      </c>
      <c r="H693">
        <v>0</v>
      </c>
      <c r="I693">
        <v>0</v>
      </c>
      <c r="J693">
        <v>0</v>
      </c>
      <c r="K693">
        <v>59</v>
      </c>
      <c r="L693">
        <v>0</v>
      </c>
      <c r="M693">
        <f>region_summary__52[[#This Row],[REJECTED BY Pengawas]]+region_summary__52[[#This Row],[REJECTED BY Admin Kabupaten]]</f>
        <v>0</v>
      </c>
    </row>
    <row r="694" spans="1:13" x14ac:dyDescent="0.25">
      <c r="A694" s="5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region_summary__52[[#This Row],[REJECTED BY Pengawas]]+region_summary__52[[#This Row],[REJECTED BY Admin Kabupaten]]</f>
        <v>0</v>
      </c>
    </row>
    <row r="695" spans="1:13" x14ac:dyDescent="0.25">
      <c r="A695" s="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region_summary__52[[#This Row],[REJECTED BY Pengawas]]+region_summary__52[[#This Row],[REJECTED BY Admin Kabupaten]]</f>
        <v>0</v>
      </c>
    </row>
    <row r="696" spans="1:13" x14ac:dyDescent="0.25">
      <c r="A696" s="5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region_summary__52[[#This Row],[REJECTED BY Pengawas]]+region_summary__52[[#This Row],[REJECTED BY Admin Kabupaten]]</f>
        <v>0</v>
      </c>
    </row>
    <row r="697" spans="1:13" x14ac:dyDescent="0.25">
      <c r="A697" s="5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region_summary__52[[#This Row],[REJECTED BY Pengawas]]+region_summary__52[[#This Row],[REJECTED BY Admin Kabupaten]]</f>
        <v>0</v>
      </c>
    </row>
    <row r="698" spans="1:13" x14ac:dyDescent="0.25">
      <c r="A698" s="5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region_summary__52[[#This Row],[REJECTED BY Pengawas]]+region_summary__52[[#This Row],[REJECTED BY Admin Kabupaten]]</f>
        <v>0</v>
      </c>
    </row>
    <row r="699" spans="1:13" x14ac:dyDescent="0.25">
      <c r="A699" s="5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region_summary__52[[#This Row],[REJECTED BY Pengawas]]+region_summary__52[[#This Row],[REJECTED BY Admin Kabupaten]]</f>
        <v>0</v>
      </c>
    </row>
    <row r="700" spans="1:13" x14ac:dyDescent="0.25">
      <c r="A700" s="5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region_summary__52[[#This Row],[REJECTED BY Pengawas]]+region_summary__52[[#This Row],[REJECTED BY Admin Kabupaten]]</f>
        <v>0</v>
      </c>
    </row>
    <row r="701" spans="1:13" x14ac:dyDescent="0.25">
      <c r="A701" s="5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region_summary__52[[#This Row],[REJECTED BY Pengawas]]+region_summary__52[[#This Row],[REJECTED BY Admin Kabupaten]]</f>
        <v>0</v>
      </c>
    </row>
    <row r="702" spans="1:13" x14ac:dyDescent="0.25">
      <c r="A702" s="5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58</v>
      </c>
      <c r="H702">
        <v>1</v>
      </c>
      <c r="I702">
        <v>1</v>
      </c>
      <c r="J702">
        <v>0</v>
      </c>
      <c r="K702">
        <v>86</v>
      </c>
      <c r="L702">
        <v>0</v>
      </c>
      <c r="M702">
        <f>region_summary__52[[#This Row],[REJECTED BY Pengawas]]+region_summary__52[[#This Row],[REJECTED BY Admin Kabupaten]]</f>
        <v>2</v>
      </c>
    </row>
    <row r="703" spans="1:13" x14ac:dyDescent="0.25">
      <c r="A703" s="5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region_summary__52[[#This Row],[REJECTED BY Pengawas]]+region_summary__52[[#This Row],[REJECTED BY Admin Kabupaten]]</f>
        <v>4</v>
      </c>
    </row>
    <row r="704" spans="1:13" x14ac:dyDescent="0.25">
      <c r="A704" s="5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region_summary__52[[#This Row],[REJECTED BY Pengawas]]+region_summary__52[[#This Row],[REJECTED BY Admin Kabupaten]]</f>
        <v>0</v>
      </c>
    </row>
    <row r="705" spans="1:13" x14ac:dyDescent="0.25">
      <c r="A705" s="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region_summary__52[[#This Row],[REJECTED BY Pengawas]]+region_summary__52[[#This Row],[REJECTED BY Admin Kabupaten]]</f>
        <v>0</v>
      </c>
    </row>
    <row r="706" spans="1:13" x14ac:dyDescent="0.25">
      <c r="A706" s="5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50</v>
      </c>
      <c r="H706">
        <v>0</v>
      </c>
      <c r="I706">
        <v>0</v>
      </c>
      <c r="J706">
        <v>0</v>
      </c>
      <c r="K706">
        <v>2</v>
      </c>
      <c r="L706">
        <v>0</v>
      </c>
      <c r="M706">
        <f>region_summary__52[[#This Row],[REJECTED BY Pengawas]]+region_summary__52[[#This Row],[REJECTED BY Admin Kabupaten]]</f>
        <v>0</v>
      </c>
    </row>
    <row r="707" spans="1:13" x14ac:dyDescent="0.25">
      <c r="A707" s="5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region_summary__52[[#This Row],[REJECTED BY Pengawas]]+region_summary__52[[#This Row],[REJECTED BY Admin Kabupaten]]</f>
        <v>0</v>
      </c>
    </row>
    <row r="708" spans="1:13" x14ac:dyDescent="0.25">
      <c r="A708" s="5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region_summary__52[[#This Row],[REJECTED BY Pengawas]]+region_summary__52[[#This Row],[REJECTED BY Admin Kabupaten]]</f>
        <v>0</v>
      </c>
    </row>
    <row r="709" spans="1:13" x14ac:dyDescent="0.25">
      <c r="A709" s="5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region_summary__52[[#This Row],[REJECTED BY Pengawas]]+region_summary__52[[#This Row],[REJECTED BY Admin Kabupaten]]</f>
        <v>0</v>
      </c>
    </row>
    <row r="710" spans="1:13" x14ac:dyDescent="0.25">
      <c r="A710" s="5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region_summary__52[[#This Row],[REJECTED BY Pengawas]]+region_summary__52[[#This Row],[REJECTED BY Admin Kabupaten]]</f>
        <v>0</v>
      </c>
    </row>
    <row r="711" spans="1:13" x14ac:dyDescent="0.25">
      <c r="A711" s="5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region_summary__52[[#This Row],[REJECTED BY Pengawas]]+region_summary__52[[#This Row],[REJECTED BY Admin Kabupaten]]</f>
        <v>0</v>
      </c>
    </row>
    <row r="712" spans="1:13" x14ac:dyDescent="0.25">
      <c r="A712" s="5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region_summary__52[[#This Row],[REJECTED BY Pengawas]]+region_summary__52[[#This Row],[REJECTED BY Admin Kabupaten]]</f>
        <v>0</v>
      </c>
    </row>
    <row r="713" spans="1:13" x14ac:dyDescent="0.25">
      <c r="A713" s="5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region_summary__52[[#This Row],[REJECTED BY Pengawas]]+region_summary__52[[#This Row],[REJECTED BY Admin Kabupaten]]</f>
        <v>0</v>
      </c>
    </row>
    <row r="714" spans="1:13" x14ac:dyDescent="0.25">
      <c r="A714" s="5" t="s">
        <v>19</v>
      </c>
      <c r="B714">
        <v>7172010017000200</v>
      </c>
      <c r="C714">
        <v>61</v>
      </c>
      <c r="D714">
        <v>58</v>
      </c>
      <c r="E714">
        <v>0</v>
      </c>
      <c r="F714">
        <v>2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region_summary__52[[#This Row],[REJECTED BY Pengawas]]+region_summary__52[[#This Row],[REJECTED BY Admin Kabupaten]]</f>
        <v>1</v>
      </c>
    </row>
    <row r="715" spans="1:13" x14ac:dyDescent="0.25">
      <c r="A715" s="5" t="s">
        <v>19</v>
      </c>
      <c r="B715">
        <v>7172010017000100</v>
      </c>
      <c r="C715">
        <v>53</v>
      </c>
      <c r="D715">
        <v>53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region_summary__52[[#This Row],[REJECTED BY Pengawas]]+region_summary__52[[#This Row],[REJECTED BY Admin Kabupaten]]</f>
        <v>0</v>
      </c>
    </row>
    <row r="716" spans="1:13" x14ac:dyDescent="0.25">
      <c r="A716" s="5" t="s">
        <v>19</v>
      </c>
      <c r="B716">
        <v>7172010015000700</v>
      </c>
      <c r="C716">
        <v>46</v>
      </c>
      <c r="D716">
        <v>2</v>
      </c>
      <c r="E716">
        <v>0</v>
      </c>
      <c r="F716">
        <v>0</v>
      </c>
      <c r="G716">
        <v>44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region_summary__52[[#This Row],[REJECTED BY Pengawas]]+region_summary__52[[#This Row],[REJECTED BY Admin Kabupaten]]</f>
        <v>0</v>
      </c>
    </row>
    <row r="717" spans="1:13" x14ac:dyDescent="0.25">
      <c r="A717" s="5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region_summary__52[[#This Row],[REJECTED BY Pengawas]]+region_summary__52[[#This Row],[REJECTED BY Admin Kabupaten]]</f>
        <v>0</v>
      </c>
    </row>
    <row r="718" spans="1:13" x14ac:dyDescent="0.25">
      <c r="A718" s="5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region_summary__52[[#This Row],[REJECTED BY Pengawas]]+region_summary__52[[#This Row],[REJECTED BY Admin Kabupaten]]</f>
        <v>0</v>
      </c>
    </row>
    <row r="719" spans="1:13" x14ac:dyDescent="0.25">
      <c r="A719" s="5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97</v>
      </c>
      <c r="H719">
        <v>0</v>
      </c>
      <c r="I719">
        <v>0</v>
      </c>
      <c r="J719">
        <v>0</v>
      </c>
      <c r="K719">
        <v>0</v>
      </c>
      <c r="L719">
        <v>0</v>
      </c>
      <c r="M719">
        <f>region_summary__52[[#This Row],[REJECTED BY Pengawas]]+region_summary__52[[#This Row],[REJECTED BY Admin Kabupaten]]</f>
        <v>0</v>
      </c>
    </row>
    <row r="720" spans="1:13" x14ac:dyDescent="0.25">
      <c r="A720" s="5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region_summary__52[[#This Row],[REJECTED BY Pengawas]]+region_summary__52[[#This Row],[REJECTED BY Admin Kabupaten]]</f>
        <v>0</v>
      </c>
    </row>
    <row r="721" spans="1:13" x14ac:dyDescent="0.25">
      <c r="A721" s="5" t="s">
        <v>20</v>
      </c>
      <c r="B721">
        <v>7172010016002200</v>
      </c>
      <c r="C721">
        <v>62</v>
      </c>
      <c r="D721">
        <v>52</v>
      </c>
      <c r="E721">
        <v>2</v>
      </c>
      <c r="F721">
        <v>4</v>
      </c>
      <c r="G721">
        <v>4</v>
      </c>
      <c r="H721">
        <v>0</v>
      </c>
      <c r="I721">
        <v>0</v>
      </c>
      <c r="J721">
        <v>0</v>
      </c>
      <c r="K721">
        <v>0</v>
      </c>
      <c r="L721">
        <v>0</v>
      </c>
      <c r="M721">
        <f>region_summary__52[[#This Row],[REJECTED BY Pengawas]]+region_summary__52[[#This Row],[REJECTED BY Admin Kabupaten]]</f>
        <v>0</v>
      </c>
    </row>
    <row r="722" spans="1:13" x14ac:dyDescent="0.25">
      <c r="A722" s="5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region_summary__52[[#This Row],[REJECTED BY Pengawas]]+region_summary__52[[#This Row],[REJECTED BY Admin Kabupaten]]</f>
        <v>0</v>
      </c>
    </row>
    <row r="723" spans="1:13" x14ac:dyDescent="0.25">
      <c r="A723" s="5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region_summary__52[[#This Row],[REJECTED BY Pengawas]]+region_summary__52[[#This Row],[REJECTED BY Admin Kabupaten]]</f>
        <v>0</v>
      </c>
    </row>
    <row r="724" spans="1:13" x14ac:dyDescent="0.25">
      <c r="A724" s="5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8</v>
      </c>
      <c r="H724">
        <v>0</v>
      </c>
      <c r="I724">
        <v>0</v>
      </c>
      <c r="J724">
        <v>0</v>
      </c>
      <c r="K724">
        <v>35</v>
      </c>
      <c r="L724">
        <v>0</v>
      </c>
      <c r="M724">
        <f>region_summary__52[[#This Row],[REJECTED BY Pengawas]]+region_summary__52[[#This Row],[REJECTED BY Admin Kabupaten]]</f>
        <v>0</v>
      </c>
    </row>
    <row r="725" spans="1:13" x14ac:dyDescent="0.25">
      <c r="A725" s="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25</v>
      </c>
      <c r="H725">
        <v>0</v>
      </c>
      <c r="I725">
        <v>0</v>
      </c>
      <c r="J725">
        <v>0</v>
      </c>
      <c r="K725">
        <v>24</v>
      </c>
      <c r="L725">
        <v>0</v>
      </c>
      <c r="M725">
        <f>region_summary__52[[#This Row],[REJECTED BY Pengawas]]+region_summary__52[[#This Row],[REJECTED BY Admin Kabupaten]]</f>
        <v>0</v>
      </c>
    </row>
    <row r="726" spans="1:13" x14ac:dyDescent="0.25">
      <c r="A726" s="5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region_summary__52[[#This Row],[REJECTED BY Pengawas]]+region_summary__52[[#This Row],[REJECTED BY Admin Kabupaten]]</f>
        <v>0</v>
      </c>
    </row>
    <row r="727" spans="1:13" x14ac:dyDescent="0.25">
      <c r="A727" s="5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region_summary__52[[#This Row],[REJECTED BY Pengawas]]+region_summary__52[[#This Row],[REJECTED BY Admin Kabupaten]]</f>
        <v>0</v>
      </c>
    </row>
    <row r="728" spans="1:13" x14ac:dyDescent="0.25">
      <c r="A728" s="5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region_summary__52[[#This Row],[REJECTED BY Pengawas]]+region_summary__52[[#This Row],[REJECTED BY Admin Kabupaten]]</f>
        <v>0</v>
      </c>
    </row>
    <row r="729" spans="1:13" x14ac:dyDescent="0.25">
      <c r="A729" s="5" t="s">
        <v>22</v>
      </c>
      <c r="B729">
        <v>7172010015002400</v>
      </c>
      <c r="C729">
        <v>138</v>
      </c>
      <c r="D729">
        <v>88</v>
      </c>
      <c r="E729">
        <v>0</v>
      </c>
      <c r="F729">
        <v>7</v>
      </c>
      <c r="G729">
        <v>29</v>
      </c>
      <c r="H729">
        <v>0</v>
      </c>
      <c r="I729">
        <v>1</v>
      </c>
      <c r="J729">
        <v>0</v>
      </c>
      <c r="K729">
        <v>13</v>
      </c>
      <c r="L729">
        <v>0</v>
      </c>
      <c r="M729">
        <f>region_summary__52[[#This Row],[REJECTED BY Pengawas]]+region_summary__52[[#This Row],[REJECTED BY Admin Kabupaten]]</f>
        <v>1</v>
      </c>
    </row>
    <row r="730" spans="1:13" x14ac:dyDescent="0.25">
      <c r="A730" s="5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region_summary__52[[#This Row],[REJECTED BY Pengawas]]+region_summary__52[[#This Row],[REJECTED BY Admin Kabupaten]]</f>
        <v>0</v>
      </c>
    </row>
    <row r="731" spans="1:13" x14ac:dyDescent="0.25">
      <c r="A731" s="5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region_summary__52[[#This Row],[REJECTED BY Pengawas]]+region_summary__52[[#This Row],[REJECTED BY Admin Kabupaten]]</f>
        <v>0</v>
      </c>
    </row>
    <row r="732" spans="1:13" x14ac:dyDescent="0.25">
      <c r="A732" s="5" t="s">
        <v>22</v>
      </c>
      <c r="B732">
        <v>7172010015002301</v>
      </c>
      <c r="C732">
        <v>106</v>
      </c>
      <c r="D732">
        <v>1</v>
      </c>
      <c r="E732">
        <v>0</v>
      </c>
      <c r="F732">
        <v>0</v>
      </c>
      <c r="G732">
        <v>75</v>
      </c>
      <c r="H732">
        <v>0</v>
      </c>
      <c r="I732">
        <v>1</v>
      </c>
      <c r="J732">
        <v>0</v>
      </c>
      <c r="K732">
        <v>29</v>
      </c>
      <c r="L732">
        <v>0</v>
      </c>
      <c r="M732">
        <f>region_summary__52[[#This Row],[REJECTED BY Pengawas]]+region_summary__52[[#This Row],[REJECTED BY Admin Kabupaten]]</f>
        <v>1</v>
      </c>
    </row>
    <row r="733" spans="1:13" x14ac:dyDescent="0.25">
      <c r="A733" s="5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region_summary__52[[#This Row],[REJECTED BY Pengawas]]+region_summary__52[[#This Row],[REJECTED BY Admin Kabupaten]]</f>
        <v>0</v>
      </c>
    </row>
    <row r="734" spans="1:13" x14ac:dyDescent="0.25">
      <c r="A734" s="5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region_summary__52[[#This Row],[REJECTED BY Pengawas]]+region_summary__52[[#This Row],[REJECTED BY Admin Kabupaten]]</f>
        <v>0</v>
      </c>
    </row>
    <row r="735" spans="1:13" x14ac:dyDescent="0.25">
      <c r="A735" s="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region_summary__52[[#This Row],[REJECTED BY Pengawas]]+region_summary__52[[#This Row],[REJECTED BY Admin Kabupaten]]</f>
        <v>0</v>
      </c>
    </row>
    <row r="736" spans="1:13" x14ac:dyDescent="0.25">
      <c r="A736" s="5" t="s">
        <v>24</v>
      </c>
      <c r="B736">
        <v>7172010016001300</v>
      </c>
      <c r="C736">
        <v>103</v>
      </c>
      <c r="D736">
        <v>97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1</v>
      </c>
      <c r="L736">
        <v>0</v>
      </c>
      <c r="M736">
        <f>region_summary__52[[#This Row],[REJECTED BY Pengawas]]+region_summary__52[[#This Row],[REJECTED BY Admin Kabupaten]]</f>
        <v>0</v>
      </c>
    </row>
    <row r="737" spans="1:13" x14ac:dyDescent="0.25">
      <c r="A737" s="5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region_summary__52[[#This Row],[REJECTED BY Pengawas]]+region_summary__52[[#This Row],[REJECTED BY Admin Kabupaten]]</f>
        <v>0</v>
      </c>
    </row>
    <row r="738" spans="1:13" x14ac:dyDescent="0.25">
      <c r="A738" s="5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region_summary__52[[#This Row],[REJECTED BY Pengawas]]+region_summary__52[[#This Row],[REJECTED BY Admin Kabupaten]]</f>
        <v>0</v>
      </c>
    </row>
    <row r="739" spans="1:13" x14ac:dyDescent="0.25">
      <c r="A739" s="5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region_summary__52[[#This Row],[REJECTED BY Pengawas]]+region_summary__52[[#This Row],[REJECTED BY Admin Kabupaten]]</f>
        <v>0</v>
      </c>
    </row>
    <row r="740" spans="1:13" x14ac:dyDescent="0.25">
      <c r="A740" s="5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region_summary__52[[#This Row],[REJECTED BY Pengawas]]+region_summary__52[[#This Row],[REJECTED BY Admin Kabupaten]]</f>
        <v>0</v>
      </c>
    </row>
    <row r="741" spans="1:13" x14ac:dyDescent="0.25">
      <c r="A741" s="5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region_summary__52[[#This Row],[REJECTED BY Pengawas]]+region_summary__52[[#This Row],[REJECTED BY Admin Kabupaten]]</f>
        <v>0</v>
      </c>
    </row>
    <row r="742" spans="1:13" x14ac:dyDescent="0.25">
      <c r="A742" s="5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region_summary__52[[#This Row],[REJECTED BY Pengawas]]+region_summary__52[[#This Row],[REJECTED BY Admin Kabupaten]]</f>
        <v>0</v>
      </c>
    </row>
    <row r="743" spans="1:13" x14ac:dyDescent="0.25">
      <c r="A743" s="5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region_summary__52[[#This Row],[REJECTED BY Pengawas]]+region_summary__52[[#This Row],[REJECTED BY Admin Kabupaten]]</f>
        <v>0</v>
      </c>
    </row>
    <row r="744" spans="1:13" x14ac:dyDescent="0.25">
      <c r="A744" s="5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region_summary__52[[#This Row],[REJECTED BY Pengawas]]+region_summary__52[[#This Row],[REJECTED BY Admin Kabupaten]]</f>
        <v>0</v>
      </c>
    </row>
    <row r="745" spans="1:13" x14ac:dyDescent="0.25">
      <c r="A745" s="5" t="s">
        <v>24</v>
      </c>
      <c r="B745">
        <v>7172010016000900</v>
      </c>
      <c r="C745">
        <v>45</v>
      </c>
      <c r="D745">
        <v>0</v>
      </c>
      <c r="E745">
        <v>18</v>
      </c>
      <c r="F745">
        <v>0</v>
      </c>
      <c r="G745">
        <v>22</v>
      </c>
      <c r="H745">
        <v>0</v>
      </c>
      <c r="I745">
        <v>0</v>
      </c>
      <c r="J745">
        <v>0</v>
      </c>
      <c r="K745">
        <v>5</v>
      </c>
      <c r="L745">
        <v>0</v>
      </c>
      <c r="M745">
        <f>region_summary__52[[#This Row],[REJECTED BY Pengawas]]+region_summary__52[[#This Row],[REJECTED BY Admin Kabupaten]]</f>
        <v>0</v>
      </c>
    </row>
    <row r="746" spans="1:13" x14ac:dyDescent="0.25">
      <c r="A746" s="5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region_summary__52[[#This Row],[REJECTED BY Pengawas]]+region_summary__52[[#This Row],[REJECTED BY Admin Kabupaten]]</f>
        <v>0</v>
      </c>
    </row>
    <row r="747" spans="1:13" x14ac:dyDescent="0.25">
      <c r="A747" s="5" t="s">
        <v>18</v>
      </c>
      <c r="B747">
        <v>7172010017001300</v>
      </c>
      <c r="C747">
        <v>149</v>
      </c>
      <c r="D747">
        <v>133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10</v>
      </c>
      <c r="L747">
        <v>0</v>
      </c>
      <c r="M747">
        <f>region_summary__52[[#This Row],[REJECTED BY Pengawas]]+region_summary__52[[#This Row],[REJECTED BY Admin Kabupaten]]</f>
        <v>1</v>
      </c>
    </row>
    <row r="748" spans="1:13" x14ac:dyDescent="0.25">
      <c r="A748" s="5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region_summary__52[[#This Row],[REJECTED BY Pengawas]]+region_summary__52[[#This Row],[REJECTED BY Admin Kabupaten]]</f>
        <v>0</v>
      </c>
    </row>
    <row r="749" spans="1:13" x14ac:dyDescent="0.25">
      <c r="A749" s="5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22</v>
      </c>
      <c r="H749">
        <v>0</v>
      </c>
      <c r="I749">
        <v>0</v>
      </c>
      <c r="J749">
        <v>0</v>
      </c>
      <c r="K749">
        <v>38</v>
      </c>
      <c r="L749">
        <v>0</v>
      </c>
      <c r="M749">
        <f>region_summary__52[[#This Row],[REJECTED BY Pengawas]]+region_summary__52[[#This Row],[REJECTED BY Admin Kabupaten]]</f>
        <v>0</v>
      </c>
    </row>
    <row r="750" spans="1:13" x14ac:dyDescent="0.25">
      <c r="A750" s="5" t="s">
        <v>18</v>
      </c>
      <c r="B750">
        <v>7172010017001900</v>
      </c>
      <c r="C750">
        <v>78</v>
      </c>
      <c r="D750">
        <v>62</v>
      </c>
      <c r="E750">
        <v>5</v>
      </c>
      <c r="F750">
        <v>1</v>
      </c>
      <c r="G750">
        <v>6</v>
      </c>
      <c r="H750">
        <v>0</v>
      </c>
      <c r="I750">
        <v>0</v>
      </c>
      <c r="J750">
        <v>0</v>
      </c>
      <c r="K750">
        <v>4</v>
      </c>
      <c r="L750">
        <v>0</v>
      </c>
      <c r="M750">
        <f>region_summary__52[[#This Row],[REJECTED BY Pengawas]]+region_summary__52[[#This Row],[REJECTED BY Admin Kabupaten]]</f>
        <v>0</v>
      </c>
    </row>
    <row r="751" spans="1:13" x14ac:dyDescent="0.25">
      <c r="A751" s="5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region_summary__52[[#This Row],[REJECTED BY Pengawas]]+region_summary__52[[#This Row],[REJECTED BY Admin Kabupaten]]</f>
        <v>0</v>
      </c>
    </row>
    <row r="752" spans="1:13" x14ac:dyDescent="0.25">
      <c r="A752" s="5" t="s">
        <v>18</v>
      </c>
      <c r="B752">
        <v>7172010017002000</v>
      </c>
      <c r="C752">
        <v>64</v>
      </c>
      <c r="D752">
        <v>0</v>
      </c>
      <c r="E752">
        <v>12</v>
      </c>
      <c r="F752">
        <v>0</v>
      </c>
      <c r="G752">
        <v>38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region_summary__52[[#This Row],[REJECTED BY Pengawas]]+region_summary__52[[#This Row],[REJECTED BY Admin Kabupaten]]</f>
        <v>0</v>
      </c>
    </row>
    <row r="753" spans="1:13" x14ac:dyDescent="0.25">
      <c r="A753" s="5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region_summary__52[[#This Row],[REJECTED BY Pengawas]]+region_summary__52[[#This Row],[REJECTED BY Admin Kabupaten]]</f>
        <v>0</v>
      </c>
    </row>
    <row r="754" spans="1:13" x14ac:dyDescent="0.25">
      <c r="A754" s="5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region_summary__52[[#This Row],[REJECTED BY Pengawas]]+region_summary__52[[#This Row],[REJECTED BY Admin Kabupaten]]</f>
        <v>0</v>
      </c>
    </row>
    <row r="755" spans="1:13" x14ac:dyDescent="0.25">
      <c r="A755" s="5" t="s">
        <v>18</v>
      </c>
      <c r="B755">
        <v>7172010017001700</v>
      </c>
      <c r="C755">
        <v>34</v>
      </c>
      <c r="D755">
        <v>0</v>
      </c>
      <c r="E755">
        <v>9</v>
      </c>
      <c r="F755">
        <v>0</v>
      </c>
      <c r="G755">
        <v>24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region_summary__52[[#This Row],[REJECTED BY Pengawas]]+region_summary__52[[#This Row],[REJECTED BY Admin Kabupaten]]</f>
        <v>0</v>
      </c>
    </row>
    <row r="756" spans="1:13" x14ac:dyDescent="0.25">
      <c r="A756" s="5" t="s">
        <v>26</v>
      </c>
      <c r="B756">
        <v>7172011001000100</v>
      </c>
      <c r="C756">
        <v>154</v>
      </c>
      <c r="D756">
        <v>116</v>
      </c>
      <c r="E756">
        <v>21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region_summary__52[[#This Row],[REJECTED BY Pengawas]]+region_summary__52[[#This Row],[REJECTED BY Admin Kabupaten]]</f>
        <v>0</v>
      </c>
    </row>
    <row r="757" spans="1:13" x14ac:dyDescent="0.25">
      <c r="A757" s="5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region_summary__52[[#This Row],[REJECTED BY Pengawas]]+region_summary__52[[#This Row],[REJECTED BY Admin Kabupaten]]</f>
        <v>0</v>
      </c>
    </row>
    <row r="758" spans="1:13" x14ac:dyDescent="0.25">
      <c r="A758" s="5" t="s">
        <v>26</v>
      </c>
      <c r="B758">
        <v>7172011001000600</v>
      </c>
      <c r="C758">
        <v>96</v>
      </c>
      <c r="D758">
        <v>55</v>
      </c>
      <c r="E758">
        <v>22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0</v>
      </c>
      <c r="L758">
        <v>0</v>
      </c>
      <c r="M758">
        <f>region_summary__52[[#This Row],[REJECTED BY Pengawas]]+region_summary__52[[#This Row],[REJECTED BY Admin Kabupaten]]</f>
        <v>0</v>
      </c>
    </row>
    <row r="759" spans="1:13" x14ac:dyDescent="0.25">
      <c r="A759" s="5" t="s">
        <v>26</v>
      </c>
      <c r="B759">
        <v>7172011001000200</v>
      </c>
      <c r="C759">
        <v>85</v>
      </c>
      <c r="D759">
        <v>36</v>
      </c>
      <c r="E759">
        <v>26</v>
      </c>
      <c r="F759">
        <v>1</v>
      </c>
      <c r="G759">
        <v>18</v>
      </c>
      <c r="H759">
        <v>0</v>
      </c>
      <c r="I759">
        <v>4</v>
      </c>
      <c r="J759">
        <v>0</v>
      </c>
      <c r="K759">
        <v>0</v>
      </c>
      <c r="L759">
        <v>0</v>
      </c>
      <c r="M759">
        <f>region_summary__52[[#This Row],[REJECTED BY Pengawas]]+region_summary__52[[#This Row],[REJECTED BY Admin Kabupaten]]</f>
        <v>4</v>
      </c>
    </row>
    <row r="760" spans="1:13" x14ac:dyDescent="0.25">
      <c r="A760" s="5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region_summary__52[[#This Row],[REJECTED BY Pengawas]]+region_summary__52[[#This Row],[REJECTED BY Admin Kabupaten]]</f>
        <v>0</v>
      </c>
    </row>
    <row r="761" spans="1:13" x14ac:dyDescent="0.25">
      <c r="A761" s="5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region_summary__52[[#This Row],[REJECTED BY Pengawas]]+region_summary__52[[#This Row],[REJECTED BY Admin Kabupaten]]</f>
        <v>4</v>
      </c>
    </row>
    <row r="762" spans="1:13" x14ac:dyDescent="0.25">
      <c r="A762" s="5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region_summary__52[[#This Row],[REJECTED BY Pengawas]]+region_summary__52[[#This Row],[REJECTED BY Admin Kabupaten]]</f>
        <v>0</v>
      </c>
    </row>
    <row r="763" spans="1:13" x14ac:dyDescent="0.25">
      <c r="A763" s="5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region_summary__52[[#This Row],[REJECTED BY Pengawas]]+region_summary__52[[#This Row],[REJECTED BY Admin Kabupaten]]</f>
        <v>1</v>
      </c>
    </row>
    <row r="764" spans="1:13" x14ac:dyDescent="0.25">
      <c r="A764" s="5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region_summary__52[[#This Row],[REJECTED BY Pengawas]]+region_summary__52[[#This Row],[REJECTED BY Admin Kabupaten]]</f>
        <v>1</v>
      </c>
    </row>
    <row r="765" spans="1:13" x14ac:dyDescent="0.25">
      <c r="A765" s="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region_summary__52[[#This Row],[REJECTED BY Pengawas]]+region_summary__52[[#This Row],[REJECTED BY Admin Kabupaten]]</f>
        <v>0</v>
      </c>
    </row>
    <row r="766" spans="1:13" x14ac:dyDescent="0.25">
      <c r="A766" s="5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region_summary__52[[#This Row],[REJECTED BY Pengawas]]+region_summary__52[[#This Row],[REJECTED BY Admin Kabupaten]]</f>
        <v>0</v>
      </c>
    </row>
    <row r="767" spans="1:13" x14ac:dyDescent="0.25">
      <c r="A767" s="5" t="s">
        <v>28</v>
      </c>
      <c r="B767">
        <v>7172011002000200</v>
      </c>
      <c r="C767">
        <v>89</v>
      </c>
      <c r="D767">
        <v>22</v>
      </c>
      <c r="E767">
        <v>3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5</v>
      </c>
      <c r="L767">
        <v>0</v>
      </c>
      <c r="M767">
        <f>region_summary__52[[#This Row],[REJECTED BY Pengawas]]+region_summary__52[[#This Row],[REJECTED BY Admin Kabupaten]]</f>
        <v>0</v>
      </c>
    </row>
    <row r="768" spans="1:13" x14ac:dyDescent="0.25">
      <c r="A768" s="5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region_summary__52[[#This Row],[REJECTED BY Pengawas]]+region_summary__52[[#This Row],[REJECTED BY Admin Kabupaten]]</f>
        <v>0</v>
      </c>
    </row>
    <row r="769" spans="1:13" x14ac:dyDescent="0.25">
      <c r="A769" s="5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region_summary__52[[#This Row],[REJECTED BY Pengawas]]+region_summary__52[[#This Row],[REJECTED BY Admin Kabupaten]]</f>
        <v>0</v>
      </c>
    </row>
    <row r="770" spans="1:13" x14ac:dyDescent="0.25">
      <c r="A770" s="5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region_summary__52[[#This Row],[REJECTED BY Pengawas]]+region_summary__52[[#This Row],[REJECTED BY Admin Kabupaten]]</f>
        <v>3</v>
      </c>
    </row>
    <row r="771" spans="1:13" x14ac:dyDescent="0.25">
      <c r="A771" s="5" t="s">
        <v>35</v>
      </c>
      <c r="B771">
        <v>7172011003001801</v>
      </c>
      <c r="C771">
        <v>254</v>
      </c>
      <c r="D771">
        <v>38</v>
      </c>
      <c r="E771">
        <v>10</v>
      </c>
      <c r="F771">
        <v>0</v>
      </c>
      <c r="G771">
        <v>186</v>
      </c>
      <c r="H771">
        <v>0</v>
      </c>
      <c r="I771">
        <v>0</v>
      </c>
      <c r="J771">
        <v>0</v>
      </c>
      <c r="K771">
        <v>20</v>
      </c>
      <c r="L771">
        <v>0</v>
      </c>
      <c r="M771">
        <f>region_summary__52[[#This Row],[REJECTED BY Pengawas]]+region_summary__52[[#This Row],[REJECTED BY Admin Kabupaten]]</f>
        <v>0</v>
      </c>
    </row>
    <row r="772" spans="1:13" x14ac:dyDescent="0.25">
      <c r="A772" s="5" t="s">
        <v>35</v>
      </c>
      <c r="B772">
        <v>7172011003001900</v>
      </c>
      <c r="C772">
        <v>132</v>
      </c>
      <c r="D772">
        <v>93</v>
      </c>
      <c r="E772">
        <v>6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11</v>
      </c>
      <c r="L772">
        <v>0</v>
      </c>
      <c r="M772">
        <f>region_summary__52[[#This Row],[REJECTED BY Pengawas]]+region_summary__52[[#This Row],[REJECTED BY Admin Kabupaten]]</f>
        <v>21</v>
      </c>
    </row>
    <row r="773" spans="1:13" x14ac:dyDescent="0.25">
      <c r="A773" s="5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region_summary__52[[#This Row],[REJECTED BY Pengawas]]+region_summary__52[[#This Row],[REJECTED BY Admin Kabupaten]]</f>
        <v>0</v>
      </c>
    </row>
    <row r="774" spans="1:13" x14ac:dyDescent="0.25">
      <c r="A774" s="5" t="s">
        <v>35</v>
      </c>
      <c r="B774">
        <v>7172011003001802</v>
      </c>
      <c r="C774">
        <v>70</v>
      </c>
      <c r="D774">
        <v>21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7</v>
      </c>
      <c r="L774">
        <v>0</v>
      </c>
      <c r="M774">
        <f>region_summary__52[[#This Row],[REJECTED BY Pengawas]]+region_summary__52[[#This Row],[REJECTED BY Admin Kabupaten]]</f>
        <v>0</v>
      </c>
    </row>
    <row r="775" spans="1:13" x14ac:dyDescent="0.25">
      <c r="A775" s="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region_summary__52[[#This Row],[REJECTED BY Pengawas]]+region_summary__52[[#This Row],[REJECTED BY Admin Kabupaten]]</f>
        <v>0</v>
      </c>
    </row>
    <row r="776" spans="1:13" x14ac:dyDescent="0.25">
      <c r="A776" s="5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region_summary__52[[#This Row],[REJECTED BY Pengawas]]+region_summary__52[[#This Row],[REJECTED BY Admin Kabupaten]]</f>
        <v>0</v>
      </c>
    </row>
    <row r="777" spans="1:13" x14ac:dyDescent="0.25">
      <c r="A777" s="5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region_summary__52[[#This Row],[REJECTED BY Pengawas]]+region_summary__52[[#This Row],[REJECTED BY Admin Kabupaten]]</f>
        <v>2</v>
      </c>
    </row>
    <row r="778" spans="1:13" x14ac:dyDescent="0.25">
      <c r="A778" s="5" t="s">
        <v>37</v>
      </c>
      <c r="B778">
        <v>7172011003002500</v>
      </c>
      <c r="C778">
        <v>189</v>
      </c>
      <c r="D778">
        <v>78</v>
      </c>
      <c r="E778">
        <v>1</v>
      </c>
      <c r="F778">
        <v>2</v>
      </c>
      <c r="G778">
        <v>70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region_summary__52[[#This Row],[REJECTED BY Pengawas]]+region_summary__52[[#This Row],[REJECTED BY Admin Kabupaten]]</f>
        <v>0</v>
      </c>
    </row>
    <row r="779" spans="1:13" x14ac:dyDescent="0.25">
      <c r="A779" s="5" t="s">
        <v>37</v>
      </c>
      <c r="B779">
        <v>7172011003002601</v>
      </c>
      <c r="C779">
        <v>185</v>
      </c>
      <c r="D779">
        <v>32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69</v>
      </c>
      <c r="L779">
        <v>0</v>
      </c>
      <c r="M779">
        <f>region_summary__52[[#This Row],[REJECTED BY Pengawas]]+region_summary__52[[#This Row],[REJECTED BY Admin Kabupaten]]</f>
        <v>1</v>
      </c>
    </row>
    <row r="780" spans="1:13" x14ac:dyDescent="0.25">
      <c r="A780" s="5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region_summary__52[[#This Row],[REJECTED BY Pengawas]]+region_summary__52[[#This Row],[REJECTED BY Admin Kabupaten]]</f>
        <v>0</v>
      </c>
    </row>
    <row r="781" spans="1:13" x14ac:dyDescent="0.25">
      <c r="A781" s="5" t="s">
        <v>37</v>
      </c>
      <c r="B781">
        <v>7172011003002603</v>
      </c>
      <c r="C781">
        <v>39</v>
      </c>
      <c r="D781">
        <v>0</v>
      </c>
      <c r="E781">
        <v>0</v>
      </c>
      <c r="F781">
        <v>0</v>
      </c>
      <c r="G781">
        <v>37</v>
      </c>
      <c r="H781">
        <v>0</v>
      </c>
      <c r="I781">
        <v>0</v>
      </c>
      <c r="J781">
        <v>0</v>
      </c>
      <c r="K781">
        <v>2</v>
      </c>
      <c r="L781">
        <v>0</v>
      </c>
      <c r="M781">
        <f>region_summary__52[[#This Row],[REJECTED BY Pengawas]]+region_summary__52[[#This Row],[REJECTED BY Admin Kabupaten]]</f>
        <v>0</v>
      </c>
    </row>
    <row r="782" spans="1:13" x14ac:dyDescent="0.25">
      <c r="A782" s="5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region_summary__52[[#This Row],[REJECTED BY Pengawas]]+region_summary__52[[#This Row],[REJECTED BY Admin Kabupaten]]</f>
        <v>0</v>
      </c>
    </row>
    <row r="783" spans="1:13" x14ac:dyDescent="0.25">
      <c r="A783" s="5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region_summary__52[[#This Row],[REJECTED BY Pengawas]]+region_summary__52[[#This Row],[REJECTED BY Admin Kabupaten]]</f>
        <v>0</v>
      </c>
    </row>
    <row r="784" spans="1:13" x14ac:dyDescent="0.25">
      <c r="A784" s="5" t="s">
        <v>38</v>
      </c>
      <c r="B784">
        <v>7172011003002700</v>
      </c>
      <c r="C784">
        <v>108</v>
      </c>
      <c r="D784">
        <v>0</v>
      </c>
      <c r="E784">
        <v>5</v>
      </c>
      <c r="F784">
        <v>0</v>
      </c>
      <c r="G784">
        <v>76</v>
      </c>
      <c r="H784">
        <v>0</v>
      </c>
      <c r="I784">
        <v>0</v>
      </c>
      <c r="J784">
        <v>0</v>
      </c>
      <c r="K784">
        <v>27</v>
      </c>
      <c r="L784">
        <v>0</v>
      </c>
      <c r="M784">
        <f>region_summary__52[[#This Row],[REJECTED BY Pengawas]]+region_summary__52[[#This Row],[REJECTED BY Admin Kabupaten]]</f>
        <v>0</v>
      </c>
    </row>
    <row r="785" spans="1:13" x14ac:dyDescent="0.25">
      <c r="A785" s="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region_summary__52[[#This Row],[REJECTED BY Pengawas]]+region_summary__52[[#This Row],[REJECTED BY Admin Kabupaten]]</f>
        <v>0</v>
      </c>
    </row>
    <row r="786" spans="1:13" x14ac:dyDescent="0.25">
      <c r="A786" s="5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region_summary__52[[#This Row],[REJECTED BY Pengawas]]+region_summary__52[[#This Row],[REJECTED BY Admin Kabupaten]]</f>
        <v>0</v>
      </c>
    </row>
    <row r="787" spans="1:13" x14ac:dyDescent="0.25">
      <c r="A787" s="5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region_summary__52[[#This Row],[REJECTED BY Pengawas]]+region_summary__52[[#This Row],[REJECTED BY Admin Kabupaten]]</f>
        <v>0</v>
      </c>
    </row>
    <row r="788" spans="1:13" x14ac:dyDescent="0.25">
      <c r="A788" s="5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region_summary__52[[#This Row],[REJECTED BY Pengawas]]+region_summary__52[[#This Row],[REJECTED BY Admin Kabupaten]]</f>
        <v>0</v>
      </c>
    </row>
    <row r="789" spans="1:13" x14ac:dyDescent="0.25">
      <c r="A789" s="5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region_summary__52[[#This Row],[REJECTED BY Pengawas]]+region_summary__52[[#This Row],[REJECTED BY Admin Kabupaten]]</f>
        <v>0</v>
      </c>
    </row>
    <row r="790" spans="1:13" x14ac:dyDescent="0.25">
      <c r="A790" s="5" t="s">
        <v>31</v>
      </c>
      <c r="B790">
        <v>7172011003000201</v>
      </c>
      <c r="C790">
        <v>128</v>
      </c>
      <c r="D790">
        <v>38</v>
      </c>
      <c r="E790">
        <v>0</v>
      </c>
      <c r="F790">
        <v>0</v>
      </c>
      <c r="G790">
        <v>70</v>
      </c>
      <c r="H790">
        <v>0</v>
      </c>
      <c r="I790">
        <v>3</v>
      </c>
      <c r="J790">
        <v>0</v>
      </c>
      <c r="K790">
        <v>17</v>
      </c>
      <c r="L790">
        <v>0</v>
      </c>
      <c r="M790">
        <f>region_summary__52[[#This Row],[REJECTED BY Pengawas]]+region_summary__52[[#This Row],[REJECTED BY Admin Kabupaten]]</f>
        <v>3</v>
      </c>
    </row>
    <row r="791" spans="1:13" x14ac:dyDescent="0.25">
      <c r="A791" s="5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region_summary__52[[#This Row],[REJECTED BY Pengawas]]+region_summary__52[[#This Row],[REJECTED BY Admin Kabupaten]]</f>
        <v>0</v>
      </c>
    </row>
    <row r="792" spans="1:13" x14ac:dyDescent="0.25">
      <c r="A792" s="5" t="s">
        <v>39</v>
      </c>
      <c r="B792">
        <v>7172011004000100</v>
      </c>
      <c r="C792">
        <v>176</v>
      </c>
      <c r="D792">
        <v>93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34</v>
      </c>
      <c r="L792">
        <v>0</v>
      </c>
      <c r="M792">
        <f>region_summary__52[[#This Row],[REJECTED BY Pengawas]]+region_summary__52[[#This Row],[REJECTED BY Admin Kabupaten]]</f>
        <v>0</v>
      </c>
    </row>
    <row r="793" spans="1:13" x14ac:dyDescent="0.25">
      <c r="A793" s="5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region_summary__52[[#This Row],[REJECTED BY Pengawas]]+region_summary__52[[#This Row],[REJECTED BY Admin Kabupaten]]</f>
        <v>0</v>
      </c>
    </row>
    <row r="794" spans="1:13" x14ac:dyDescent="0.25">
      <c r="A794" s="5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region_summary__52[[#This Row],[REJECTED BY Pengawas]]+region_summary__52[[#This Row],[REJECTED BY Admin Kabupaten]]</f>
        <v>0</v>
      </c>
    </row>
    <row r="795" spans="1:13" x14ac:dyDescent="0.25">
      <c r="A795" s="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region_summary__52[[#This Row],[REJECTED BY Pengawas]]+region_summary__52[[#This Row],[REJECTED BY Admin Kabupaten]]</f>
        <v>0</v>
      </c>
    </row>
    <row r="796" spans="1:13" x14ac:dyDescent="0.25">
      <c r="A796" s="5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region_summary__52[[#This Row],[REJECTED BY Pengawas]]+region_summary__52[[#This Row],[REJECTED BY Admin Kabupaten]]</f>
        <v>0</v>
      </c>
    </row>
    <row r="797" spans="1:13" x14ac:dyDescent="0.25">
      <c r="A797" s="5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region_summary__52[[#This Row],[REJECTED BY Pengawas]]+region_summary__52[[#This Row],[REJECTED BY Admin Kabupaten]]</f>
        <v>1</v>
      </c>
    </row>
    <row r="798" spans="1:13" x14ac:dyDescent="0.25">
      <c r="A798" s="5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region_summary__52[[#This Row],[REJECTED BY Pengawas]]+region_summary__52[[#This Row],[REJECTED BY Admin Kabupaten]]</f>
        <v>0</v>
      </c>
    </row>
    <row r="799" spans="1:13" x14ac:dyDescent="0.25">
      <c r="A799" s="5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region_summary__52[[#This Row],[REJECTED BY Pengawas]]+region_summary__52[[#This Row],[REJECTED BY Admin Kabupaten]]</f>
        <v>0</v>
      </c>
    </row>
    <row r="800" spans="1:13" x14ac:dyDescent="0.25">
      <c r="A800" s="5" t="s">
        <v>41</v>
      </c>
      <c r="B800">
        <v>7172011004001300</v>
      </c>
      <c r="C800">
        <v>116</v>
      </c>
      <c r="D800">
        <v>9</v>
      </c>
      <c r="E800">
        <v>22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34</v>
      </c>
      <c r="L800">
        <v>0</v>
      </c>
      <c r="M800">
        <f>region_summary__52[[#This Row],[REJECTED BY Pengawas]]+region_summary__52[[#This Row],[REJECTED BY Admin Kabupaten]]</f>
        <v>0</v>
      </c>
    </row>
    <row r="801" spans="1:13" x14ac:dyDescent="0.25">
      <c r="A801" s="5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region_summary__52[[#This Row],[REJECTED BY Pengawas]]+region_summary__52[[#This Row],[REJECTED BY Admin Kabupaten]]</f>
        <v>0</v>
      </c>
    </row>
    <row r="802" spans="1:13" x14ac:dyDescent="0.25">
      <c r="A802" s="5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region_summary__52[[#This Row],[REJECTED BY Pengawas]]+region_summary__52[[#This Row],[REJECTED BY Admin Kabupaten]]</f>
        <v>0</v>
      </c>
    </row>
    <row r="803" spans="1:13" x14ac:dyDescent="0.25">
      <c r="A803" s="5" t="s">
        <v>41</v>
      </c>
      <c r="B803">
        <v>7172011004001700</v>
      </c>
      <c r="C803">
        <v>82</v>
      </c>
      <c r="D803">
        <v>48</v>
      </c>
      <c r="E803">
        <v>5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5</v>
      </c>
      <c r="L803">
        <v>0</v>
      </c>
      <c r="M803">
        <f>region_summary__52[[#This Row],[REJECTED BY Pengawas]]+region_summary__52[[#This Row],[REJECTED BY Admin Kabupaten]]</f>
        <v>0</v>
      </c>
    </row>
    <row r="804" spans="1:13" x14ac:dyDescent="0.25">
      <c r="A804" s="5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region_summary__52[[#This Row],[REJECTED BY Pengawas]]+region_summary__52[[#This Row],[REJECTED BY Admin Kabupaten]]</f>
        <v>0</v>
      </c>
    </row>
    <row r="805" spans="1:13" x14ac:dyDescent="0.25">
      <c r="A805" s="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159</v>
      </c>
      <c r="H805">
        <v>0</v>
      </c>
      <c r="I805">
        <v>0</v>
      </c>
      <c r="J805">
        <v>0</v>
      </c>
      <c r="K805">
        <v>0</v>
      </c>
      <c r="L805">
        <v>0</v>
      </c>
      <c r="M805">
        <f>region_summary__52[[#This Row],[REJECTED BY Pengawas]]+region_summary__52[[#This Row],[REJECTED BY Admin Kabupaten]]</f>
        <v>0</v>
      </c>
    </row>
    <row r="806" spans="1:13" x14ac:dyDescent="0.25">
      <c r="A806" s="5" t="s">
        <v>42</v>
      </c>
      <c r="B806">
        <v>7172011014001600</v>
      </c>
      <c r="C806">
        <v>127</v>
      </c>
      <c r="D806">
        <v>89</v>
      </c>
      <c r="E806">
        <v>30</v>
      </c>
      <c r="F806">
        <v>3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region_summary__52[[#This Row],[REJECTED BY Pengawas]]+region_summary__52[[#This Row],[REJECTED BY Admin Kabupaten]]</f>
        <v>0</v>
      </c>
    </row>
    <row r="807" spans="1:13" x14ac:dyDescent="0.25">
      <c r="A807" s="5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region_summary__52[[#This Row],[REJECTED BY Pengawas]]+region_summary__52[[#This Row],[REJECTED BY Admin Kabupaten]]</f>
        <v>0</v>
      </c>
    </row>
    <row r="808" spans="1:13" x14ac:dyDescent="0.25">
      <c r="A808" s="5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region_summary__52[[#This Row],[REJECTED BY Pengawas]]+region_summary__52[[#This Row],[REJECTED BY Admin Kabupaten]]</f>
        <v>0</v>
      </c>
    </row>
    <row r="809" spans="1:13" x14ac:dyDescent="0.25">
      <c r="A809" s="5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46</v>
      </c>
      <c r="H809">
        <v>0</v>
      </c>
      <c r="I809">
        <v>0</v>
      </c>
      <c r="J809">
        <v>0</v>
      </c>
      <c r="K809">
        <v>12</v>
      </c>
      <c r="L809">
        <v>0</v>
      </c>
      <c r="M809">
        <f>region_summary__52[[#This Row],[REJECTED BY Pengawas]]+region_summary__52[[#This Row],[REJECTED BY Admin Kabupaten]]</f>
        <v>0</v>
      </c>
    </row>
    <row r="810" spans="1:13" x14ac:dyDescent="0.25">
      <c r="A810" s="5" t="s">
        <v>42</v>
      </c>
      <c r="B810">
        <v>7172011014001500</v>
      </c>
      <c r="C810">
        <v>78</v>
      </c>
      <c r="D810">
        <v>13</v>
      </c>
      <c r="E810">
        <v>17</v>
      </c>
      <c r="F810">
        <v>0</v>
      </c>
      <c r="G810">
        <v>17</v>
      </c>
      <c r="H810">
        <v>0</v>
      </c>
      <c r="I810">
        <v>22</v>
      </c>
      <c r="J810">
        <v>1</v>
      </c>
      <c r="K810">
        <v>8</v>
      </c>
      <c r="L810">
        <v>0</v>
      </c>
      <c r="M810">
        <f>region_summary__52[[#This Row],[REJECTED BY Pengawas]]+region_summary__52[[#This Row],[REJECTED BY Admin Kabupaten]]</f>
        <v>22</v>
      </c>
    </row>
    <row r="811" spans="1:13" x14ac:dyDescent="0.25">
      <c r="A811" s="5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region_summary__52[[#This Row],[REJECTED BY Pengawas]]+region_summary__52[[#This Row],[REJECTED BY Admin Kabupaten]]</f>
        <v>1</v>
      </c>
    </row>
    <row r="812" spans="1:13" x14ac:dyDescent="0.25">
      <c r="A812" s="5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region_summary__52[[#This Row],[REJECTED BY Pengawas]]+region_summary__52[[#This Row],[REJECTED BY Admin Kabupaten]]</f>
        <v>4</v>
      </c>
    </row>
    <row r="813" spans="1:13" x14ac:dyDescent="0.25">
      <c r="A813" s="5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region_summary__52[[#This Row],[REJECTED BY Pengawas]]+region_summary__52[[#This Row],[REJECTED BY Admin Kabupaten]]</f>
        <v>0</v>
      </c>
    </row>
    <row r="814" spans="1:13" x14ac:dyDescent="0.25">
      <c r="A814" s="5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region_summary__52[[#This Row],[REJECTED BY Pengawas]]+region_summary__52[[#This Row],[REJECTED BY Admin Kabupaten]]</f>
        <v>1</v>
      </c>
    </row>
    <row r="815" spans="1:13" x14ac:dyDescent="0.25">
      <c r="A815" s="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region_summary__52[[#This Row],[REJECTED BY Pengawas]]+region_summary__52[[#This Row],[REJECTED BY Admin Kabupaten]]</f>
        <v>0</v>
      </c>
    </row>
    <row r="816" spans="1:13" x14ac:dyDescent="0.25">
      <c r="A816" s="5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region_summary__52[[#This Row],[REJECTED BY Pengawas]]+region_summary__52[[#This Row],[REJECTED BY Admin Kabupaten]]</f>
        <v>0</v>
      </c>
    </row>
    <row r="817" spans="1:13" x14ac:dyDescent="0.25">
      <c r="A817" s="5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region_summary__52[[#This Row],[REJECTED BY Pengawas]]+region_summary__52[[#This Row],[REJECTED BY Admin Kabupaten]]</f>
        <v>0</v>
      </c>
    </row>
    <row r="818" spans="1:13" x14ac:dyDescent="0.25">
      <c r="A818" s="5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region_summary__52[[#This Row],[REJECTED BY Pengawas]]+region_summary__52[[#This Row],[REJECTED BY Admin Kabupaten]]</f>
        <v>1</v>
      </c>
    </row>
    <row r="819" spans="1:13" x14ac:dyDescent="0.25">
      <c r="A819" s="5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region_summary__52[[#This Row],[REJECTED BY Pengawas]]+region_summary__52[[#This Row],[REJECTED BY Admin Kabupaten]]</f>
        <v>0</v>
      </c>
    </row>
    <row r="820" spans="1:13" x14ac:dyDescent="0.25">
      <c r="A820" s="5" t="s">
        <v>45</v>
      </c>
      <c r="B820">
        <v>7172011012001000</v>
      </c>
      <c r="C820">
        <v>118</v>
      </c>
      <c r="D820">
        <v>25</v>
      </c>
      <c r="E820">
        <v>4</v>
      </c>
      <c r="F820">
        <v>0</v>
      </c>
      <c r="G820">
        <v>89</v>
      </c>
      <c r="H820">
        <v>0</v>
      </c>
      <c r="I820">
        <v>0</v>
      </c>
      <c r="J820">
        <v>0</v>
      </c>
      <c r="K820">
        <v>0</v>
      </c>
      <c r="L820">
        <v>0</v>
      </c>
      <c r="M820">
        <f>region_summary__52[[#This Row],[REJECTED BY Pengawas]]+region_summary__52[[#This Row],[REJECTED BY Admin Kabupaten]]</f>
        <v>0</v>
      </c>
    </row>
    <row r="821" spans="1:13" x14ac:dyDescent="0.25">
      <c r="A821" s="5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region_summary__52[[#This Row],[REJECTED BY Pengawas]]+region_summary__52[[#This Row],[REJECTED BY Admin Kabupaten]]</f>
        <v>4</v>
      </c>
    </row>
    <row r="822" spans="1:13" x14ac:dyDescent="0.25">
      <c r="A822" s="5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region_summary__52[[#This Row],[REJECTED BY Pengawas]]+region_summary__52[[#This Row],[REJECTED BY Admin Kabupaten]]</f>
        <v>0</v>
      </c>
    </row>
    <row r="823" spans="1:13" x14ac:dyDescent="0.25">
      <c r="A823" s="5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region_summary__52[[#This Row],[REJECTED BY Pengawas]]+region_summary__52[[#This Row],[REJECTED BY Admin Kabupaten]]</f>
        <v>0</v>
      </c>
    </row>
    <row r="824" spans="1:13" x14ac:dyDescent="0.25">
      <c r="A824" s="5" t="s">
        <v>50</v>
      </c>
      <c r="B824">
        <v>7172012001000300</v>
      </c>
      <c r="C824">
        <v>171</v>
      </c>
      <c r="D824">
        <v>0</v>
      </c>
      <c r="E824">
        <v>4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34</v>
      </c>
      <c r="L824">
        <v>0</v>
      </c>
      <c r="M824">
        <f>region_summary__52[[#This Row],[REJECTED BY Pengawas]]+region_summary__52[[#This Row],[REJECTED BY Admin Kabupaten]]</f>
        <v>0</v>
      </c>
    </row>
    <row r="825" spans="1:13" x14ac:dyDescent="0.25">
      <c r="A825" s="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55</v>
      </c>
      <c r="H825">
        <v>0</v>
      </c>
      <c r="I825">
        <v>4</v>
      </c>
      <c r="J825">
        <v>0</v>
      </c>
      <c r="K825">
        <v>69</v>
      </c>
      <c r="L825">
        <v>0</v>
      </c>
      <c r="M825">
        <f>region_summary__52[[#This Row],[REJECTED BY Pengawas]]+region_summary__52[[#This Row],[REJECTED BY Admin Kabupaten]]</f>
        <v>4</v>
      </c>
    </row>
    <row r="826" spans="1:13" x14ac:dyDescent="0.25">
      <c r="A826" s="5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1</v>
      </c>
      <c r="J826">
        <v>0</v>
      </c>
      <c r="K826">
        <v>32</v>
      </c>
      <c r="L826">
        <v>0</v>
      </c>
      <c r="M826">
        <f>region_summary__52[[#This Row],[REJECTED BY Pengawas]]+region_summary__52[[#This Row],[REJECTED BY Admin Kabupaten]]</f>
        <v>1</v>
      </c>
    </row>
    <row r="827" spans="1:13" x14ac:dyDescent="0.25">
      <c r="A827" s="5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region_summary__52[[#This Row],[REJECTED BY Pengawas]]+region_summary__52[[#This Row],[REJECTED BY Admin Kabupaten]]</f>
        <v>0</v>
      </c>
    </row>
    <row r="828" spans="1:13" x14ac:dyDescent="0.25">
      <c r="A828" s="5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region_summary__52[[#This Row],[REJECTED BY Pengawas]]+region_summary__52[[#This Row],[REJECTED BY Admin Kabupaten]]</f>
        <v>0</v>
      </c>
    </row>
    <row r="829" spans="1:13" x14ac:dyDescent="0.25">
      <c r="A829" s="5" t="s">
        <v>54</v>
      </c>
      <c r="B829">
        <v>7172012002000600</v>
      </c>
      <c r="C829">
        <v>130</v>
      </c>
      <c r="D829">
        <v>125</v>
      </c>
      <c r="E829">
        <v>3</v>
      </c>
      <c r="F829">
        <v>1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region_summary__52[[#This Row],[REJECTED BY Pengawas]]+region_summary__52[[#This Row],[REJECTED BY Admin Kabupaten]]</f>
        <v>0</v>
      </c>
    </row>
    <row r="830" spans="1:13" x14ac:dyDescent="0.25">
      <c r="A830" s="5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region_summary__52[[#This Row],[REJECTED BY Pengawas]]+region_summary__52[[#This Row],[REJECTED BY Admin Kabupaten]]</f>
        <v>0</v>
      </c>
    </row>
    <row r="831" spans="1:13" x14ac:dyDescent="0.25">
      <c r="A831" s="5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region_summary__52[[#This Row],[REJECTED BY Pengawas]]+region_summary__52[[#This Row],[REJECTED BY Admin Kabupaten]]</f>
        <v>0</v>
      </c>
    </row>
    <row r="832" spans="1:13" x14ac:dyDescent="0.25">
      <c r="A832" s="5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region_summary__52[[#This Row],[REJECTED BY Pengawas]]+region_summary__52[[#This Row],[REJECTED BY Admin Kabupaten]]</f>
        <v>0</v>
      </c>
    </row>
    <row r="833" spans="1:13" x14ac:dyDescent="0.25">
      <c r="A833" s="5" t="s">
        <v>54</v>
      </c>
      <c r="B833">
        <v>7172012002000700</v>
      </c>
      <c r="C833">
        <v>95</v>
      </c>
      <c r="D833">
        <v>39</v>
      </c>
      <c r="E833">
        <v>4</v>
      </c>
      <c r="F833">
        <v>1</v>
      </c>
      <c r="G833">
        <v>51</v>
      </c>
      <c r="H833">
        <v>0</v>
      </c>
      <c r="I833">
        <v>0</v>
      </c>
      <c r="J833">
        <v>0</v>
      </c>
      <c r="K833">
        <v>0</v>
      </c>
      <c r="L833">
        <v>0</v>
      </c>
      <c r="M833">
        <f>region_summary__52[[#This Row],[REJECTED BY Pengawas]]+region_summary__52[[#This Row],[REJECTED BY Admin Kabupaten]]</f>
        <v>0</v>
      </c>
    </row>
    <row r="834" spans="1:13" x14ac:dyDescent="0.25">
      <c r="A834" s="5" t="s">
        <v>54</v>
      </c>
      <c r="B834">
        <v>7172012002000402</v>
      </c>
      <c r="C834">
        <v>94</v>
      </c>
      <c r="D834">
        <v>18</v>
      </c>
      <c r="E834">
        <v>0</v>
      </c>
      <c r="F834">
        <v>0</v>
      </c>
      <c r="G834">
        <v>57</v>
      </c>
      <c r="H834">
        <v>0</v>
      </c>
      <c r="I834">
        <v>0</v>
      </c>
      <c r="J834">
        <v>0</v>
      </c>
      <c r="K834">
        <v>19</v>
      </c>
      <c r="L834">
        <v>0</v>
      </c>
      <c r="M834">
        <f>region_summary__52[[#This Row],[REJECTED BY Pengawas]]+region_summary__52[[#This Row],[REJECTED BY Admin Kabupaten]]</f>
        <v>0</v>
      </c>
    </row>
    <row r="835" spans="1:13" x14ac:dyDescent="0.25">
      <c r="A835" s="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region_summary__52[[#This Row],[REJECTED BY Pengawas]]+region_summary__52[[#This Row],[REJECTED BY Admin Kabupaten]]</f>
        <v>1</v>
      </c>
    </row>
    <row r="836" spans="1:13" x14ac:dyDescent="0.25">
      <c r="A836" s="5" t="s">
        <v>229</v>
      </c>
      <c r="B836">
        <v>7172012002001302</v>
      </c>
      <c r="C836">
        <v>154</v>
      </c>
      <c r="D836">
        <v>130</v>
      </c>
      <c r="E836">
        <v>6</v>
      </c>
      <c r="F836">
        <v>3</v>
      </c>
      <c r="G836">
        <v>10</v>
      </c>
      <c r="H836">
        <v>0</v>
      </c>
      <c r="I836">
        <v>0</v>
      </c>
      <c r="J836">
        <v>0</v>
      </c>
      <c r="K836">
        <v>5</v>
      </c>
      <c r="L836">
        <v>0</v>
      </c>
      <c r="M836">
        <f>region_summary__52[[#This Row],[REJECTED BY Pengawas]]+region_summary__52[[#This Row],[REJECTED BY Admin Kabupaten]]</f>
        <v>0</v>
      </c>
    </row>
    <row r="837" spans="1:13" x14ac:dyDescent="0.25">
      <c r="A837" s="5" t="s">
        <v>229</v>
      </c>
      <c r="B837">
        <v>7172012002001500</v>
      </c>
      <c r="C837">
        <v>118</v>
      </c>
      <c r="D837">
        <v>12</v>
      </c>
      <c r="E837">
        <v>10</v>
      </c>
      <c r="F837">
        <v>0</v>
      </c>
      <c r="G837">
        <v>96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region_summary__52[[#This Row],[REJECTED BY Pengawas]]+region_summary__52[[#This Row],[REJECTED BY Admin Kabupaten]]</f>
        <v>0</v>
      </c>
    </row>
    <row r="838" spans="1:13" x14ac:dyDescent="0.25">
      <c r="A838" s="5" t="s">
        <v>229</v>
      </c>
      <c r="B838">
        <v>7172012002001400</v>
      </c>
      <c r="C838">
        <v>96</v>
      </c>
      <c r="D838">
        <v>13</v>
      </c>
      <c r="E838">
        <v>1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region_summary__52[[#This Row],[REJECTED BY Pengawas]]+region_summary__52[[#This Row],[REJECTED BY Admin Kabupaten]]</f>
        <v>0</v>
      </c>
    </row>
    <row r="839" spans="1:13" x14ac:dyDescent="0.25">
      <c r="A839" s="5" t="s">
        <v>229</v>
      </c>
      <c r="B839">
        <v>7172012002001700</v>
      </c>
      <c r="C839">
        <v>90</v>
      </c>
      <c r="D839">
        <v>8</v>
      </c>
      <c r="E839">
        <v>0</v>
      </c>
      <c r="F839">
        <v>0</v>
      </c>
      <c r="G839">
        <v>81</v>
      </c>
      <c r="H839">
        <v>0</v>
      </c>
      <c r="I839">
        <v>0</v>
      </c>
      <c r="J839">
        <v>0</v>
      </c>
      <c r="K839">
        <v>1</v>
      </c>
      <c r="L839">
        <v>0</v>
      </c>
      <c r="M839">
        <f>region_summary__52[[#This Row],[REJECTED BY Pengawas]]+region_summary__52[[#This Row],[REJECTED BY Admin Kabupaten]]</f>
        <v>0</v>
      </c>
    </row>
    <row r="840" spans="1:13" x14ac:dyDescent="0.25">
      <c r="A840" s="5" t="s">
        <v>229</v>
      </c>
      <c r="B840">
        <v>7172012002001800</v>
      </c>
      <c r="C840">
        <v>80</v>
      </c>
      <c r="D840">
        <v>12</v>
      </c>
      <c r="E840">
        <v>6</v>
      </c>
      <c r="F840">
        <v>0</v>
      </c>
      <c r="G840">
        <v>26</v>
      </c>
      <c r="H840">
        <v>0</v>
      </c>
      <c r="I840">
        <v>1</v>
      </c>
      <c r="J840">
        <v>0</v>
      </c>
      <c r="K840">
        <v>35</v>
      </c>
      <c r="L840">
        <v>0</v>
      </c>
      <c r="M840">
        <f>region_summary__52[[#This Row],[REJECTED BY Pengawas]]+region_summary__52[[#This Row],[REJECTED BY Admin Kabupaten]]</f>
        <v>1</v>
      </c>
    </row>
    <row r="841" spans="1:13" x14ac:dyDescent="0.25">
      <c r="A841" s="5" t="s">
        <v>63</v>
      </c>
      <c r="B841">
        <v>7172012004001701</v>
      </c>
      <c r="C841">
        <v>343</v>
      </c>
      <c r="D841">
        <v>186</v>
      </c>
      <c r="E841">
        <v>25</v>
      </c>
      <c r="F841">
        <v>5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region_summary__52[[#This Row],[REJECTED BY Pengawas]]+region_summary__52[[#This Row],[REJECTED BY Admin Kabupaten]]</f>
        <v>0</v>
      </c>
    </row>
    <row r="842" spans="1:13" x14ac:dyDescent="0.25">
      <c r="A842" s="5" t="s">
        <v>63</v>
      </c>
      <c r="B842">
        <v>7172012004002000</v>
      </c>
      <c r="C842">
        <v>178</v>
      </c>
      <c r="D842">
        <v>17</v>
      </c>
      <c r="E842">
        <v>2</v>
      </c>
      <c r="F842">
        <v>0</v>
      </c>
      <c r="G842">
        <v>150</v>
      </c>
      <c r="H842">
        <v>0</v>
      </c>
      <c r="I842">
        <v>0</v>
      </c>
      <c r="J842">
        <v>0</v>
      </c>
      <c r="K842">
        <v>9</v>
      </c>
      <c r="L842">
        <v>0</v>
      </c>
      <c r="M842">
        <f>region_summary__52[[#This Row],[REJECTED BY Pengawas]]+region_summary__52[[#This Row],[REJECTED BY Admin Kabupaten]]</f>
        <v>0</v>
      </c>
    </row>
    <row r="843" spans="1:13" x14ac:dyDescent="0.25">
      <c r="A843" s="5" t="s">
        <v>63</v>
      </c>
      <c r="B843">
        <v>7172012004002102</v>
      </c>
      <c r="C843">
        <v>108</v>
      </c>
      <c r="D843">
        <v>14</v>
      </c>
      <c r="E843">
        <v>20</v>
      </c>
      <c r="F843">
        <v>0</v>
      </c>
      <c r="G843">
        <v>37</v>
      </c>
      <c r="H843">
        <v>0</v>
      </c>
      <c r="I843">
        <v>0</v>
      </c>
      <c r="J843">
        <v>0</v>
      </c>
      <c r="K843">
        <v>37</v>
      </c>
      <c r="L843">
        <v>0</v>
      </c>
      <c r="M843">
        <f>region_summary__52[[#This Row],[REJECTED BY Pengawas]]+region_summary__52[[#This Row],[REJECTED BY Admin Kabupaten]]</f>
        <v>0</v>
      </c>
    </row>
    <row r="844" spans="1:13" x14ac:dyDescent="0.25">
      <c r="A844" s="5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region_summary__52[[#This Row],[REJECTED BY Pengawas]]+region_summary__52[[#This Row],[REJECTED BY Admin Kabupaten]]</f>
        <v>0</v>
      </c>
    </row>
    <row r="845" spans="1:13" x14ac:dyDescent="0.25">
      <c r="A845" s="5" t="s">
        <v>64</v>
      </c>
      <c r="B845">
        <v>7172012004002300</v>
      </c>
      <c r="C845">
        <v>184</v>
      </c>
      <c r="D845">
        <v>4</v>
      </c>
      <c r="E845">
        <v>5</v>
      </c>
      <c r="F845">
        <v>0</v>
      </c>
      <c r="G845">
        <v>138</v>
      </c>
      <c r="H845">
        <v>0</v>
      </c>
      <c r="I845">
        <v>0</v>
      </c>
      <c r="J845">
        <v>0</v>
      </c>
      <c r="K845">
        <v>37</v>
      </c>
      <c r="L845">
        <v>0</v>
      </c>
      <c r="M845">
        <f>region_summary__52[[#This Row],[REJECTED BY Pengawas]]+region_summary__52[[#This Row],[REJECTED BY Admin Kabupaten]]</f>
        <v>0</v>
      </c>
    </row>
    <row r="846" spans="1:13" x14ac:dyDescent="0.25">
      <c r="A846" s="5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region_summary__52[[#This Row],[REJECTED BY Pengawas]]+region_summary__52[[#This Row],[REJECTED BY Admin Kabupaten]]</f>
        <v>3</v>
      </c>
    </row>
    <row r="847" spans="1:13" x14ac:dyDescent="0.25">
      <c r="A847" s="5" t="s">
        <v>64</v>
      </c>
      <c r="B847">
        <v>7172012004002500</v>
      </c>
      <c r="C847">
        <v>166</v>
      </c>
      <c r="D847">
        <v>75</v>
      </c>
      <c r="E847">
        <v>6</v>
      </c>
      <c r="F847">
        <v>1</v>
      </c>
      <c r="G847">
        <v>21</v>
      </c>
      <c r="H847">
        <v>0</v>
      </c>
      <c r="I847">
        <v>0</v>
      </c>
      <c r="J847">
        <v>0</v>
      </c>
      <c r="K847">
        <v>63</v>
      </c>
      <c r="L847">
        <v>0</v>
      </c>
      <c r="M847">
        <f>region_summary__52[[#This Row],[REJECTED BY Pengawas]]+region_summary__52[[#This Row],[REJECTED BY Admin Kabupaten]]</f>
        <v>0</v>
      </c>
    </row>
    <row r="848" spans="1:13" x14ac:dyDescent="0.25">
      <c r="A848" s="5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region_summary__52[[#This Row],[REJECTED BY Pengawas]]+region_summary__52[[#This Row],[REJECTED BY Admin Kabupaten]]</f>
        <v>0</v>
      </c>
    </row>
    <row r="849" spans="1:13" x14ac:dyDescent="0.25">
      <c r="A849" s="5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region_summary__52[[#This Row],[REJECTED BY Pengawas]]+region_summary__52[[#This Row],[REJECTED BY Admin Kabupaten]]</f>
        <v>0</v>
      </c>
    </row>
    <row r="850" spans="1:13" x14ac:dyDescent="0.25">
      <c r="A850" s="5" t="s">
        <v>67</v>
      </c>
      <c r="B850">
        <v>7172012005001500</v>
      </c>
      <c r="C850">
        <v>106</v>
      </c>
      <c r="D850">
        <v>27</v>
      </c>
      <c r="E850">
        <v>12</v>
      </c>
      <c r="F850">
        <v>0</v>
      </c>
      <c r="G850">
        <v>63</v>
      </c>
      <c r="H850">
        <v>0</v>
      </c>
      <c r="I850">
        <v>1</v>
      </c>
      <c r="J850">
        <v>0</v>
      </c>
      <c r="K850">
        <v>3</v>
      </c>
      <c r="L850">
        <v>0</v>
      </c>
      <c r="M850">
        <f>region_summary__52[[#This Row],[REJECTED BY Pengawas]]+region_summary__52[[#This Row],[REJECTED BY Admin Kabupaten]]</f>
        <v>1</v>
      </c>
    </row>
    <row r="851" spans="1:13" x14ac:dyDescent="0.25">
      <c r="A851" s="5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region_summary__52[[#This Row],[REJECTED BY Pengawas]]+region_summary__52[[#This Row],[REJECTED BY Admin Kabupaten]]</f>
        <v>1</v>
      </c>
    </row>
    <row r="852" spans="1:13" x14ac:dyDescent="0.25">
      <c r="A852" s="5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region_summary__52[[#This Row],[REJECTED BY Pengawas]]+region_summary__52[[#This Row],[REJECTED BY Admin Kabupaten]]</f>
        <v>0</v>
      </c>
    </row>
    <row r="853" spans="1:13" x14ac:dyDescent="0.25">
      <c r="A853" s="5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region_summary__52[[#This Row],[REJECTED BY Pengawas]]+region_summary__52[[#This Row],[REJECTED BY Admin Kabupaten]]</f>
        <v>0</v>
      </c>
    </row>
    <row r="854" spans="1:13" x14ac:dyDescent="0.25">
      <c r="A854" s="5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region_summary__52[[#This Row],[REJECTED BY Pengawas]]+region_summary__52[[#This Row],[REJECTED BY Admin Kabupaten]]</f>
        <v>0</v>
      </c>
    </row>
    <row r="855" spans="1:13" x14ac:dyDescent="0.25">
      <c r="A855" s="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region_summary__52[[#This Row],[REJECTED BY Pengawas]]+region_summary__52[[#This Row],[REJECTED BY Admin Kabupaten]]</f>
        <v>0</v>
      </c>
    </row>
    <row r="856" spans="1:13" x14ac:dyDescent="0.25">
      <c r="A856" s="5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region_summary__52[[#This Row],[REJECTED BY Pengawas]]+region_summary__52[[#This Row],[REJECTED BY Admin Kabupaten]]</f>
        <v>0</v>
      </c>
    </row>
    <row r="857" spans="1:13" x14ac:dyDescent="0.25">
      <c r="A857" s="5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region_summary__52[[#This Row],[REJECTED BY Pengawas]]+region_summary__52[[#This Row],[REJECTED BY Admin Kabupaten]]</f>
        <v>0</v>
      </c>
    </row>
    <row r="858" spans="1:13" x14ac:dyDescent="0.25">
      <c r="A858" s="5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region_summary__52[[#This Row],[REJECTED BY Pengawas]]+region_summary__52[[#This Row],[REJECTED BY Admin Kabupaten]]</f>
        <v>0</v>
      </c>
    </row>
    <row r="859" spans="1:13" x14ac:dyDescent="0.25">
      <c r="A859" s="5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region_summary__52[[#This Row],[REJECTED BY Pengawas]]+region_summary__52[[#This Row],[REJECTED BY Admin Kabupaten]]</f>
        <v>0</v>
      </c>
    </row>
    <row r="860" spans="1:13" x14ac:dyDescent="0.25">
      <c r="A860" s="5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region_summary__52[[#This Row],[REJECTED BY Pengawas]]+region_summary__52[[#This Row],[REJECTED BY Admin Kabupaten]]</f>
        <v>0</v>
      </c>
    </row>
    <row r="861" spans="1:13" x14ac:dyDescent="0.25">
      <c r="A861" s="5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region_summary__52[[#This Row],[REJECTED BY Pengawas]]+region_summary__52[[#This Row],[REJECTED BY Admin Kabupaten]]</f>
        <v>1</v>
      </c>
    </row>
    <row r="862" spans="1:13" x14ac:dyDescent="0.25">
      <c r="A862" s="5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region_summary__52[[#This Row],[REJECTED BY Pengawas]]+region_summary__52[[#This Row],[REJECTED BY Admin Kabupaten]]</f>
        <v>0</v>
      </c>
    </row>
    <row r="863" spans="1:13" x14ac:dyDescent="0.25">
      <c r="A863" s="5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region_summary__52[[#This Row],[REJECTED BY Pengawas]]+region_summary__52[[#This Row],[REJECTED BY Admin Kabupaten]]</f>
        <v>0</v>
      </c>
    </row>
    <row r="864" spans="1:13" x14ac:dyDescent="0.25">
      <c r="A864" s="5" t="s">
        <v>70</v>
      </c>
      <c r="B864">
        <v>7172012006001000</v>
      </c>
      <c r="C864">
        <v>72</v>
      </c>
      <c r="D864">
        <v>4</v>
      </c>
      <c r="E864">
        <v>26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14</v>
      </c>
      <c r="L864">
        <v>0</v>
      </c>
      <c r="M864">
        <f>region_summary__52[[#This Row],[REJECTED BY Pengawas]]+region_summary__52[[#This Row],[REJECTED BY Admin Kabupaten]]</f>
        <v>0</v>
      </c>
    </row>
    <row r="865" spans="1:13" x14ac:dyDescent="0.25">
      <c r="A865" s="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region_summary__52[[#This Row],[REJECTED BY Pengawas]]+region_summary__52[[#This Row],[REJECTED BY Admin Kabupaten]]</f>
        <v>0</v>
      </c>
    </row>
    <row r="866" spans="1:13" x14ac:dyDescent="0.25">
      <c r="A866" s="5" t="s">
        <v>230</v>
      </c>
      <c r="B866">
        <v>7172012007000600</v>
      </c>
      <c r="C866">
        <v>203</v>
      </c>
      <c r="D866">
        <v>88</v>
      </c>
      <c r="E866">
        <v>46</v>
      </c>
      <c r="F866">
        <v>0</v>
      </c>
      <c r="G866">
        <v>58</v>
      </c>
      <c r="H866">
        <v>0</v>
      </c>
      <c r="I866">
        <v>0</v>
      </c>
      <c r="J866">
        <v>0</v>
      </c>
      <c r="K866">
        <v>11</v>
      </c>
      <c r="L866">
        <v>0</v>
      </c>
      <c r="M866">
        <f>region_summary__52[[#This Row],[REJECTED BY Pengawas]]+region_summary__52[[#This Row],[REJECTED BY Admin Kabupaten]]</f>
        <v>0</v>
      </c>
    </row>
    <row r="867" spans="1:13" x14ac:dyDescent="0.25">
      <c r="A867" s="5" t="s">
        <v>230</v>
      </c>
      <c r="B867">
        <v>7172012007000700</v>
      </c>
      <c r="C867">
        <v>167</v>
      </c>
      <c r="D867">
        <v>7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1</v>
      </c>
      <c r="L867">
        <v>0</v>
      </c>
      <c r="M867">
        <f>region_summary__52[[#This Row],[REJECTED BY Pengawas]]+region_summary__52[[#This Row],[REJECTED BY Admin Kabupaten]]</f>
        <v>0</v>
      </c>
    </row>
    <row r="868" spans="1:13" x14ac:dyDescent="0.25">
      <c r="A868" s="5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region_summary__52[[#This Row],[REJECTED BY Pengawas]]+region_summary__52[[#This Row],[REJECTED BY Admin Kabupaten]]</f>
        <v>0</v>
      </c>
    </row>
    <row r="869" spans="1:13" x14ac:dyDescent="0.25">
      <c r="A869" s="5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region_summary__52[[#This Row],[REJECTED BY Pengawas]]+region_summary__52[[#This Row],[REJECTED BY Admin Kabupaten]]</f>
        <v>0</v>
      </c>
    </row>
    <row r="870" spans="1:13" x14ac:dyDescent="0.25">
      <c r="A870" s="5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region_summary__52[[#This Row],[REJECTED BY Pengawas]]+region_summary__52[[#This Row],[REJECTED BY Admin Kabupaten]]</f>
        <v>0</v>
      </c>
    </row>
    <row r="871" spans="1:13" x14ac:dyDescent="0.25">
      <c r="A871" s="5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region_summary__52[[#This Row],[REJECTED BY Pengawas]]+region_summary__52[[#This Row],[REJECTED BY Admin Kabupaten]]</f>
        <v>0</v>
      </c>
    </row>
    <row r="872" spans="1:13" x14ac:dyDescent="0.25">
      <c r="A872" s="5" t="s">
        <v>72</v>
      </c>
      <c r="B872">
        <v>7172012007000800</v>
      </c>
      <c r="C872">
        <v>161</v>
      </c>
      <c r="D872">
        <v>61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5</v>
      </c>
      <c r="L872">
        <v>0</v>
      </c>
      <c r="M872">
        <f>region_summary__52[[#This Row],[REJECTED BY Pengawas]]+region_summary__52[[#This Row],[REJECTED BY Admin Kabupaten]]</f>
        <v>0</v>
      </c>
    </row>
    <row r="873" spans="1:13" x14ac:dyDescent="0.25">
      <c r="A873" s="5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region_summary__52[[#This Row],[REJECTED BY Pengawas]]+region_summary__52[[#This Row],[REJECTED BY Admin Kabupaten]]</f>
        <v>0</v>
      </c>
    </row>
    <row r="874" spans="1:13" x14ac:dyDescent="0.25">
      <c r="A874" s="5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region_summary__52[[#This Row],[REJECTED BY Pengawas]]+region_summary__52[[#This Row],[REJECTED BY Admin Kabupaten]]</f>
        <v>3</v>
      </c>
    </row>
    <row r="875" spans="1:13" x14ac:dyDescent="0.25">
      <c r="A875" s="5" t="s">
        <v>72</v>
      </c>
      <c r="B875">
        <v>7172012007000500</v>
      </c>
      <c r="C875">
        <v>93</v>
      </c>
      <c r="D875">
        <v>44</v>
      </c>
      <c r="E875">
        <v>8</v>
      </c>
      <c r="F875">
        <v>0</v>
      </c>
      <c r="G875">
        <v>33</v>
      </c>
      <c r="H875">
        <v>0</v>
      </c>
      <c r="I875">
        <v>0</v>
      </c>
      <c r="J875">
        <v>0</v>
      </c>
      <c r="K875">
        <v>8</v>
      </c>
      <c r="L875">
        <v>0</v>
      </c>
      <c r="M875">
        <f>region_summary__52[[#This Row],[REJECTED BY Pengawas]]+region_summary__52[[#This Row],[REJECTED BY Admin Kabupaten]]</f>
        <v>0</v>
      </c>
    </row>
    <row r="876" spans="1:13" x14ac:dyDescent="0.25">
      <c r="A876" s="5" t="s">
        <v>74</v>
      </c>
      <c r="B876">
        <v>7172021002000500</v>
      </c>
      <c r="C876">
        <v>106</v>
      </c>
      <c r="D876">
        <v>62</v>
      </c>
      <c r="E876">
        <v>3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39</v>
      </c>
      <c r="L876">
        <v>0</v>
      </c>
      <c r="M876">
        <f>region_summary__52[[#This Row],[REJECTED BY Pengawas]]+region_summary__52[[#This Row],[REJECTED BY Admin Kabupaten]]</f>
        <v>0</v>
      </c>
    </row>
    <row r="877" spans="1:13" x14ac:dyDescent="0.25">
      <c r="A877" s="5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region_summary__52[[#This Row],[REJECTED BY Pengawas]]+region_summary__52[[#This Row],[REJECTED BY Admin Kabupaten]]</f>
        <v>0</v>
      </c>
    </row>
    <row r="878" spans="1:13" x14ac:dyDescent="0.25">
      <c r="A878" s="5" t="s">
        <v>74</v>
      </c>
      <c r="B878">
        <v>7172021002000300</v>
      </c>
      <c r="C878">
        <v>78</v>
      </c>
      <c r="D878">
        <v>20</v>
      </c>
      <c r="E878">
        <v>4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0</v>
      </c>
      <c r="L878">
        <v>0</v>
      </c>
      <c r="M878">
        <f>region_summary__52[[#This Row],[REJECTED BY Pengawas]]+region_summary__52[[#This Row],[REJECTED BY Admin Kabupaten]]</f>
        <v>0</v>
      </c>
    </row>
    <row r="879" spans="1:13" x14ac:dyDescent="0.25">
      <c r="A879" s="5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region_summary__52[[#This Row],[REJECTED BY Pengawas]]+region_summary__52[[#This Row],[REJECTED BY Admin Kabupaten]]</f>
        <v>0</v>
      </c>
    </row>
    <row r="880" spans="1:13" x14ac:dyDescent="0.25">
      <c r="A880" s="5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region_summary__52[[#This Row],[REJECTED BY Pengawas]]+region_summary__52[[#This Row],[REJECTED BY Admin Kabupaten]]</f>
        <v>0</v>
      </c>
    </row>
    <row r="881" spans="1:13" x14ac:dyDescent="0.25">
      <c r="A881" s="5" t="s">
        <v>74</v>
      </c>
      <c r="B881">
        <v>7172021001000400</v>
      </c>
      <c r="C881">
        <v>41</v>
      </c>
      <c r="D881">
        <v>39</v>
      </c>
      <c r="E881">
        <v>2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f>region_summary__52[[#This Row],[REJECTED BY Pengawas]]+region_summary__52[[#This Row],[REJECTED BY Admin Kabupaten]]</f>
        <v>0</v>
      </c>
    </row>
    <row r="882" spans="1:13" x14ac:dyDescent="0.25">
      <c r="A882" s="5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region_summary__52[[#This Row],[REJECTED BY Pengawas]]+region_summary__52[[#This Row],[REJECTED BY Admin Kabupaten]]</f>
        <v>0</v>
      </c>
    </row>
    <row r="883" spans="1:13" x14ac:dyDescent="0.25">
      <c r="A883" s="5" t="s">
        <v>74</v>
      </c>
      <c r="B883">
        <v>7172021001000100</v>
      </c>
      <c r="C883">
        <v>32</v>
      </c>
      <c r="D883">
        <v>17</v>
      </c>
      <c r="E883">
        <v>4</v>
      </c>
      <c r="F883">
        <v>0</v>
      </c>
      <c r="G883">
        <v>11</v>
      </c>
      <c r="H883">
        <v>0</v>
      </c>
      <c r="I883">
        <v>0</v>
      </c>
      <c r="J883">
        <v>0</v>
      </c>
      <c r="K883">
        <v>0</v>
      </c>
      <c r="L883">
        <v>0</v>
      </c>
      <c r="M883">
        <f>region_summary__52[[#This Row],[REJECTED BY Pengawas]]+region_summary__52[[#This Row],[REJECTED BY Admin Kabupaten]]</f>
        <v>0</v>
      </c>
    </row>
    <row r="884" spans="1:13" x14ac:dyDescent="0.25">
      <c r="A884" s="5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region_summary__52[[#This Row],[REJECTED BY Pengawas]]+region_summary__52[[#This Row],[REJECTED BY Admin Kabupaten]]</f>
        <v>0</v>
      </c>
    </row>
    <row r="885" spans="1:13" x14ac:dyDescent="0.25">
      <c r="A885" s="5" t="s">
        <v>231</v>
      </c>
      <c r="B885">
        <v>7172021006001900</v>
      </c>
      <c r="C885">
        <v>72</v>
      </c>
      <c r="D885">
        <v>24</v>
      </c>
      <c r="E885">
        <v>1</v>
      </c>
      <c r="F885">
        <v>0</v>
      </c>
      <c r="G885">
        <v>39</v>
      </c>
      <c r="H885">
        <v>0</v>
      </c>
      <c r="I885">
        <v>0</v>
      </c>
      <c r="J885">
        <v>0</v>
      </c>
      <c r="K885">
        <v>8</v>
      </c>
      <c r="L885">
        <v>0</v>
      </c>
      <c r="M885">
        <f>region_summary__52[[#This Row],[REJECTED BY Pengawas]]+region_summary__52[[#This Row],[REJECTED BY Admin Kabupaten]]</f>
        <v>0</v>
      </c>
    </row>
    <row r="886" spans="1:13" x14ac:dyDescent="0.25">
      <c r="A886" s="5" t="s">
        <v>231</v>
      </c>
      <c r="B886">
        <v>7172021002000600</v>
      </c>
      <c r="C886">
        <v>70</v>
      </c>
      <c r="D886">
        <v>63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region_summary__52[[#This Row],[REJECTED BY Pengawas]]+region_summary__52[[#This Row],[REJECTED BY Admin Kabupaten]]</f>
        <v>0</v>
      </c>
    </row>
    <row r="887" spans="1:13" x14ac:dyDescent="0.25">
      <c r="A887" s="5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region_summary__52[[#This Row],[REJECTED BY Pengawas]]+region_summary__52[[#This Row],[REJECTED BY Admin Kabupaten]]</f>
        <v>0</v>
      </c>
    </row>
    <row r="888" spans="1:13" x14ac:dyDescent="0.25">
      <c r="A888" s="5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region_summary__52[[#This Row],[REJECTED BY Pengawas]]+region_summary__52[[#This Row],[REJECTED BY Admin Kabupaten]]</f>
        <v>0</v>
      </c>
    </row>
    <row r="889" spans="1:13" x14ac:dyDescent="0.25">
      <c r="A889" s="5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region_summary__52[[#This Row],[REJECTED BY Pengawas]]+region_summary__52[[#This Row],[REJECTED BY Admin Kabupaten]]</f>
        <v>0</v>
      </c>
    </row>
    <row r="890" spans="1:13" x14ac:dyDescent="0.25">
      <c r="A890" s="5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region_summary__52[[#This Row],[REJECTED BY Pengawas]]+region_summary__52[[#This Row],[REJECTED BY Admin Kabupaten]]</f>
        <v>0</v>
      </c>
    </row>
    <row r="891" spans="1:13" x14ac:dyDescent="0.25">
      <c r="A891" s="5" t="s">
        <v>75</v>
      </c>
      <c r="B891">
        <v>7172021003000800</v>
      </c>
      <c r="C891">
        <v>117</v>
      </c>
      <c r="D891">
        <v>45</v>
      </c>
      <c r="E891">
        <v>11</v>
      </c>
      <c r="F891">
        <v>0</v>
      </c>
      <c r="G891">
        <v>20</v>
      </c>
      <c r="H891">
        <v>0</v>
      </c>
      <c r="I891">
        <v>0</v>
      </c>
      <c r="J891">
        <v>4</v>
      </c>
      <c r="K891">
        <v>37</v>
      </c>
      <c r="L891">
        <v>0</v>
      </c>
      <c r="M891">
        <f>region_summary__52[[#This Row],[REJECTED BY Pengawas]]+region_summary__52[[#This Row],[REJECTED BY Admin Kabupaten]]</f>
        <v>0</v>
      </c>
    </row>
    <row r="892" spans="1:13" x14ac:dyDescent="0.25">
      <c r="A892" s="5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region_summary__52[[#This Row],[REJECTED BY Pengawas]]+region_summary__52[[#This Row],[REJECTED BY Admin Kabupaten]]</f>
        <v>0</v>
      </c>
    </row>
    <row r="893" spans="1:13" x14ac:dyDescent="0.25">
      <c r="A893" s="5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region_summary__52[[#This Row],[REJECTED BY Pengawas]]+region_summary__52[[#This Row],[REJECTED BY Admin Kabupaten]]</f>
        <v>0</v>
      </c>
    </row>
    <row r="894" spans="1:13" x14ac:dyDescent="0.25">
      <c r="A894" s="5" t="s">
        <v>75</v>
      </c>
      <c r="B894">
        <v>7172021003001000</v>
      </c>
      <c r="C894">
        <v>63</v>
      </c>
      <c r="D894">
        <v>54</v>
      </c>
      <c r="E894">
        <v>9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region_summary__52[[#This Row],[REJECTED BY Pengawas]]+region_summary__52[[#This Row],[REJECTED BY Admin Kabupaten]]</f>
        <v>0</v>
      </c>
    </row>
    <row r="895" spans="1:13" x14ac:dyDescent="0.25">
      <c r="A895" s="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region_summary__52[[#This Row],[REJECTED BY Pengawas]]+region_summary__52[[#This Row],[REJECTED BY Admin Kabupaten]]</f>
        <v>0</v>
      </c>
    </row>
    <row r="896" spans="1:13" x14ac:dyDescent="0.25">
      <c r="A896" s="5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region_summary__52[[#This Row],[REJECTED BY Pengawas]]+region_summary__52[[#This Row],[REJECTED BY Admin Kabupaten]]</f>
        <v>0</v>
      </c>
    </row>
    <row r="897" spans="1:13" x14ac:dyDescent="0.25">
      <c r="A897" s="5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22</v>
      </c>
      <c r="H897">
        <v>0</v>
      </c>
      <c r="I897">
        <v>0</v>
      </c>
      <c r="J897">
        <v>0</v>
      </c>
      <c r="K897">
        <v>0</v>
      </c>
      <c r="L897">
        <v>0</v>
      </c>
      <c r="M897">
        <f>region_summary__52[[#This Row],[REJECTED BY Pengawas]]+region_summary__52[[#This Row],[REJECTED BY Admin Kabupaten]]</f>
        <v>0</v>
      </c>
    </row>
    <row r="898" spans="1:13" x14ac:dyDescent="0.25">
      <c r="A898" s="5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region_summary__52[[#This Row],[REJECTED BY Pengawas]]+region_summary__52[[#This Row],[REJECTED BY Admin Kabupaten]]</f>
        <v>0</v>
      </c>
    </row>
    <row r="899" spans="1:13" x14ac:dyDescent="0.25">
      <c r="A899" s="5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region_summary__52[[#This Row],[REJECTED BY Pengawas]]+region_summary__52[[#This Row],[REJECTED BY Admin Kabupaten]]</f>
        <v>0</v>
      </c>
    </row>
    <row r="900" spans="1:13" x14ac:dyDescent="0.25">
      <c r="A900" s="5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region_summary__52[[#This Row],[REJECTED BY Pengawas]]+region_summary__52[[#This Row],[REJECTED BY Admin Kabupaten]]</f>
        <v>0</v>
      </c>
    </row>
    <row r="901" spans="1:13" x14ac:dyDescent="0.25">
      <c r="A901" s="5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region_summary__52[[#This Row],[REJECTED BY Pengawas]]+region_summary__52[[#This Row],[REJECTED BY Admin Kabupaten]]</f>
        <v>0</v>
      </c>
    </row>
    <row r="902" spans="1:13" x14ac:dyDescent="0.25">
      <c r="A902" s="5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region_summary__52[[#This Row],[REJECTED BY Pengawas]]+region_summary__52[[#This Row],[REJECTED BY Admin Kabupaten]]</f>
        <v>0</v>
      </c>
    </row>
    <row r="903" spans="1:13" x14ac:dyDescent="0.25">
      <c r="A903" s="5" t="s">
        <v>78</v>
      </c>
      <c r="B903">
        <v>7172021004000100</v>
      </c>
      <c r="C903">
        <v>69</v>
      </c>
      <c r="D903">
        <v>67</v>
      </c>
      <c r="E903">
        <v>0</v>
      </c>
      <c r="F903">
        <v>2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region_summary__52[[#This Row],[REJECTED BY Pengawas]]+region_summary__52[[#This Row],[REJECTED BY Admin Kabupaten]]</f>
        <v>0</v>
      </c>
    </row>
    <row r="904" spans="1:13" x14ac:dyDescent="0.25">
      <c r="A904" s="5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34</v>
      </c>
      <c r="H904">
        <v>0</v>
      </c>
      <c r="I904">
        <v>0</v>
      </c>
      <c r="J904">
        <v>0</v>
      </c>
      <c r="K904">
        <v>6</v>
      </c>
      <c r="L904">
        <v>0</v>
      </c>
      <c r="M904">
        <f>region_summary__52[[#This Row],[REJECTED BY Pengawas]]+region_summary__52[[#This Row],[REJECTED BY Admin Kabupaten]]</f>
        <v>0</v>
      </c>
    </row>
    <row r="905" spans="1:13" x14ac:dyDescent="0.25">
      <c r="A905" s="5" t="s">
        <v>79</v>
      </c>
      <c r="B905">
        <v>7172021006000300</v>
      </c>
      <c r="C905">
        <v>91</v>
      </c>
      <c r="D905">
        <v>37</v>
      </c>
      <c r="E905">
        <v>0</v>
      </c>
      <c r="F905">
        <v>0</v>
      </c>
      <c r="G905">
        <v>28</v>
      </c>
      <c r="H905">
        <v>0</v>
      </c>
      <c r="I905">
        <v>0</v>
      </c>
      <c r="J905">
        <v>0</v>
      </c>
      <c r="K905">
        <v>26</v>
      </c>
      <c r="L905">
        <v>0</v>
      </c>
      <c r="M905">
        <f>region_summary__52[[#This Row],[REJECTED BY Pengawas]]+region_summary__52[[#This Row],[REJECTED BY Admin Kabupaten]]</f>
        <v>0</v>
      </c>
    </row>
    <row r="906" spans="1:13" x14ac:dyDescent="0.25">
      <c r="A906" s="5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region_summary__52[[#This Row],[REJECTED BY Pengawas]]+region_summary__52[[#This Row],[REJECTED BY Admin Kabupaten]]</f>
        <v>0</v>
      </c>
    </row>
    <row r="907" spans="1:13" x14ac:dyDescent="0.25">
      <c r="A907" s="5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region_summary__52[[#This Row],[REJECTED BY Pengawas]]+region_summary__52[[#This Row],[REJECTED BY Admin Kabupaten]]</f>
        <v>0</v>
      </c>
    </row>
    <row r="908" spans="1:13" x14ac:dyDescent="0.25">
      <c r="A908" s="5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region_summary__52[[#This Row],[REJECTED BY Pengawas]]+region_summary__52[[#This Row],[REJECTED BY Admin Kabupaten]]</f>
        <v>0</v>
      </c>
    </row>
    <row r="909" spans="1:13" x14ac:dyDescent="0.25">
      <c r="A909" s="5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region_summary__52[[#This Row],[REJECTED BY Pengawas]]+region_summary__52[[#This Row],[REJECTED BY Admin Kabupaten]]</f>
        <v>0</v>
      </c>
    </row>
    <row r="910" spans="1:13" x14ac:dyDescent="0.25">
      <c r="A910" s="5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region_summary__52[[#This Row],[REJECTED BY Pengawas]]+region_summary__52[[#This Row],[REJECTED BY Admin Kabupaten]]</f>
        <v>0</v>
      </c>
    </row>
    <row r="911" spans="1:13" x14ac:dyDescent="0.25">
      <c r="A911" s="5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region_summary__52[[#This Row],[REJECTED BY Pengawas]]+region_summary__52[[#This Row],[REJECTED BY Admin Kabupaten]]</f>
        <v>0</v>
      </c>
    </row>
    <row r="912" spans="1:13" x14ac:dyDescent="0.25">
      <c r="A912" s="5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region_summary__52[[#This Row],[REJECTED BY Pengawas]]+region_summary__52[[#This Row],[REJECTED BY Admin Kabupaten]]</f>
        <v>0</v>
      </c>
    </row>
    <row r="913" spans="1:13" x14ac:dyDescent="0.25">
      <c r="A913" s="5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region_summary__52[[#This Row],[REJECTED BY Pengawas]]+region_summary__52[[#This Row],[REJECTED BY Admin Kabupaten]]</f>
        <v>0</v>
      </c>
    </row>
    <row r="914" spans="1:13" x14ac:dyDescent="0.25">
      <c r="A914" s="5" t="s">
        <v>232</v>
      </c>
      <c r="B914">
        <v>7172022001000600</v>
      </c>
      <c r="C914">
        <v>66</v>
      </c>
      <c r="D914">
        <v>6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8</v>
      </c>
      <c r="L914">
        <v>0</v>
      </c>
      <c r="M914">
        <f>region_summary__52[[#This Row],[REJECTED BY Pengawas]]+region_summary__52[[#This Row],[REJECTED BY Admin Kabupaten]]</f>
        <v>0</v>
      </c>
    </row>
    <row r="915" spans="1:13" x14ac:dyDescent="0.25">
      <c r="A915" s="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region_summary__52[[#This Row],[REJECTED BY Pengawas]]+region_summary__52[[#This Row],[REJECTED BY Admin Kabupaten]]</f>
        <v>0</v>
      </c>
    </row>
    <row r="916" spans="1:13" x14ac:dyDescent="0.25">
      <c r="A916" s="5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region_summary__52[[#This Row],[REJECTED BY Pengawas]]+region_summary__52[[#This Row],[REJECTED BY Admin Kabupaten]]</f>
        <v>0</v>
      </c>
    </row>
    <row r="917" spans="1:13" x14ac:dyDescent="0.25">
      <c r="A917" s="5" t="s">
        <v>232</v>
      </c>
      <c r="B917">
        <v>7172022001000700</v>
      </c>
      <c r="C917">
        <v>60</v>
      </c>
      <c r="D917">
        <v>0</v>
      </c>
      <c r="E917">
        <v>6</v>
      </c>
      <c r="F917">
        <v>0</v>
      </c>
      <c r="G917">
        <v>54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region_summary__52[[#This Row],[REJECTED BY Pengawas]]+region_summary__52[[#This Row],[REJECTED BY Admin Kabupaten]]</f>
        <v>0</v>
      </c>
    </row>
    <row r="918" spans="1:13" x14ac:dyDescent="0.25">
      <c r="A918" s="5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region_summary__52[[#This Row],[REJECTED BY Pengawas]]+region_summary__52[[#This Row],[REJECTED BY Admin Kabupaten]]</f>
        <v>0</v>
      </c>
    </row>
    <row r="919" spans="1:13" x14ac:dyDescent="0.25">
      <c r="A919" s="5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region_summary__52[[#This Row],[REJECTED BY Pengawas]]+region_summary__52[[#This Row],[REJECTED BY Admin Kabupaten]]</f>
        <v>0</v>
      </c>
    </row>
    <row r="920" spans="1:13" x14ac:dyDescent="0.25">
      <c r="A920" s="5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region_summary__52[[#This Row],[REJECTED BY Pengawas]]+region_summary__52[[#This Row],[REJECTED BY Admin Kabupaten]]</f>
        <v>0</v>
      </c>
    </row>
    <row r="921" spans="1:13" x14ac:dyDescent="0.25">
      <c r="A921" s="5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region_summary__52[[#This Row],[REJECTED BY Pengawas]]+region_summary__52[[#This Row],[REJECTED BY Admin Kabupaten]]</f>
        <v>2</v>
      </c>
    </row>
    <row r="922" spans="1:13" x14ac:dyDescent="0.25">
      <c r="A922" s="5" t="s">
        <v>85</v>
      </c>
      <c r="B922">
        <v>7172022003000300</v>
      </c>
      <c r="C922">
        <v>58</v>
      </c>
      <c r="D922">
        <v>54</v>
      </c>
      <c r="E922">
        <v>0</v>
      </c>
      <c r="F922">
        <v>1</v>
      </c>
      <c r="G922">
        <v>1</v>
      </c>
      <c r="H922">
        <v>0</v>
      </c>
      <c r="I922">
        <v>0</v>
      </c>
      <c r="J922">
        <v>0</v>
      </c>
      <c r="K922">
        <v>2</v>
      </c>
      <c r="L922">
        <v>0</v>
      </c>
      <c r="M922">
        <f>region_summary__52[[#This Row],[REJECTED BY Pengawas]]+region_summary__52[[#This Row],[REJECTED BY Admin Kabupaten]]</f>
        <v>0</v>
      </c>
    </row>
    <row r="923" spans="1:13" x14ac:dyDescent="0.25">
      <c r="A923" s="5" t="s">
        <v>85</v>
      </c>
      <c r="B923">
        <v>7172022002000400</v>
      </c>
      <c r="C923">
        <v>56</v>
      </c>
      <c r="D923">
        <v>0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13</v>
      </c>
      <c r="L923">
        <v>0</v>
      </c>
      <c r="M923">
        <f>region_summary__52[[#This Row],[REJECTED BY Pengawas]]+region_summary__52[[#This Row],[REJECTED BY Admin Kabupaten]]</f>
        <v>0</v>
      </c>
    </row>
    <row r="924" spans="1:13" x14ac:dyDescent="0.25">
      <c r="A924" s="5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region_summary__52[[#This Row],[REJECTED BY Pengawas]]+region_summary__52[[#This Row],[REJECTED BY Admin Kabupaten]]</f>
        <v>0</v>
      </c>
    </row>
    <row r="925" spans="1:13" x14ac:dyDescent="0.25">
      <c r="A925" s="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region_summary__52[[#This Row],[REJECTED BY Pengawas]]+region_summary__52[[#This Row],[REJECTED BY Admin Kabupaten]]</f>
        <v>0</v>
      </c>
    </row>
    <row r="926" spans="1:13" x14ac:dyDescent="0.25">
      <c r="A926" s="5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region_summary__52[[#This Row],[REJECTED BY Pengawas]]+region_summary__52[[#This Row],[REJECTED BY Admin Kabupaten]]</f>
        <v>0</v>
      </c>
    </row>
    <row r="927" spans="1:13" x14ac:dyDescent="0.25">
      <c r="A927" s="5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region_summary__52[[#This Row],[REJECTED BY Pengawas]]+region_summary__52[[#This Row],[REJECTED BY Admin Kabupaten]]</f>
        <v>0</v>
      </c>
    </row>
    <row r="928" spans="1:13" x14ac:dyDescent="0.25">
      <c r="A928" s="5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region_summary__52[[#This Row],[REJECTED BY Pengawas]]+region_summary__52[[#This Row],[REJECTED BY Admin Kabupaten]]</f>
        <v>0</v>
      </c>
    </row>
    <row r="929" spans="1:13" x14ac:dyDescent="0.25">
      <c r="A929" s="5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region_summary__52[[#This Row],[REJECTED BY Pengawas]]+region_summary__52[[#This Row],[REJECTED BY Admin Kabupaten]]</f>
        <v>0</v>
      </c>
    </row>
    <row r="930" spans="1:13" x14ac:dyDescent="0.25">
      <c r="A930" s="5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region_summary__52[[#This Row],[REJECTED BY Pengawas]]+region_summary__52[[#This Row],[REJECTED BY Admin Kabupaten]]</f>
        <v>0</v>
      </c>
    </row>
    <row r="931" spans="1:13" x14ac:dyDescent="0.25">
      <c r="A931" s="5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region_summary__52[[#This Row],[REJECTED BY Pengawas]]+region_summary__52[[#This Row],[REJECTED BY Admin Kabupaten]]</f>
        <v>0</v>
      </c>
    </row>
    <row r="932" spans="1:13" x14ac:dyDescent="0.25">
      <c r="A932" s="5" t="s">
        <v>89</v>
      </c>
      <c r="B932">
        <v>7172022009000300</v>
      </c>
      <c r="C932">
        <v>47</v>
      </c>
      <c r="D932">
        <v>40</v>
      </c>
      <c r="E932">
        <v>3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region_summary__52[[#This Row],[REJECTED BY Pengawas]]+region_summary__52[[#This Row],[REJECTED BY Admin Kabupaten]]</f>
        <v>0</v>
      </c>
    </row>
    <row r="933" spans="1:13" x14ac:dyDescent="0.25">
      <c r="A933" s="5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region_summary__52[[#This Row],[REJECTED BY Pengawas]]+region_summary__52[[#This Row],[REJECTED BY Admin Kabupaten]]</f>
        <v>0</v>
      </c>
    </row>
    <row r="934" spans="1:13" x14ac:dyDescent="0.25">
      <c r="A934" s="5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region_summary__52[[#This Row],[REJECTED BY Pengawas]]+region_summary__52[[#This Row],[REJECTED BY Admin Kabupaten]]</f>
        <v>0</v>
      </c>
    </row>
    <row r="935" spans="1:13" x14ac:dyDescent="0.25">
      <c r="A935" s="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region_summary__52[[#This Row],[REJECTED BY Pengawas]]+region_summary__52[[#This Row],[REJECTED BY Admin Kabupaten]]</f>
        <v>0</v>
      </c>
    </row>
    <row r="936" spans="1:13" x14ac:dyDescent="0.25">
      <c r="A936" s="5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region_summary__52[[#This Row],[REJECTED BY Pengawas]]+region_summary__52[[#This Row],[REJECTED BY Admin Kabupaten]]</f>
        <v>0</v>
      </c>
    </row>
    <row r="937" spans="1:13" x14ac:dyDescent="0.25">
      <c r="A937" s="5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region_summary__52[[#This Row],[REJECTED BY Pengawas]]+region_summary__52[[#This Row],[REJECTED BY Admin Kabupaten]]</f>
        <v>0</v>
      </c>
    </row>
    <row r="938" spans="1:13" x14ac:dyDescent="0.25">
      <c r="A938" s="5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region_summary__52[[#This Row],[REJECTED BY Pengawas]]+region_summary__52[[#This Row],[REJECTED BY Admin Kabupaten]]</f>
        <v>1</v>
      </c>
    </row>
    <row r="939" spans="1:13" x14ac:dyDescent="0.25">
      <c r="A939" s="5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region_summary__52[[#This Row],[REJECTED BY Pengawas]]+region_summary__52[[#This Row],[REJECTED BY Admin Kabupaten]]</f>
        <v>0</v>
      </c>
    </row>
    <row r="940" spans="1:13" x14ac:dyDescent="0.25">
      <c r="A940" s="5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region_summary__52[[#This Row],[REJECTED BY Pengawas]]+region_summary__52[[#This Row],[REJECTED BY Admin Kabupaten]]</f>
        <v>0</v>
      </c>
    </row>
    <row r="941" spans="1:13" x14ac:dyDescent="0.25">
      <c r="A941" s="5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region_summary__52[[#This Row],[REJECTED BY Pengawas]]+region_summary__52[[#This Row],[REJECTED BY Admin Kabupaten]]</f>
        <v>0</v>
      </c>
    </row>
    <row r="942" spans="1:13" x14ac:dyDescent="0.25">
      <c r="A942" s="5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region_summary__52[[#This Row],[REJECTED BY Pengawas]]+region_summary__52[[#This Row],[REJECTED BY Admin Kabupaten]]</f>
        <v>0</v>
      </c>
    </row>
    <row r="943" spans="1:13" x14ac:dyDescent="0.25">
      <c r="A943" s="5" t="s">
        <v>91</v>
      </c>
      <c r="B943">
        <v>7172030006001100</v>
      </c>
      <c r="C943">
        <v>108</v>
      </c>
      <c r="D943">
        <v>23</v>
      </c>
      <c r="E943">
        <v>17</v>
      </c>
      <c r="F943">
        <v>0</v>
      </c>
      <c r="G943">
        <v>67</v>
      </c>
      <c r="H943">
        <v>0</v>
      </c>
      <c r="I943">
        <v>1</v>
      </c>
      <c r="J943">
        <v>0</v>
      </c>
      <c r="K943">
        <v>0</v>
      </c>
      <c r="L943">
        <v>0</v>
      </c>
      <c r="M943">
        <f>region_summary__52[[#This Row],[REJECTED BY Pengawas]]+region_summary__52[[#This Row],[REJECTED BY Admin Kabupaten]]</f>
        <v>1</v>
      </c>
    </row>
    <row r="944" spans="1:13" x14ac:dyDescent="0.25">
      <c r="A944" s="5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region_summary__52[[#This Row],[REJECTED BY Pengawas]]+region_summary__52[[#This Row],[REJECTED BY Admin Kabupaten]]</f>
        <v>0</v>
      </c>
    </row>
    <row r="945" spans="1:13" x14ac:dyDescent="0.25">
      <c r="A945" s="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region_summary__52[[#This Row],[REJECTED BY Pengawas]]+region_summary__52[[#This Row],[REJECTED BY Admin Kabupaten]]</f>
        <v>0</v>
      </c>
    </row>
    <row r="946" spans="1:13" x14ac:dyDescent="0.25">
      <c r="A946" s="5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region_summary__52[[#This Row],[REJECTED BY Pengawas]]+region_summary__52[[#This Row],[REJECTED BY Admin Kabupaten]]</f>
        <v>0</v>
      </c>
    </row>
    <row r="947" spans="1:13" x14ac:dyDescent="0.25">
      <c r="A947" s="5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region_summary__52[[#This Row],[REJECTED BY Pengawas]]+region_summary__52[[#This Row],[REJECTED BY Admin Kabupaten]]</f>
        <v>0</v>
      </c>
    </row>
    <row r="948" spans="1:13" x14ac:dyDescent="0.25">
      <c r="A948" s="5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region_summary__52[[#This Row],[REJECTED BY Pengawas]]+region_summary__52[[#This Row],[REJECTED BY Admin Kabupaten]]</f>
        <v>3</v>
      </c>
    </row>
    <row r="949" spans="1:13" x14ac:dyDescent="0.25">
      <c r="A949" s="5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region_summary__52[[#This Row],[REJECTED BY Pengawas]]+region_summary__52[[#This Row],[REJECTED BY Admin Kabupaten]]</f>
        <v>0</v>
      </c>
    </row>
    <row r="950" spans="1:13" x14ac:dyDescent="0.25">
      <c r="A950" s="5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region_summary__52[[#This Row],[REJECTED BY Pengawas]]+region_summary__52[[#This Row],[REJECTED BY Admin Kabupaten]]</f>
        <v>0</v>
      </c>
    </row>
    <row r="951" spans="1:13" x14ac:dyDescent="0.25">
      <c r="A951" s="5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region_summary__52[[#This Row],[REJECTED BY Pengawas]]+region_summary__52[[#This Row],[REJECTED BY Admin Kabupaten]]</f>
        <v>0</v>
      </c>
    </row>
    <row r="952" spans="1:13" x14ac:dyDescent="0.25">
      <c r="A952" s="5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region_summary__52[[#This Row],[REJECTED BY Pengawas]]+region_summary__52[[#This Row],[REJECTED BY Admin Kabupaten]]</f>
        <v>0</v>
      </c>
    </row>
    <row r="953" spans="1:13" x14ac:dyDescent="0.25">
      <c r="A953" s="5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region_summary__52[[#This Row],[REJECTED BY Pengawas]]+region_summary__52[[#This Row],[REJECTED BY Admin Kabupaten]]</f>
        <v>0</v>
      </c>
    </row>
    <row r="954" spans="1:13" x14ac:dyDescent="0.25">
      <c r="A954" s="5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region_summary__52[[#This Row],[REJECTED BY Pengawas]]+region_summary__52[[#This Row],[REJECTED BY Admin Kabupaten]]</f>
        <v>0</v>
      </c>
    </row>
    <row r="955" spans="1:13" x14ac:dyDescent="0.25">
      <c r="A955" s="5" t="s">
        <v>233</v>
      </c>
      <c r="B955">
        <v>7172030007000800</v>
      </c>
      <c r="C955">
        <v>93</v>
      </c>
      <c r="D955">
        <v>49</v>
      </c>
      <c r="E955">
        <v>23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12</v>
      </c>
      <c r="L955">
        <v>0</v>
      </c>
      <c r="M955">
        <f>region_summary__52[[#This Row],[REJECTED BY Pengawas]]+region_summary__52[[#This Row],[REJECTED BY Admin Kabupaten]]</f>
        <v>0</v>
      </c>
    </row>
    <row r="956" spans="1:13" x14ac:dyDescent="0.25">
      <c r="A956" s="5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region_summary__52[[#This Row],[REJECTED BY Pengawas]]+region_summary__52[[#This Row],[REJECTED BY Admin Kabupaten]]</f>
        <v>0</v>
      </c>
    </row>
    <row r="957" spans="1:13" x14ac:dyDescent="0.25">
      <c r="A957" s="5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region_summary__52[[#This Row],[REJECTED BY Pengawas]]+region_summary__52[[#This Row],[REJECTED BY Admin Kabupaten]]</f>
        <v>0</v>
      </c>
    </row>
    <row r="958" spans="1:13" x14ac:dyDescent="0.25">
      <c r="A958" s="5" t="s">
        <v>233</v>
      </c>
      <c r="B958">
        <v>7172030007000700</v>
      </c>
      <c r="C958">
        <v>64</v>
      </c>
      <c r="D958">
        <v>20</v>
      </c>
      <c r="E958">
        <v>9</v>
      </c>
      <c r="F958">
        <v>0</v>
      </c>
      <c r="G958">
        <v>25</v>
      </c>
      <c r="H958">
        <v>0</v>
      </c>
      <c r="I958">
        <v>0</v>
      </c>
      <c r="J958">
        <v>0</v>
      </c>
      <c r="K958">
        <v>10</v>
      </c>
      <c r="L958">
        <v>0</v>
      </c>
      <c r="M958">
        <f>region_summary__52[[#This Row],[REJECTED BY Pengawas]]+region_summary__52[[#This Row],[REJECTED BY Admin Kabupaten]]</f>
        <v>0</v>
      </c>
    </row>
    <row r="959" spans="1:13" x14ac:dyDescent="0.25">
      <c r="A959" s="5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region_summary__52[[#This Row],[REJECTED BY Pengawas]]+region_summary__52[[#This Row],[REJECTED BY Admin Kabupaten]]</f>
        <v>0</v>
      </c>
    </row>
    <row r="960" spans="1:13" x14ac:dyDescent="0.25">
      <c r="A960" s="5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region_summary__52[[#This Row],[REJECTED BY Pengawas]]+region_summary__52[[#This Row],[REJECTED BY Admin Kabupaten]]</f>
        <v>0</v>
      </c>
    </row>
    <row r="961" spans="1:13" x14ac:dyDescent="0.25">
      <c r="A961" s="5" t="s">
        <v>234</v>
      </c>
      <c r="B961">
        <v>7172030008000500</v>
      </c>
      <c r="C961">
        <v>63</v>
      </c>
      <c r="D961">
        <v>26</v>
      </c>
      <c r="E961">
        <v>0</v>
      </c>
      <c r="F961">
        <v>0</v>
      </c>
      <c r="G961">
        <v>28</v>
      </c>
      <c r="H961">
        <v>0</v>
      </c>
      <c r="I961">
        <v>1</v>
      </c>
      <c r="J961">
        <v>0</v>
      </c>
      <c r="K961">
        <v>8</v>
      </c>
      <c r="L961">
        <v>0</v>
      </c>
      <c r="M961">
        <f>region_summary__52[[#This Row],[REJECTED BY Pengawas]]+region_summary__52[[#This Row],[REJECTED BY Admin Kabupaten]]</f>
        <v>1</v>
      </c>
    </row>
    <row r="962" spans="1:13" x14ac:dyDescent="0.25">
      <c r="A962" s="5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region_summary__52[[#This Row],[REJECTED BY Pengawas]]+region_summary__52[[#This Row],[REJECTED BY Admin Kabupaten]]</f>
        <v>0</v>
      </c>
    </row>
    <row r="963" spans="1:13" x14ac:dyDescent="0.25">
      <c r="A963" s="5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region_summary__52[[#This Row],[REJECTED BY Pengawas]]+region_summary__52[[#This Row],[REJECTED BY Admin Kabupaten]]</f>
        <v>0</v>
      </c>
    </row>
    <row r="964" spans="1:13" x14ac:dyDescent="0.25">
      <c r="A964" s="5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region_summary__52[[#This Row],[REJECTED BY Pengawas]]+region_summary__52[[#This Row],[REJECTED BY Admin Kabupaten]]</f>
        <v>4</v>
      </c>
    </row>
    <row r="965" spans="1:13" x14ac:dyDescent="0.25">
      <c r="A965" s="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3</v>
      </c>
      <c r="H965">
        <v>0</v>
      </c>
      <c r="I965">
        <v>0</v>
      </c>
      <c r="J965">
        <v>0</v>
      </c>
      <c r="K965">
        <v>3</v>
      </c>
      <c r="L965">
        <v>0</v>
      </c>
      <c r="M965">
        <f>region_summary__52[[#This Row],[REJECTED BY Pengawas]]+region_summary__52[[#This Row],[REJECTED BY Admin Kabupaten]]</f>
        <v>0</v>
      </c>
    </row>
    <row r="966" spans="1:13" x14ac:dyDescent="0.25">
      <c r="A966" s="5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region_summary__52[[#This Row],[REJECTED BY Pengawas]]+region_summary__52[[#This Row],[REJECTED BY Admin Kabupaten]]</f>
        <v>1</v>
      </c>
    </row>
    <row r="967" spans="1:13" x14ac:dyDescent="0.25">
      <c r="A967" s="5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17</v>
      </c>
      <c r="H967">
        <v>0</v>
      </c>
      <c r="I967">
        <v>5</v>
      </c>
      <c r="J967">
        <v>0</v>
      </c>
      <c r="K967">
        <v>12</v>
      </c>
      <c r="L967">
        <v>0</v>
      </c>
      <c r="M967">
        <f>region_summary__52[[#This Row],[REJECTED BY Pengawas]]+region_summary__52[[#This Row],[REJECTED BY Admin Kabupaten]]</f>
        <v>5</v>
      </c>
    </row>
    <row r="968" spans="1:13" x14ac:dyDescent="0.25">
      <c r="A968" s="5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region_summary__52[[#This Row],[REJECTED BY Pengawas]]+region_summary__52[[#This Row],[REJECTED BY Admin Kabupaten]]</f>
        <v>0</v>
      </c>
    </row>
    <row r="969" spans="1:13" x14ac:dyDescent="0.25">
      <c r="A969" s="5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region_summary__52[[#This Row],[REJECTED BY Pengawas]]+region_summary__52[[#This Row],[REJECTED BY Admin Kabupaten]]</f>
        <v>0</v>
      </c>
    </row>
    <row r="970" spans="1:13" x14ac:dyDescent="0.25">
      <c r="A970" s="5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region_summary__52[[#This Row],[REJECTED BY Pengawas]]+region_summary__52[[#This Row],[REJECTED BY Admin Kabupaten]]</f>
        <v>0</v>
      </c>
    </row>
    <row r="971" spans="1:13" x14ac:dyDescent="0.25">
      <c r="A971" s="5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region_summary__52[[#This Row],[REJECTED BY Pengawas]]+region_summary__52[[#This Row],[REJECTED BY Admin Kabupaten]]</f>
        <v>0</v>
      </c>
    </row>
    <row r="972" spans="1:13" x14ac:dyDescent="0.25">
      <c r="A972" s="5" t="s">
        <v>92</v>
      </c>
      <c r="B972">
        <v>7172030012000500</v>
      </c>
      <c r="C972">
        <v>107</v>
      </c>
      <c r="D972">
        <v>68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19</v>
      </c>
      <c r="L972">
        <v>0</v>
      </c>
      <c r="M972">
        <f>region_summary__52[[#This Row],[REJECTED BY Pengawas]]+region_summary__52[[#This Row],[REJECTED BY Admin Kabupaten]]</f>
        <v>0</v>
      </c>
    </row>
    <row r="973" spans="1:13" x14ac:dyDescent="0.25">
      <c r="A973" s="5" t="s">
        <v>92</v>
      </c>
      <c r="B973">
        <v>7172030012000200</v>
      </c>
      <c r="C973">
        <v>92</v>
      </c>
      <c r="D973">
        <v>0</v>
      </c>
      <c r="E973">
        <v>3</v>
      </c>
      <c r="F973">
        <v>0</v>
      </c>
      <c r="G973">
        <v>87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region_summary__52[[#This Row],[REJECTED BY Pengawas]]+region_summary__52[[#This Row],[REJECTED BY Admin Kabupaten]]</f>
        <v>0</v>
      </c>
    </row>
    <row r="974" spans="1:13" x14ac:dyDescent="0.25">
      <c r="A974" s="5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region_summary__52[[#This Row],[REJECTED BY Pengawas]]+region_summary__52[[#This Row],[REJECTED BY Admin Kabupaten]]</f>
        <v>0</v>
      </c>
    </row>
    <row r="975" spans="1:13" x14ac:dyDescent="0.25">
      <c r="A975" s="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region_summary__52[[#This Row],[REJECTED BY Pengawas]]+region_summary__52[[#This Row],[REJECTED BY Admin Kabupaten]]</f>
        <v>0</v>
      </c>
    </row>
    <row r="976" spans="1:13" x14ac:dyDescent="0.25">
      <c r="A976" s="5" t="s">
        <v>92</v>
      </c>
      <c r="B976">
        <v>7172030012000400</v>
      </c>
      <c r="C976">
        <v>44</v>
      </c>
      <c r="D976">
        <v>5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19</v>
      </c>
      <c r="L976">
        <v>0</v>
      </c>
      <c r="M976">
        <f>region_summary__52[[#This Row],[REJECTED BY Pengawas]]+region_summary__52[[#This Row],[REJECTED BY Admin Kabupaten]]</f>
        <v>0</v>
      </c>
    </row>
    <row r="977" spans="1:13" x14ac:dyDescent="0.25">
      <c r="A977" s="5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region_summary__52[[#This Row],[REJECTED BY Pengawas]]+region_summary__52[[#This Row],[REJECTED BY Admin Kabupaten]]</f>
        <v>0</v>
      </c>
    </row>
    <row r="978" spans="1:13" x14ac:dyDescent="0.25">
      <c r="A978" s="5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region_summary__52[[#This Row],[REJECTED BY Pengawas]]+region_summary__52[[#This Row],[REJECTED BY Admin Kabupaten]]</f>
        <v>0</v>
      </c>
    </row>
    <row r="979" spans="1:13" x14ac:dyDescent="0.25">
      <c r="A979" s="5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region_summary__52[[#This Row],[REJECTED BY Pengawas]]+region_summary__52[[#This Row],[REJECTED BY Admin Kabupaten]]</f>
        <v>3</v>
      </c>
    </row>
    <row r="980" spans="1:13" x14ac:dyDescent="0.25">
      <c r="A980" s="5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region_summary__52[[#This Row],[REJECTED BY Pengawas]]+region_summary__52[[#This Row],[REJECTED BY Admin Kabupaten]]</f>
        <v>1</v>
      </c>
    </row>
    <row r="981" spans="1:13" x14ac:dyDescent="0.25">
      <c r="A981" s="5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region_summary__52[[#This Row],[REJECTED BY Pengawas]]+region_summary__52[[#This Row],[REJECTED BY Admin Kabupaten]]</f>
        <v>1</v>
      </c>
    </row>
    <row r="982" spans="1:13" x14ac:dyDescent="0.25">
      <c r="A982" s="5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region_summary__52[[#This Row],[REJECTED BY Pengawas]]+region_summary__52[[#This Row],[REJECTED BY Admin Kabupaten]]</f>
        <v>0</v>
      </c>
    </row>
    <row r="983" spans="1:13" x14ac:dyDescent="0.25">
      <c r="A983" s="5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region_summary__52[[#This Row],[REJECTED BY Pengawas]]+region_summary__52[[#This Row],[REJECTED BY Admin Kabupaten]]</f>
        <v>0</v>
      </c>
    </row>
    <row r="984" spans="1:13" x14ac:dyDescent="0.25">
      <c r="A984" s="5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region_summary__52[[#This Row],[REJECTED BY Pengawas]]+region_summary__52[[#This Row],[REJECTED BY Admin Kabupaten]]</f>
        <v>0</v>
      </c>
    </row>
    <row r="985" spans="1:13" x14ac:dyDescent="0.25">
      <c r="A985" s="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region_summary__52[[#This Row],[REJECTED BY Pengawas]]+region_summary__52[[#This Row],[REJECTED BY Admin Kabupaten]]</f>
        <v>0</v>
      </c>
    </row>
    <row r="986" spans="1:13" x14ac:dyDescent="0.25">
      <c r="A986" s="5" t="s">
        <v>118</v>
      </c>
      <c r="B986">
        <v>7172031004001700</v>
      </c>
      <c r="C986">
        <v>141</v>
      </c>
      <c r="D986">
        <v>7</v>
      </c>
      <c r="E986">
        <v>0</v>
      </c>
      <c r="F986">
        <v>0</v>
      </c>
      <c r="G986">
        <v>134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region_summary__52[[#This Row],[REJECTED BY Pengawas]]+region_summary__52[[#This Row],[REJECTED BY Admin Kabupaten]]</f>
        <v>0</v>
      </c>
    </row>
    <row r="987" spans="1:13" x14ac:dyDescent="0.25">
      <c r="A987" s="5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region_summary__52[[#This Row],[REJECTED BY Pengawas]]+region_summary__52[[#This Row],[REJECTED BY Admin Kabupaten]]</f>
        <v>0</v>
      </c>
    </row>
    <row r="988" spans="1:13" x14ac:dyDescent="0.25">
      <c r="A988" s="5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region_summary__52[[#This Row],[REJECTED BY Pengawas]]+region_summary__52[[#This Row],[REJECTED BY Admin Kabupaten]]</f>
        <v>0</v>
      </c>
    </row>
    <row r="989" spans="1:13" x14ac:dyDescent="0.25">
      <c r="A989" s="5" t="s">
        <v>118</v>
      </c>
      <c r="B989">
        <v>7172031004001300</v>
      </c>
      <c r="C989">
        <v>72</v>
      </c>
      <c r="D989">
        <v>61</v>
      </c>
      <c r="E989">
        <v>5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region_summary__52[[#This Row],[REJECTED BY Pengawas]]+region_summary__52[[#This Row],[REJECTED BY Admin Kabupaten]]</f>
        <v>0</v>
      </c>
    </row>
    <row r="990" spans="1:13" x14ac:dyDescent="0.25">
      <c r="A990" s="5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region_summary__52[[#This Row],[REJECTED BY Pengawas]]+region_summary__52[[#This Row],[REJECTED BY Admin Kabupaten]]</f>
        <v>0</v>
      </c>
    </row>
    <row r="991" spans="1:13" x14ac:dyDescent="0.25">
      <c r="A991" s="5" t="s">
        <v>118</v>
      </c>
      <c r="B991">
        <v>7172031004001500</v>
      </c>
      <c r="C991">
        <v>51</v>
      </c>
      <c r="D991">
        <v>34</v>
      </c>
      <c r="E991">
        <v>14</v>
      </c>
      <c r="F991">
        <v>0</v>
      </c>
      <c r="G991">
        <v>0</v>
      </c>
      <c r="H991">
        <v>0</v>
      </c>
      <c r="I991">
        <v>3</v>
      </c>
      <c r="J991">
        <v>0</v>
      </c>
      <c r="K991">
        <v>0</v>
      </c>
      <c r="L991">
        <v>0</v>
      </c>
      <c r="M991">
        <f>region_summary__52[[#This Row],[REJECTED BY Pengawas]]+region_summary__52[[#This Row],[REJECTED BY Admin Kabupaten]]</f>
        <v>3</v>
      </c>
    </row>
    <row r="992" spans="1:13" x14ac:dyDescent="0.25">
      <c r="A992" s="5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region_summary__52[[#This Row],[REJECTED BY Pengawas]]+region_summary__52[[#This Row],[REJECTED BY Admin Kabupaten]]</f>
        <v>1</v>
      </c>
    </row>
    <row r="993" spans="1:13" x14ac:dyDescent="0.25">
      <c r="A993" s="5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region_summary__52[[#This Row],[REJECTED BY Pengawas]]+region_summary__52[[#This Row],[REJECTED BY Admin Kabupaten]]</f>
        <v>0</v>
      </c>
    </row>
    <row r="994" spans="1:13" x14ac:dyDescent="0.25">
      <c r="A994" s="5" t="s">
        <v>978</v>
      </c>
      <c r="B994">
        <v>7172031005000400</v>
      </c>
      <c r="C994">
        <v>85</v>
      </c>
      <c r="D994">
        <v>63</v>
      </c>
      <c r="E994">
        <v>1</v>
      </c>
      <c r="F994">
        <v>8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region_summary__52[[#This Row],[REJECTED BY Pengawas]]+region_summary__52[[#This Row],[REJECTED BY Admin Kabupaten]]</f>
        <v>0</v>
      </c>
    </row>
    <row r="995" spans="1:13" x14ac:dyDescent="0.25">
      <c r="A995" s="5" t="s">
        <v>978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region_summary__52[[#This Row],[REJECTED BY Pengawas]]+region_summary__52[[#This Row],[REJECTED BY Admin Kabupaten]]</f>
        <v>0</v>
      </c>
    </row>
    <row r="996" spans="1:13" x14ac:dyDescent="0.25">
      <c r="A996" s="5" t="s">
        <v>978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region_summary__52[[#This Row],[REJECTED BY Pengawas]]+region_summary__52[[#This Row],[REJECTED BY Admin Kabupaten]]</f>
        <v>0</v>
      </c>
    </row>
    <row r="997" spans="1:13" x14ac:dyDescent="0.25">
      <c r="A997" s="5" t="s">
        <v>978</v>
      </c>
      <c r="B997">
        <v>7172031005000900</v>
      </c>
      <c r="C997">
        <v>60</v>
      </c>
      <c r="D997">
        <v>24</v>
      </c>
      <c r="E997">
        <v>12</v>
      </c>
      <c r="F997">
        <v>1</v>
      </c>
      <c r="G997">
        <v>22</v>
      </c>
      <c r="H997">
        <v>0</v>
      </c>
      <c r="I997">
        <v>1</v>
      </c>
      <c r="J997">
        <v>0</v>
      </c>
      <c r="K997">
        <v>0</v>
      </c>
      <c r="L997">
        <v>0</v>
      </c>
      <c r="M997">
        <f>region_summary__52[[#This Row],[REJECTED BY Pengawas]]+region_summary__52[[#This Row],[REJECTED BY Admin Kabupaten]]</f>
        <v>1</v>
      </c>
    </row>
    <row r="998" spans="1:13" x14ac:dyDescent="0.25">
      <c r="A998" s="5" t="s">
        <v>978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region_summary__52[[#This Row],[REJECTED BY Pengawas]]+region_summary__52[[#This Row],[REJECTED BY Admin Kabupaten]]</f>
        <v>0</v>
      </c>
    </row>
    <row r="999" spans="1:13" x14ac:dyDescent="0.25">
      <c r="A999" s="5" t="s">
        <v>978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region_summary__52[[#This Row],[REJECTED BY Pengawas]]+region_summary__52[[#This Row],[REJECTED BY Admin Kabupaten]]</f>
        <v>0</v>
      </c>
    </row>
    <row r="1000" spans="1:13" x14ac:dyDescent="0.25">
      <c r="A1000" s="5" t="s">
        <v>978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region_summary__52[[#This Row],[REJECTED BY Pengawas]]+region_summary__52[[#This Row],[REJECTED BY Admin Kabupaten]]</f>
        <v>0</v>
      </c>
    </row>
    <row r="1001" spans="1:13" x14ac:dyDescent="0.25">
      <c r="A1001" s="5" t="s">
        <v>978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region_summary__52[[#This Row],[REJECTED BY Pengawas]]+region_summary__52[[#This Row],[REJECTED BY Admin Kabupaten]]</f>
        <v>0</v>
      </c>
    </row>
    <row r="1002" spans="1:13" x14ac:dyDescent="0.25">
      <c r="A1002" s="5" t="s">
        <v>978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region_summary__52[[#This Row],[REJECTED BY Pengawas]]+region_summary__52[[#This Row],[REJECTED BY Admin Kabupaten]]</f>
        <v>0</v>
      </c>
    </row>
    <row r="1003" spans="1:13" x14ac:dyDescent="0.25">
      <c r="A1003" s="5" t="s">
        <v>978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region_summary__52[[#This Row],[REJECTED BY Pengawas]]+region_summary__52[[#This Row],[REJECTED BY Admin Kabupaten]]</f>
        <v>0</v>
      </c>
    </row>
    <row r="1004" spans="1:13" x14ac:dyDescent="0.25">
      <c r="A1004" s="5" t="s">
        <v>978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region_summary__52[[#This Row],[REJECTED BY Pengawas]]+region_summary__52[[#This Row],[REJECTED BY Admin Kabupaten]]</f>
        <v>0</v>
      </c>
    </row>
    <row r="1005" spans="1:13" x14ac:dyDescent="0.25">
      <c r="A1005" s="5" t="s">
        <v>978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region_summary__52[[#This Row],[REJECTED BY Pengawas]]+region_summary__52[[#This Row],[REJECTED BY Admin Kabupaten]]</f>
        <v>0</v>
      </c>
    </row>
    <row r="1006" spans="1:13" x14ac:dyDescent="0.25">
      <c r="A1006" s="5" t="s">
        <v>980</v>
      </c>
      <c r="B1006">
        <v>7172030017001100</v>
      </c>
      <c r="C1006">
        <v>38</v>
      </c>
      <c r="D1006">
        <v>0</v>
      </c>
      <c r="E1006">
        <v>2</v>
      </c>
      <c r="F1006">
        <v>0</v>
      </c>
      <c r="G1006">
        <v>36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region_summary__52[[#This Row],[REJECTED BY Pengawas]]+region_summary__52[[#This Row],[REJECTED BY Admin Kabupaten]]</f>
        <v>0</v>
      </c>
    </row>
    <row r="1007" spans="1:13" x14ac:dyDescent="0.25">
      <c r="A1007" s="5" t="s">
        <v>980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region_summary__52[[#This Row],[REJECTED BY Pengawas]]+region_summary__52[[#This Row],[REJECTED BY Admin Kabupaten]]</f>
        <v>0</v>
      </c>
    </row>
    <row r="1008" spans="1:13" x14ac:dyDescent="0.25">
      <c r="A1008" s="5" t="s">
        <v>988</v>
      </c>
      <c r="B1008">
        <v>7172012004001600</v>
      </c>
      <c r="C1008">
        <v>186</v>
      </c>
      <c r="D1008">
        <v>71</v>
      </c>
      <c r="E1008">
        <v>14</v>
      </c>
      <c r="F1008">
        <v>0</v>
      </c>
      <c r="G1008">
        <v>77</v>
      </c>
      <c r="H1008">
        <v>0</v>
      </c>
      <c r="I1008">
        <v>0</v>
      </c>
      <c r="J1008">
        <v>0</v>
      </c>
      <c r="K1008">
        <v>24</v>
      </c>
      <c r="L1008">
        <v>0</v>
      </c>
      <c r="M1008">
        <f>region_summary__52[[#This Row],[REJECTED BY Pengawas]]+region_summary__52[[#This Row],[REJECTED BY Admin Kabupaten]]</f>
        <v>0</v>
      </c>
    </row>
    <row r="1009" spans="1:13" x14ac:dyDescent="0.25">
      <c r="A1009" s="5" t="s">
        <v>988</v>
      </c>
      <c r="B1009">
        <v>7172012004001801</v>
      </c>
      <c r="C1009">
        <v>138</v>
      </c>
      <c r="D1009">
        <v>1</v>
      </c>
      <c r="E1009">
        <v>4</v>
      </c>
      <c r="F1009">
        <v>0</v>
      </c>
      <c r="G1009">
        <v>133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region_summary__52[[#This Row],[REJECTED BY Pengawas]]+region_summary__52[[#This Row],[REJECTED BY Admin Kabupaten]]</f>
        <v>0</v>
      </c>
    </row>
    <row r="1010" spans="1:13" x14ac:dyDescent="0.25">
      <c r="A1010" s="5" t="s">
        <v>988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region_summary__52[[#This Row],[REJECTED BY Pengawas]]+region_summary__52[[#This Row],[REJECTED BY Admin Kabupaten]]</f>
        <v>0</v>
      </c>
    </row>
    <row r="1011" spans="1:13" x14ac:dyDescent="0.25">
      <c r="A1011" s="5" t="s">
        <v>988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region_summary__52[[#This Row],[REJECTED BY Pengawas]]+region_summary__52[[#This Row],[REJECTED BY Admin Kabupaten]]</f>
        <v>0</v>
      </c>
    </row>
    <row r="1012" spans="1:13" x14ac:dyDescent="0.25">
      <c r="A1012" s="5" t="s">
        <v>988</v>
      </c>
      <c r="B1012">
        <v>7172012004001500</v>
      </c>
      <c r="C1012">
        <v>116</v>
      </c>
      <c r="D1012">
        <v>44</v>
      </c>
      <c r="E1012">
        <v>3</v>
      </c>
      <c r="F1012">
        <v>1</v>
      </c>
      <c r="G1012">
        <v>64</v>
      </c>
      <c r="H1012">
        <v>0</v>
      </c>
      <c r="I1012">
        <v>0</v>
      </c>
      <c r="J1012">
        <v>0</v>
      </c>
      <c r="K1012">
        <v>4</v>
      </c>
      <c r="L1012">
        <v>0</v>
      </c>
      <c r="M1012">
        <f>region_summary__52[[#This Row],[REJECTED BY Pengawas]]+region_summary__52[[#This Row],[REJECTED BY Admin Kabupaten]]</f>
        <v>0</v>
      </c>
    </row>
    <row r="1013" spans="1:13" x14ac:dyDescent="0.25">
      <c r="A1013" s="5" t="s">
        <v>988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region_summary__52[[#This Row],[REJECTED BY Pengawas]]+region_summary__52[[#This Row],[REJECTED BY Admin Kabupaten]]</f>
        <v>0</v>
      </c>
    </row>
    <row r="1014" spans="1:13" x14ac:dyDescent="0.25">
      <c r="A1014" s="5" t="s">
        <v>983</v>
      </c>
      <c r="B1014">
        <v>7172011003000600</v>
      </c>
      <c r="C1014">
        <v>239</v>
      </c>
      <c r="D1014">
        <v>107</v>
      </c>
      <c r="E1014">
        <v>15</v>
      </c>
      <c r="F1014">
        <v>0</v>
      </c>
      <c r="G1014">
        <v>50</v>
      </c>
      <c r="H1014">
        <v>0</v>
      </c>
      <c r="I1014">
        <v>1</v>
      </c>
      <c r="J1014">
        <v>0</v>
      </c>
      <c r="K1014">
        <v>66</v>
      </c>
      <c r="L1014">
        <v>0</v>
      </c>
      <c r="M1014">
        <f>region_summary__52[[#This Row],[REJECTED BY Pengawas]]+region_summary__52[[#This Row],[REJECTED BY Admin Kabupaten]]</f>
        <v>1</v>
      </c>
    </row>
    <row r="1015" spans="1:13" x14ac:dyDescent="0.25">
      <c r="A1015" s="5" t="s">
        <v>983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region_summary__52[[#This Row],[REJECTED BY Pengawas]]+region_summary__52[[#This Row],[REJECTED BY Admin Kabupaten]]</f>
        <v>0</v>
      </c>
    </row>
    <row r="1016" spans="1:13" x14ac:dyDescent="0.25">
      <c r="A1016" s="5" t="s">
        <v>983</v>
      </c>
      <c r="B1016">
        <v>7172011003000500</v>
      </c>
      <c r="C1016">
        <v>128</v>
      </c>
      <c r="D1016">
        <v>0</v>
      </c>
      <c r="E1016">
        <v>0</v>
      </c>
      <c r="F1016">
        <v>0</v>
      </c>
      <c r="G1016">
        <v>124</v>
      </c>
      <c r="H1016">
        <v>0</v>
      </c>
      <c r="I1016">
        <v>0</v>
      </c>
      <c r="J1016">
        <v>0</v>
      </c>
      <c r="K1016">
        <v>4</v>
      </c>
      <c r="L1016">
        <v>0</v>
      </c>
      <c r="M1016">
        <f>region_summary__52[[#This Row],[REJECTED BY Pengawas]]+region_summary__52[[#This Row],[REJECTED BY Admin Kabupaten]]</f>
        <v>0</v>
      </c>
    </row>
    <row r="1017" spans="1:13" x14ac:dyDescent="0.25">
      <c r="A1017" s="5" t="s">
        <v>983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region_summary__52[[#This Row],[REJECTED BY Pengawas]]+region_summary__52[[#This Row],[REJECTED BY Admin Kabupaten]]</f>
        <v>0</v>
      </c>
    </row>
    <row r="1018" spans="1:13" x14ac:dyDescent="0.25">
      <c r="A1018" s="5" t="s">
        <v>981</v>
      </c>
      <c r="B1018">
        <v>7172011012000900</v>
      </c>
      <c r="C1018">
        <v>59</v>
      </c>
      <c r="D1018">
        <v>1</v>
      </c>
      <c r="E1018">
        <v>0</v>
      </c>
      <c r="F1018">
        <v>0</v>
      </c>
      <c r="G1018">
        <v>57</v>
      </c>
      <c r="H1018">
        <v>0</v>
      </c>
      <c r="I1018">
        <v>0</v>
      </c>
      <c r="J1018">
        <v>0</v>
      </c>
      <c r="K1018">
        <v>1</v>
      </c>
      <c r="L1018">
        <v>0</v>
      </c>
      <c r="M1018">
        <f>region_summary__52[[#This Row],[REJECTED BY Pengawas]]+region_summary__52[[#This Row],[REJECTED BY Admin Kabupaten]]</f>
        <v>0</v>
      </c>
    </row>
    <row r="1019" spans="1:13" x14ac:dyDescent="0.25">
      <c r="A1019" s="5" t="s">
        <v>981</v>
      </c>
      <c r="B1019">
        <v>7172011012000800</v>
      </c>
      <c r="C1019">
        <v>56</v>
      </c>
      <c r="D1019">
        <v>0</v>
      </c>
      <c r="E1019">
        <v>0</v>
      </c>
      <c r="F1019">
        <v>0</v>
      </c>
      <c r="G1019">
        <v>56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region_summary__52[[#This Row],[REJECTED BY Pengawas]]+region_summary__52[[#This Row],[REJECTED BY Admin Kabupaten]]</f>
        <v>0</v>
      </c>
    </row>
    <row r="1020" spans="1:13" x14ac:dyDescent="0.25">
      <c r="A1020" s="5" t="s">
        <v>981</v>
      </c>
      <c r="B1020">
        <v>7172011012000100</v>
      </c>
      <c r="C1020">
        <v>55</v>
      </c>
      <c r="D1020">
        <v>0</v>
      </c>
      <c r="E1020">
        <v>0</v>
      </c>
      <c r="F1020">
        <v>0</v>
      </c>
      <c r="G1020">
        <v>55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region_summary__52[[#This Row],[REJECTED BY Pengawas]]+region_summary__52[[#This Row],[REJECTED BY Admin Kabupaten]]</f>
        <v>0</v>
      </c>
    </row>
    <row r="1021" spans="1:13" x14ac:dyDescent="0.25">
      <c r="A1021" s="5" t="s">
        <v>981</v>
      </c>
      <c r="B1021">
        <v>7172011012000600</v>
      </c>
      <c r="C1021">
        <v>42</v>
      </c>
      <c r="D1021">
        <v>6</v>
      </c>
      <c r="E1021">
        <v>1</v>
      </c>
      <c r="F1021">
        <v>0</v>
      </c>
      <c r="G1021">
        <v>35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region_summary__52[[#This Row],[REJECTED BY Pengawas]]+region_summary__52[[#This Row],[REJECTED BY Admin Kabupaten]]</f>
        <v>0</v>
      </c>
    </row>
    <row r="1022" spans="1:13" x14ac:dyDescent="0.25">
      <c r="A1022" s="5" t="s">
        <v>982</v>
      </c>
      <c r="B1022">
        <v>7172021006001200</v>
      </c>
      <c r="C1022">
        <v>89</v>
      </c>
      <c r="D1022">
        <v>13</v>
      </c>
      <c r="E1022">
        <v>0</v>
      </c>
      <c r="F1022">
        <v>0</v>
      </c>
      <c r="G1022">
        <v>76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region_summary__52[[#This Row],[REJECTED BY Pengawas]]+region_summary__52[[#This Row],[REJECTED BY Admin Kabupaten]]</f>
        <v>0</v>
      </c>
    </row>
    <row r="1023" spans="1:13" x14ac:dyDescent="0.25">
      <c r="A1023" s="5" t="s">
        <v>982</v>
      </c>
      <c r="B1023">
        <v>7172021006001400</v>
      </c>
      <c r="C1023">
        <v>83</v>
      </c>
      <c r="D1023">
        <v>54</v>
      </c>
      <c r="E1023">
        <v>0</v>
      </c>
      <c r="F1023">
        <v>0</v>
      </c>
      <c r="G1023">
        <v>29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region_summary__52[[#This Row],[REJECTED BY Pengawas]]+region_summary__52[[#This Row],[REJECTED BY Admin Kabupaten]]</f>
        <v>0</v>
      </c>
    </row>
    <row r="1024" spans="1:13" x14ac:dyDescent="0.25">
      <c r="A1024" s="5" t="s">
        <v>982</v>
      </c>
      <c r="B1024">
        <v>7172021006001500</v>
      </c>
      <c r="C1024">
        <v>71</v>
      </c>
      <c r="D1024">
        <v>22</v>
      </c>
      <c r="E1024">
        <v>0</v>
      </c>
      <c r="F1024">
        <v>0</v>
      </c>
      <c r="G1024">
        <v>40</v>
      </c>
      <c r="H1024">
        <v>0</v>
      </c>
      <c r="I1024">
        <v>0</v>
      </c>
      <c r="J1024">
        <v>0</v>
      </c>
      <c r="K1024">
        <v>9</v>
      </c>
      <c r="L1024">
        <v>0</v>
      </c>
      <c r="M1024">
        <f>region_summary__52[[#This Row],[REJECTED BY Pengawas]]+region_summary__52[[#This Row],[REJECTED BY Admin Kabupaten]]</f>
        <v>0</v>
      </c>
    </row>
    <row r="1025" spans="1:13" x14ac:dyDescent="0.25">
      <c r="A1025" s="5" t="s">
        <v>982</v>
      </c>
      <c r="B1025">
        <v>7172021006000900</v>
      </c>
      <c r="C1025">
        <v>64</v>
      </c>
      <c r="D1025">
        <v>60</v>
      </c>
      <c r="E1025">
        <v>0</v>
      </c>
      <c r="F1025">
        <v>0</v>
      </c>
      <c r="G1025">
        <v>4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region_summary__52[[#This Row],[REJECTED BY Pengawas]]+region_summary__52[[#This Row],[REJECTED BY Admin Kabupaten]]</f>
        <v>0</v>
      </c>
    </row>
    <row r="1026" spans="1:13" x14ac:dyDescent="0.25">
      <c r="A1026" s="5" t="s">
        <v>982</v>
      </c>
      <c r="B1026">
        <v>7172021006001000</v>
      </c>
      <c r="C1026">
        <v>58</v>
      </c>
      <c r="D1026">
        <v>9</v>
      </c>
      <c r="E1026">
        <v>0</v>
      </c>
      <c r="F1026">
        <v>1</v>
      </c>
      <c r="G1026">
        <v>48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f>region_summary__52[[#This Row],[REJECTED BY Pengawas]]+region_summary__52[[#This Row],[REJECTED BY Admin Kabupaten]]</f>
        <v>0</v>
      </c>
    </row>
    <row r="1027" spans="1:13" x14ac:dyDescent="0.25">
      <c r="A1027" s="5" t="s">
        <v>982</v>
      </c>
      <c r="B1027">
        <v>7172021006000800</v>
      </c>
      <c r="C1027">
        <v>54</v>
      </c>
      <c r="D1027">
        <v>51</v>
      </c>
      <c r="E1027">
        <v>0</v>
      </c>
      <c r="F1027">
        <v>0</v>
      </c>
      <c r="G1027">
        <v>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region_summary__52[[#This Row],[REJECTED BY Pengawas]]+region_summary__52[[#This Row],[REJECTED BY Admin Kabupaten]]</f>
        <v>0</v>
      </c>
    </row>
    <row r="1028" spans="1:13" x14ac:dyDescent="0.25">
      <c r="A1028" s="5" t="s">
        <v>982</v>
      </c>
      <c r="B1028">
        <v>7172021006001300</v>
      </c>
      <c r="C1028">
        <v>45</v>
      </c>
      <c r="D1028">
        <v>44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1</v>
      </c>
      <c r="K1028">
        <v>0</v>
      </c>
      <c r="L1028">
        <v>0</v>
      </c>
      <c r="M1028">
        <f>region_summary__52[[#This Row],[REJECTED BY Pengawas]]+region_summary__52[[#This Row],[REJECTED BY Admin Kabupaten]]</f>
        <v>0</v>
      </c>
    </row>
    <row r="1029" spans="1:13" x14ac:dyDescent="0.25">
      <c r="A1029" s="5" t="s">
        <v>982</v>
      </c>
      <c r="B1029">
        <v>7172021006001100</v>
      </c>
      <c r="C1029">
        <v>42</v>
      </c>
      <c r="D1029">
        <v>6</v>
      </c>
      <c r="E1029">
        <v>0</v>
      </c>
      <c r="F1029">
        <v>0</v>
      </c>
      <c r="G1029">
        <v>36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region_summary__52[[#This Row],[REJECTED BY Pengawas]]+region_summary__52[[#This Row],[REJECTED BY Admin Kabupaten]]</f>
        <v>0</v>
      </c>
    </row>
    <row r="1030" spans="1:13" x14ac:dyDescent="0.25">
      <c r="A1030" s="5" t="s">
        <v>989</v>
      </c>
      <c r="B1030">
        <v>7172011013000800</v>
      </c>
      <c r="C1030">
        <v>92</v>
      </c>
      <c r="D1030">
        <v>71</v>
      </c>
      <c r="E1030">
        <v>1</v>
      </c>
      <c r="F1030">
        <v>0</v>
      </c>
      <c r="G1030">
        <v>20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region_summary__52[[#This Row],[REJECTED BY Pengawas]]+region_summary__52[[#This Row],[REJECTED BY Admin Kabupaten]]</f>
        <v>0</v>
      </c>
    </row>
    <row r="1031" spans="1:13" x14ac:dyDescent="0.25">
      <c r="A1031" s="5" t="s">
        <v>989</v>
      </c>
      <c r="B1031">
        <v>7172011013000900</v>
      </c>
      <c r="C1031">
        <v>82</v>
      </c>
      <c r="D1031">
        <v>77</v>
      </c>
      <c r="E1031">
        <v>0</v>
      </c>
      <c r="F1031">
        <v>0</v>
      </c>
      <c r="G1031">
        <v>5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region_summary__52[[#This Row],[REJECTED BY Pengawas]]+region_summary__52[[#This Row],[REJECTED BY Admin Kabupaten]]</f>
        <v>0</v>
      </c>
    </row>
    <row r="1032" spans="1:13" x14ac:dyDescent="0.25">
      <c r="A1032" s="5" t="s">
        <v>989</v>
      </c>
      <c r="B1032">
        <v>7172011013001200</v>
      </c>
      <c r="C1032">
        <v>67</v>
      </c>
      <c r="D1032">
        <v>23</v>
      </c>
      <c r="E1032">
        <v>0</v>
      </c>
      <c r="F1032">
        <v>0</v>
      </c>
      <c r="G1032">
        <v>22</v>
      </c>
      <c r="H1032">
        <v>0</v>
      </c>
      <c r="I1032">
        <v>3</v>
      </c>
      <c r="J1032">
        <v>0</v>
      </c>
      <c r="K1032">
        <v>19</v>
      </c>
      <c r="L1032">
        <v>0</v>
      </c>
      <c r="M1032">
        <f>region_summary__52[[#This Row],[REJECTED BY Pengawas]]+region_summary__52[[#This Row],[REJECTED BY Admin Kabupaten]]</f>
        <v>3</v>
      </c>
    </row>
    <row r="1033" spans="1:13" x14ac:dyDescent="0.25">
      <c r="A1033" s="5" t="s">
        <v>989</v>
      </c>
      <c r="B1033">
        <v>7172011013000700</v>
      </c>
      <c r="C1033">
        <v>64</v>
      </c>
      <c r="D1033">
        <v>0</v>
      </c>
      <c r="E1033">
        <v>0</v>
      </c>
      <c r="F1033">
        <v>0</v>
      </c>
      <c r="G1033">
        <v>64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region_summary__52[[#This Row],[REJECTED BY Pengawas]]+region_summary__52[[#This Row],[REJECTED BY Admin Kabupaten]]</f>
        <v>0</v>
      </c>
    </row>
    <row r="1034" spans="1:13" x14ac:dyDescent="0.25">
      <c r="A1034" s="5" t="s">
        <v>989</v>
      </c>
      <c r="B1034">
        <v>7172011013001100</v>
      </c>
      <c r="C1034">
        <v>59</v>
      </c>
      <c r="D1034">
        <v>16</v>
      </c>
      <c r="E1034">
        <v>2</v>
      </c>
      <c r="F1034">
        <v>0</v>
      </c>
      <c r="G1034">
        <v>21</v>
      </c>
      <c r="H1034">
        <v>0</v>
      </c>
      <c r="I1034">
        <v>0</v>
      </c>
      <c r="J1034">
        <v>0</v>
      </c>
      <c r="K1034">
        <v>20</v>
      </c>
      <c r="L1034">
        <v>0</v>
      </c>
      <c r="M1034">
        <f>region_summary__52[[#This Row],[REJECTED BY Pengawas]]+region_summary__52[[#This Row],[REJECTED BY Admin Kabupaten]]</f>
        <v>0</v>
      </c>
    </row>
    <row r="1035" spans="1:13" x14ac:dyDescent="0.25">
      <c r="A1035" s="5" t="s">
        <v>989</v>
      </c>
      <c r="B1035">
        <v>7172011013000600</v>
      </c>
      <c r="C1035">
        <v>55</v>
      </c>
      <c r="D1035">
        <v>35</v>
      </c>
      <c r="E1035">
        <v>0</v>
      </c>
      <c r="F1035">
        <v>1</v>
      </c>
      <c r="G1035">
        <v>19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region_summary__52[[#This Row],[REJECTED BY Pengawas]]+region_summary__52[[#This Row],[REJECTED BY Admin Kabupaten]]</f>
        <v>0</v>
      </c>
    </row>
    <row r="1036" spans="1:13" x14ac:dyDescent="0.25">
      <c r="A1036" s="5" t="s">
        <v>989</v>
      </c>
      <c r="B1036">
        <v>7172011013000500</v>
      </c>
      <c r="C1036">
        <v>50</v>
      </c>
      <c r="D1036">
        <v>0</v>
      </c>
      <c r="E1036">
        <v>0</v>
      </c>
      <c r="F1036">
        <v>0</v>
      </c>
      <c r="G1036">
        <v>50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region_summary__52[[#This Row],[REJECTED BY Pengawas]]+region_summary__52[[#This Row],[REJECTED BY Admin Kabupaten]]</f>
        <v>0</v>
      </c>
    </row>
    <row r="1037" spans="1:13" x14ac:dyDescent="0.25">
      <c r="A1037" s="5" t="s">
        <v>989</v>
      </c>
      <c r="B1037">
        <v>7172011013000300</v>
      </c>
      <c r="C1037">
        <v>45</v>
      </c>
      <c r="D1037">
        <v>1</v>
      </c>
      <c r="E1037">
        <v>10</v>
      </c>
      <c r="F1037">
        <v>0</v>
      </c>
      <c r="G1037">
        <v>28</v>
      </c>
      <c r="H1037">
        <v>0</v>
      </c>
      <c r="I1037">
        <v>0</v>
      </c>
      <c r="J1037">
        <v>0</v>
      </c>
      <c r="K1037">
        <v>6</v>
      </c>
      <c r="L1037">
        <v>0</v>
      </c>
      <c r="M1037">
        <f>region_summary__52[[#This Row],[REJECTED BY Pengawas]]+region_summary__52[[#This Row],[REJECTED BY Admin Kabupaten]]</f>
        <v>0</v>
      </c>
    </row>
    <row r="1038" spans="1:13" x14ac:dyDescent="0.25">
      <c r="A1038" s="5" t="s">
        <v>989</v>
      </c>
      <c r="B1038">
        <v>7172011013001400</v>
      </c>
      <c r="C1038">
        <v>37</v>
      </c>
      <c r="D1038">
        <v>36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region_summary__52[[#This Row],[REJECTED BY Pengawas]]+region_summary__52[[#This Row],[REJECTED BY Admin Kabupaten]]</f>
        <v>0</v>
      </c>
    </row>
    <row r="1039" spans="1:13" x14ac:dyDescent="0.25">
      <c r="A1039" s="5" t="s">
        <v>989</v>
      </c>
      <c r="B1039">
        <v>7172011013000400</v>
      </c>
      <c r="C1039">
        <v>36</v>
      </c>
      <c r="D1039">
        <v>23</v>
      </c>
      <c r="E1039">
        <v>0</v>
      </c>
      <c r="F1039">
        <v>0</v>
      </c>
      <c r="G1039">
        <v>13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region_summary__52[[#This Row],[REJECTED BY Pengawas]]+region_summary__52[[#This Row],[REJECTED BY Admin Kabupaten]]</f>
        <v>0</v>
      </c>
    </row>
    <row r="1040" spans="1:13" x14ac:dyDescent="0.25">
      <c r="A1040" s="5" t="s">
        <v>989</v>
      </c>
      <c r="B1040">
        <v>7172011013001000</v>
      </c>
      <c r="C1040">
        <v>36</v>
      </c>
      <c r="D1040">
        <v>0</v>
      </c>
      <c r="E1040">
        <v>0</v>
      </c>
      <c r="F1040">
        <v>0</v>
      </c>
      <c r="G1040">
        <v>36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region_summary__52[[#This Row],[REJECTED BY Pengawas]]+region_summary__52[[#This Row],[REJECTED BY Admin Kabupaten]]</f>
        <v>0</v>
      </c>
    </row>
    <row r="1041" spans="1:13" x14ac:dyDescent="0.25">
      <c r="A1041" s="5" t="s">
        <v>989</v>
      </c>
      <c r="B1041">
        <v>7172011013001300</v>
      </c>
      <c r="C1041">
        <v>31</v>
      </c>
      <c r="D1041">
        <v>27</v>
      </c>
      <c r="E1041">
        <v>1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1</v>
      </c>
      <c r="L1041">
        <v>0</v>
      </c>
      <c r="M1041">
        <f>region_summary__52[[#This Row],[REJECTED BY Pengawas]]+region_summary__52[[#This Row],[REJECTED BY Admin Kabupaten]]</f>
        <v>0</v>
      </c>
    </row>
    <row r="1042" spans="1:13" x14ac:dyDescent="0.25">
      <c r="A1042" s="5" t="s">
        <v>989</v>
      </c>
      <c r="B1042">
        <v>7172011013100100</v>
      </c>
      <c r="C1042">
        <v>2</v>
      </c>
      <c r="D1042">
        <v>0</v>
      </c>
      <c r="E1042">
        <v>0</v>
      </c>
      <c r="F1042">
        <v>0</v>
      </c>
      <c r="G1042">
        <v>2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region_summary__52[[#This Row],[REJECTED BY Pengawas]]+region_summary__52[[#This Row],[REJECTED BY Admin Kabupaten]]</f>
        <v>0</v>
      </c>
    </row>
    <row r="1043" spans="1:13" x14ac:dyDescent="0.25">
      <c r="A1043" s="5" t="s">
        <v>989</v>
      </c>
      <c r="B1043">
        <v>7172011013100200</v>
      </c>
      <c r="C1043">
        <v>2</v>
      </c>
      <c r="D1043">
        <v>0</v>
      </c>
      <c r="E1043">
        <v>0</v>
      </c>
      <c r="F1043">
        <v>0</v>
      </c>
      <c r="G1043">
        <v>2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region_summary__52[[#This Row],[REJECTED BY Pengawas]]+region_summary__52[[#This Row],[REJECTED BY Admin Kabupaten]]</f>
        <v>0</v>
      </c>
    </row>
    <row r="1044" spans="1:13" x14ac:dyDescent="0.25">
      <c r="A1044" s="5" t="s">
        <v>990</v>
      </c>
      <c r="B1044">
        <v>7172010010000600</v>
      </c>
      <c r="C1044">
        <v>89</v>
      </c>
      <c r="D1044">
        <v>78</v>
      </c>
      <c r="E1044">
        <v>0</v>
      </c>
      <c r="F1044">
        <v>1</v>
      </c>
      <c r="G1044">
        <v>10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region_summary__52[[#This Row],[REJECTED BY Pengawas]]+region_summary__52[[#This Row],[REJECTED BY Admin Kabupaten]]</f>
        <v>0</v>
      </c>
    </row>
    <row r="1045" spans="1:13" x14ac:dyDescent="0.25">
      <c r="A1045" s="5" t="s">
        <v>990</v>
      </c>
      <c r="B1045">
        <v>7172010010001500</v>
      </c>
      <c r="C1045">
        <v>75</v>
      </c>
      <c r="D1045">
        <v>70</v>
      </c>
      <c r="E1045">
        <v>0</v>
      </c>
      <c r="F1045">
        <v>1</v>
      </c>
      <c r="G1045">
        <v>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region_summary__52[[#This Row],[REJECTED BY Pengawas]]+region_summary__52[[#This Row],[REJECTED BY Admin Kabupaten]]</f>
        <v>0</v>
      </c>
    </row>
    <row r="1046" spans="1:13" x14ac:dyDescent="0.25">
      <c r="A1046" s="5" t="s">
        <v>990</v>
      </c>
      <c r="B1046">
        <v>7172010010001200</v>
      </c>
      <c r="C1046">
        <v>66</v>
      </c>
      <c r="D1046">
        <v>0</v>
      </c>
      <c r="E1046">
        <v>0</v>
      </c>
      <c r="F1046">
        <v>0</v>
      </c>
      <c r="G1046">
        <v>66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region_summary__52[[#This Row],[REJECTED BY Pengawas]]+region_summary__52[[#This Row],[REJECTED BY Admin Kabupaten]]</f>
        <v>0</v>
      </c>
    </row>
    <row r="1047" spans="1:13" x14ac:dyDescent="0.25">
      <c r="A1047" s="5" t="s">
        <v>990</v>
      </c>
      <c r="B1047">
        <v>7172010010000800</v>
      </c>
      <c r="C1047">
        <v>65</v>
      </c>
      <c r="D1047">
        <v>0</v>
      </c>
      <c r="E1047">
        <v>1</v>
      </c>
      <c r="F1047">
        <v>0</v>
      </c>
      <c r="G1047">
        <v>64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region_summary__52[[#This Row],[REJECTED BY Pengawas]]+region_summary__52[[#This Row],[REJECTED BY Admin Kabupaten]]</f>
        <v>0</v>
      </c>
    </row>
    <row r="1048" spans="1:13" x14ac:dyDescent="0.25">
      <c r="A1048" s="5" t="s">
        <v>990</v>
      </c>
      <c r="B1048">
        <v>7172010010000700</v>
      </c>
      <c r="C1048">
        <v>64</v>
      </c>
      <c r="D1048">
        <v>27</v>
      </c>
      <c r="E1048">
        <v>1</v>
      </c>
      <c r="F1048">
        <v>2</v>
      </c>
      <c r="G1048">
        <v>30</v>
      </c>
      <c r="H1048">
        <v>0</v>
      </c>
      <c r="I1048">
        <v>0</v>
      </c>
      <c r="J1048">
        <v>0</v>
      </c>
      <c r="K1048">
        <v>4</v>
      </c>
      <c r="L1048">
        <v>0</v>
      </c>
      <c r="M1048">
        <f>region_summary__52[[#This Row],[REJECTED BY Pengawas]]+region_summary__52[[#This Row],[REJECTED BY Admin Kabupaten]]</f>
        <v>0</v>
      </c>
    </row>
    <row r="1049" spans="1:13" x14ac:dyDescent="0.25">
      <c r="A1049" s="5" t="s">
        <v>990</v>
      </c>
      <c r="B1049">
        <v>7172010010001100</v>
      </c>
      <c r="C1049">
        <v>53</v>
      </c>
      <c r="D1049">
        <v>47</v>
      </c>
      <c r="E1049">
        <v>0</v>
      </c>
      <c r="F1049">
        <v>1</v>
      </c>
      <c r="G1049">
        <v>4</v>
      </c>
      <c r="H1049">
        <v>0</v>
      </c>
      <c r="I1049">
        <v>0</v>
      </c>
      <c r="J1049">
        <v>0</v>
      </c>
      <c r="K1049">
        <v>1</v>
      </c>
      <c r="L1049">
        <v>0</v>
      </c>
      <c r="M1049">
        <f>region_summary__52[[#This Row],[REJECTED BY Pengawas]]+region_summary__52[[#This Row],[REJECTED BY Admin Kabupaten]]</f>
        <v>0</v>
      </c>
    </row>
    <row r="1050" spans="1:13" x14ac:dyDescent="0.25">
      <c r="A1050" s="5" t="s">
        <v>990</v>
      </c>
      <c r="B1050">
        <v>7172010010001300</v>
      </c>
      <c r="C1050">
        <v>53</v>
      </c>
      <c r="D1050">
        <v>4</v>
      </c>
      <c r="E1050">
        <v>0</v>
      </c>
      <c r="F1050">
        <v>0</v>
      </c>
      <c r="G1050">
        <v>37</v>
      </c>
      <c r="H1050">
        <v>0</v>
      </c>
      <c r="I1050">
        <v>0</v>
      </c>
      <c r="J1050">
        <v>0</v>
      </c>
      <c r="K1050">
        <v>12</v>
      </c>
      <c r="L1050">
        <v>0</v>
      </c>
      <c r="M1050">
        <f>region_summary__52[[#This Row],[REJECTED BY Pengawas]]+region_summary__52[[#This Row],[REJECTED BY Admin Kabupaten]]</f>
        <v>0</v>
      </c>
    </row>
    <row r="1051" spans="1:13" x14ac:dyDescent="0.25">
      <c r="A1051" s="5" t="s">
        <v>990</v>
      </c>
      <c r="B1051">
        <v>7172010010001400</v>
      </c>
      <c r="C1051">
        <v>53</v>
      </c>
      <c r="D1051">
        <v>37</v>
      </c>
      <c r="E1051">
        <v>1</v>
      </c>
      <c r="F1051">
        <v>1</v>
      </c>
      <c r="G1051">
        <v>2</v>
      </c>
      <c r="H1051">
        <v>0</v>
      </c>
      <c r="I1051">
        <v>0</v>
      </c>
      <c r="J1051">
        <v>1</v>
      </c>
      <c r="K1051">
        <v>11</v>
      </c>
      <c r="L1051">
        <v>0</v>
      </c>
      <c r="M1051">
        <f>region_summary__52[[#This Row],[REJECTED BY Pengawas]]+region_summary__52[[#This Row],[REJECTED BY Admin Kabupaten]]</f>
        <v>0</v>
      </c>
    </row>
    <row r="1052" spans="1:13" x14ac:dyDescent="0.25">
      <c r="A1052" s="5" t="s">
        <v>990</v>
      </c>
      <c r="B1052">
        <v>7172010010001000</v>
      </c>
      <c r="C1052">
        <v>32</v>
      </c>
      <c r="D1052">
        <v>0</v>
      </c>
      <c r="E1052">
        <v>1</v>
      </c>
      <c r="F1052">
        <v>0</v>
      </c>
      <c r="G1052">
        <v>31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region_summary__52[[#This Row],[REJECTED BY Pengawas]]+region_summary__52[[#This Row],[REJECTED BY Admin Kabupaten]]</f>
        <v>0</v>
      </c>
    </row>
    <row r="1053" spans="1:13" x14ac:dyDescent="0.25">
      <c r="A1053" s="5" t="s">
        <v>990</v>
      </c>
      <c r="B1053">
        <v>7172010010000900</v>
      </c>
      <c r="C1053">
        <v>23</v>
      </c>
      <c r="D1053">
        <v>0</v>
      </c>
      <c r="E1053">
        <v>0</v>
      </c>
      <c r="F1053">
        <v>0</v>
      </c>
      <c r="G1053">
        <v>23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region_summary__52[[#This Row],[REJECTED BY Pengawas]]+region_summary__52[[#This Row],[REJECTED BY Admin Kabupaten]]</f>
        <v>0</v>
      </c>
    </row>
    <row r="1054" spans="1:13" x14ac:dyDescent="0.25">
      <c r="A1054" s="5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f>region_summary__52[[#This Row],[REJECTED BY Pengawas]]+region_summary__52[[#This Row],[REJECTED BY Admin Kabupaten]]</f>
        <v>0</v>
      </c>
    </row>
    <row r="1055" spans="1:13" x14ac:dyDescent="0.25">
      <c r="A1055" s="5" t="s">
        <v>60</v>
      </c>
      <c r="B1055">
        <v>7172012004000900</v>
      </c>
      <c r="C1055">
        <v>136</v>
      </c>
      <c r="D1055">
        <v>2</v>
      </c>
      <c r="E1055">
        <v>0</v>
      </c>
      <c r="F1055">
        <v>0</v>
      </c>
      <c r="G1055">
        <v>134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region_summary__52[[#This Row],[REJECTED BY Pengawas]]+region_summary__52[[#This Row],[REJECTED BY Admin Kabupaten]]</f>
        <v>0</v>
      </c>
    </row>
    <row r="1056" spans="1:13" x14ac:dyDescent="0.25">
      <c r="A1056" s="5" t="s">
        <v>60</v>
      </c>
      <c r="B1056">
        <v>7172012004001802</v>
      </c>
      <c r="C1056">
        <v>107</v>
      </c>
      <c r="D1056">
        <v>23</v>
      </c>
      <c r="E1056">
        <v>16</v>
      </c>
      <c r="F1056">
        <v>0</v>
      </c>
      <c r="G1056">
        <v>63</v>
      </c>
      <c r="H1056">
        <v>0</v>
      </c>
      <c r="I1056">
        <v>0</v>
      </c>
      <c r="J1056">
        <v>0</v>
      </c>
      <c r="K1056">
        <v>5</v>
      </c>
      <c r="L1056">
        <v>0</v>
      </c>
      <c r="M1056">
        <f>region_summary__52[[#This Row],[REJECTED BY Pengawas]]+region_summary__52[[#This Row],[REJECTED BY Admin Kabupaten]]</f>
        <v>0</v>
      </c>
    </row>
    <row r="1057" spans="1:13" x14ac:dyDescent="0.25">
      <c r="A1057" s="5" t="s">
        <v>60</v>
      </c>
      <c r="B1057">
        <v>7172012004002101</v>
      </c>
      <c r="C1057">
        <v>104</v>
      </c>
      <c r="D1057">
        <v>18</v>
      </c>
      <c r="E1057">
        <v>15</v>
      </c>
      <c r="F1057">
        <v>0</v>
      </c>
      <c r="G1057">
        <v>71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f>region_summary__52[[#This Row],[REJECTED BY Pengawas]]+region_summary__52[[#This Row],[REJECTED BY Admin Kabupaten]]</f>
        <v>0</v>
      </c>
    </row>
    <row r="1058" spans="1:13" x14ac:dyDescent="0.25">
      <c r="A1058" s="5" t="s">
        <v>60</v>
      </c>
      <c r="B1058">
        <v>7172012004001400</v>
      </c>
      <c r="C1058">
        <v>88</v>
      </c>
      <c r="D1058">
        <v>69</v>
      </c>
      <c r="E1058">
        <v>2</v>
      </c>
      <c r="F1058">
        <v>0</v>
      </c>
      <c r="G1058">
        <v>17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region_summary__52[[#This Row],[REJECTED BY Pengawas]]+region_summary__52[[#This Row],[REJECTED BY Admin Kabupaten]]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2092"/>
  <sheetViews>
    <sheetView workbookViewId="0">
      <pane ySplit="1" topLeftCell="A2063" activePane="bottomLeft" state="frozen"/>
      <selection pane="bottomLeft" activeCell="F2093" sqref="F2093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1036" spans="1:10" x14ac:dyDescent="0.25">
      <c r="A1036" t="s">
        <v>11</v>
      </c>
      <c r="B1036">
        <v>7172010010000200</v>
      </c>
      <c r="C1036">
        <v>132</v>
      </c>
      <c r="D1036">
        <v>127</v>
      </c>
      <c r="E1036">
        <v>1</v>
      </c>
      <c r="F1036">
        <v>2</v>
      </c>
      <c r="G1036">
        <v>0</v>
      </c>
      <c r="H1036">
        <v>0</v>
      </c>
      <c r="I1036">
        <v>2</v>
      </c>
      <c r="J1036">
        <v>0</v>
      </c>
    </row>
    <row r="1037" spans="1:10" x14ac:dyDescent="0.25">
      <c r="A1037" t="s">
        <v>11</v>
      </c>
      <c r="B1037">
        <v>7172010009002900</v>
      </c>
      <c r="C1037">
        <v>104</v>
      </c>
      <c r="D1037">
        <v>95</v>
      </c>
      <c r="E1037">
        <v>0</v>
      </c>
      <c r="F1037">
        <v>7</v>
      </c>
      <c r="G1037">
        <v>0</v>
      </c>
      <c r="H1037">
        <v>0</v>
      </c>
      <c r="I1037">
        <v>2</v>
      </c>
      <c r="J1037">
        <v>0</v>
      </c>
    </row>
    <row r="1038" spans="1:10" x14ac:dyDescent="0.25">
      <c r="A1038" t="s">
        <v>11</v>
      </c>
      <c r="B1038">
        <v>7172010009003100</v>
      </c>
      <c r="C1038">
        <v>102</v>
      </c>
      <c r="D1038">
        <v>100</v>
      </c>
      <c r="E1038">
        <v>2</v>
      </c>
      <c r="F1038">
        <v>0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</v>
      </c>
      <c r="B1039">
        <v>7172010009003000</v>
      </c>
      <c r="C1039">
        <v>82</v>
      </c>
      <c r="D1039">
        <v>39</v>
      </c>
      <c r="E1039">
        <v>1</v>
      </c>
      <c r="F1039">
        <v>13</v>
      </c>
      <c r="G1039">
        <v>0</v>
      </c>
      <c r="H1039">
        <v>0</v>
      </c>
      <c r="I1039">
        <v>29</v>
      </c>
      <c r="J1039">
        <v>0</v>
      </c>
    </row>
    <row r="1040" spans="1:10" x14ac:dyDescent="0.25">
      <c r="A1040" t="s">
        <v>11</v>
      </c>
      <c r="B1040">
        <v>7172010010000100</v>
      </c>
      <c r="C1040">
        <v>81</v>
      </c>
      <c r="D1040">
        <v>0</v>
      </c>
      <c r="E1040">
        <v>8</v>
      </c>
      <c r="F1040">
        <v>34</v>
      </c>
      <c r="G1040">
        <v>0</v>
      </c>
      <c r="H1040">
        <v>0</v>
      </c>
      <c r="I1040">
        <v>39</v>
      </c>
      <c r="J1040">
        <v>0</v>
      </c>
    </row>
    <row r="1041" spans="1:10" x14ac:dyDescent="0.25">
      <c r="A1041" t="s">
        <v>11</v>
      </c>
      <c r="B1041">
        <v>7172010010000300</v>
      </c>
      <c r="C1041">
        <v>67</v>
      </c>
      <c r="D1041">
        <v>0</v>
      </c>
      <c r="E1041">
        <v>3</v>
      </c>
      <c r="F1041">
        <v>13</v>
      </c>
      <c r="G1041">
        <v>0</v>
      </c>
      <c r="H1041">
        <v>0</v>
      </c>
      <c r="I1041">
        <v>51</v>
      </c>
      <c r="J1041">
        <v>0</v>
      </c>
    </row>
    <row r="1042" spans="1:10" x14ac:dyDescent="0.25">
      <c r="A1042" t="s">
        <v>11</v>
      </c>
      <c r="B1042">
        <v>7172010010000500</v>
      </c>
      <c r="C1042">
        <v>61</v>
      </c>
      <c r="D1042">
        <v>0</v>
      </c>
      <c r="E1042">
        <v>0</v>
      </c>
      <c r="F1042">
        <v>61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11</v>
      </c>
      <c r="B1043">
        <v>7172010010000400</v>
      </c>
      <c r="C1043">
        <v>38</v>
      </c>
      <c r="D1043">
        <v>0</v>
      </c>
      <c r="E1043">
        <v>0</v>
      </c>
      <c r="F1043">
        <v>38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7</v>
      </c>
      <c r="B1044">
        <v>7172010008001000</v>
      </c>
      <c r="C1044">
        <v>198</v>
      </c>
      <c r="D1044">
        <v>191</v>
      </c>
      <c r="E1044">
        <v>0</v>
      </c>
      <c r="F1044">
        <v>6</v>
      </c>
      <c r="G1044">
        <v>0</v>
      </c>
      <c r="H1044">
        <v>0</v>
      </c>
      <c r="I1044">
        <v>1</v>
      </c>
      <c r="J1044">
        <v>0</v>
      </c>
    </row>
    <row r="1045" spans="1:10" x14ac:dyDescent="0.25">
      <c r="A1045" t="s">
        <v>7</v>
      </c>
      <c r="B1045">
        <v>7172010008001101</v>
      </c>
      <c r="C1045">
        <v>191</v>
      </c>
      <c r="D1045">
        <v>33</v>
      </c>
      <c r="E1045">
        <v>0</v>
      </c>
      <c r="F1045">
        <v>37</v>
      </c>
      <c r="G1045">
        <v>0</v>
      </c>
      <c r="H1045">
        <v>0</v>
      </c>
      <c r="I1045">
        <v>121</v>
      </c>
      <c r="J1045">
        <v>0</v>
      </c>
    </row>
    <row r="1046" spans="1:10" x14ac:dyDescent="0.25">
      <c r="A1046" t="s">
        <v>7</v>
      </c>
      <c r="B1046">
        <v>7172010008000800</v>
      </c>
      <c r="C1046">
        <v>160</v>
      </c>
      <c r="D1046">
        <v>159</v>
      </c>
      <c r="E1046">
        <v>0</v>
      </c>
      <c r="F1046">
        <v>1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7</v>
      </c>
      <c r="B1047">
        <v>7172010008000900</v>
      </c>
      <c r="C1047">
        <v>69</v>
      </c>
      <c r="D1047">
        <v>0</v>
      </c>
      <c r="E1047">
        <v>3</v>
      </c>
      <c r="F1047">
        <v>48</v>
      </c>
      <c r="G1047">
        <v>0</v>
      </c>
      <c r="H1047">
        <v>0</v>
      </c>
      <c r="I1047">
        <v>18</v>
      </c>
      <c r="J1047">
        <v>0</v>
      </c>
    </row>
    <row r="1048" spans="1:10" x14ac:dyDescent="0.25">
      <c r="A1048" t="s">
        <v>7</v>
      </c>
      <c r="B1048">
        <v>7172010016000200</v>
      </c>
      <c r="C1048">
        <v>51</v>
      </c>
      <c r="D1048">
        <v>0</v>
      </c>
      <c r="E1048">
        <v>0</v>
      </c>
      <c r="F1048">
        <v>51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7</v>
      </c>
      <c r="B1049">
        <v>7172010016000100</v>
      </c>
      <c r="C1049">
        <v>23</v>
      </c>
      <c r="D1049">
        <v>0</v>
      </c>
      <c r="E1049">
        <v>0</v>
      </c>
      <c r="F1049">
        <v>23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5</v>
      </c>
      <c r="B1050">
        <v>7172010008001300</v>
      </c>
      <c r="C1050">
        <v>144</v>
      </c>
      <c r="D1050">
        <v>100</v>
      </c>
      <c r="E1050">
        <v>4</v>
      </c>
      <c r="F1050">
        <v>36</v>
      </c>
      <c r="G1050">
        <v>0</v>
      </c>
      <c r="H1050">
        <v>0</v>
      </c>
      <c r="I1050">
        <v>4</v>
      </c>
      <c r="J1050">
        <v>0</v>
      </c>
    </row>
    <row r="1051" spans="1:10" x14ac:dyDescent="0.25">
      <c r="A1051" t="s">
        <v>5</v>
      </c>
      <c r="B1051">
        <v>7172010008001102</v>
      </c>
      <c r="C1051">
        <v>129</v>
      </c>
      <c r="D1051">
        <v>85</v>
      </c>
      <c r="E1051">
        <v>7</v>
      </c>
      <c r="F1051">
        <v>22</v>
      </c>
      <c r="G1051">
        <v>0</v>
      </c>
      <c r="H1051">
        <v>0</v>
      </c>
      <c r="I1051">
        <v>15</v>
      </c>
      <c r="J1051">
        <v>0</v>
      </c>
    </row>
    <row r="1052" spans="1:10" x14ac:dyDescent="0.25">
      <c r="A1052" t="s">
        <v>5</v>
      </c>
      <c r="B1052">
        <v>7172010008001400</v>
      </c>
      <c r="C1052">
        <v>116</v>
      </c>
      <c r="D1052">
        <v>106</v>
      </c>
      <c r="E1052">
        <v>2</v>
      </c>
      <c r="F1052">
        <v>6</v>
      </c>
      <c r="G1052">
        <v>0</v>
      </c>
      <c r="H1052">
        <v>0</v>
      </c>
      <c r="I1052">
        <v>2</v>
      </c>
      <c r="J1052">
        <v>0</v>
      </c>
    </row>
    <row r="1053" spans="1:10" x14ac:dyDescent="0.25">
      <c r="A1053" t="s">
        <v>5</v>
      </c>
      <c r="B1053">
        <v>7172010008000100</v>
      </c>
      <c r="C1053">
        <v>99</v>
      </c>
      <c r="D1053">
        <v>0</v>
      </c>
      <c r="E1053">
        <v>9</v>
      </c>
      <c r="F1053">
        <v>67</v>
      </c>
      <c r="G1053">
        <v>0</v>
      </c>
      <c r="H1053">
        <v>0</v>
      </c>
      <c r="I1053">
        <v>23</v>
      </c>
      <c r="J1053">
        <v>0</v>
      </c>
    </row>
    <row r="1054" spans="1:10" x14ac:dyDescent="0.25">
      <c r="A1054" t="s">
        <v>5</v>
      </c>
      <c r="B1054">
        <v>7172010008001500</v>
      </c>
      <c r="C1054">
        <v>98</v>
      </c>
      <c r="D1054">
        <v>0</v>
      </c>
      <c r="E1054">
        <v>0</v>
      </c>
      <c r="F1054">
        <v>98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5</v>
      </c>
      <c r="B1055">
        <v>7172010008001200</v>
      </c>
      <c r="C1055">
        <v>61</v>
      </c>
      <c r="D1055">
        <v>0</v>
      </c>
      <c r="E1055">
        <v>0</v>
      </c>
      <c r="F1055">
        <v>61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8</v>
      </c>
      <c r="B1056">
        <v>7172010009000300</v>
      </c>
      <c r="C1056">
        <v>87</v>
      </c>
      <c r="D1056">
        <v>87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8</v>
      </c>
      <c r="B1057">
        <v>7172010009000400</v>
      </c>
      <c r="C1057">
        <v>75</v>
      </c>
      <c r="D1057">
        <v>69</v>
      </c>
      <c r="E1057">
        <v>0</v>
      </c>
      <c r="F1057">
        <v>6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8</v>
      </c>
      <c r="B1058">
        <v>7172010015002602</v>
      </c>
      <c r="C1058">
        <v>65</v>
      </c>
      <c r="D1058">
        <v>0</v>
      </c>
      <c r="E1058">
        <v>0</v>
      </c>
      <c r="F1058">
        <v>65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t="s">
        <v>8</v>
      </c>
      <c r="B1059">
        <v>7172010009000700</v>
      </c>
      <c r="C1059">
        <v>60</v>
      </c>
      <c r="D1059">
        <v>0</v>
      </c>
      <c r="E1059">
        <v>2</v>
      </c>
      <c r="F1059">
        <v>39</v>
      </c>
      <c r="G1059">
        <v>0</v>
      </c>
      <c r="H1059">
        <v>0</v>
      </c>
      <c r="I1059">
        <v>19</v>
      </c>
      <c r="J1059">
        <v>0</v>
      </c>
    </row>
    <row r="1060" spans="1:10" x14ac:dyDescent="0.25">
      <c r="A1060" t="s">
        <v>8</v>
      </c>
      <c r="B1060">
        <v>7172010008001700</v>
      </c>
      <c r="C1060">
        <v>55</v>
      </c>
      <c r="D1060">
        <v>31</v>
      </c>
      <c r="E1060">
        <v>1</v>
      </c>
      <c r="F1060">
        <v>23</v>
      </c>
      <c r="G1060">
        <v>0</v>
      </c>
      <c r="H1060">
        <v>0</v>
      </c>
      <c r="I1060">
        <v>0</v>
      </c>
      <c r="J1060">
        <v>0</v>
      </c>
    </row>
    <row r="1061" spans="1:10" x14ac:dyDescent="0.25">
      <c r="A1061" t="s">
        <v>8</v>
      </c>
      <c r="B1061">
        <v>7172010009000100</v>
      </c>
      <c r="C1061">
        <v>54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54</v>
      </c>
      <c r="J1061">
        <v>0</v>
      </c>
    </row>
    <row r="1062" spans="1:10" x14ac:dyDescent="0.25">
      <c r="A1062" t="s">
        <v>8</v>
      </c>
      <c r="B1062">
        <v>7172010008001800</v>
      </c>
      <c r="C1062">
        <v>51</v>
      </c>
      <c r="D1062">
        <v>50</v>
      </c>
      <c r="E1062">
        <v>0</v>
      </c>
      <c r="F1062">
        <v>0</v>
      </c>
      <c r="G1062">
        <v>0</v>
      </c>
      <c r="H1062">
        <v>0</v>
      </c>
      <c r="I1062">
        <v>1</v>
      </c>
      <c r="J1062">
        <v>0</v>
      </c>
    </row>
    <row r="1063" spans="1:10" x14ac:dyDescent="0.25">
      <c r="A1063" t="s">
        <v>8</v>
      </c>
      <c r="B1063">
        <v>7172010009000600</v>
      </c>
      <c r="C1063">
        <v>47</v>
      </c>
      <c r="D1063">
        <v>0</v>
      </c>
      <c r="E1063">
        <v>0</v>
      </c>
      <c r="F1063">
        <v>3</v>
      </c>
      <c r="G1063">
        <v>0</v>
      </c>
      <c r="H1063">
        <v>0</v>
      </c>
      <c r="I1063">
        <v>44</v>
      </c>
      <c r="J1063">
        <v>0</v>
      </c>
    </row>
    <row r="1064" spans="1:10" x14ac:dyDescent="0.25">
      <c r="A1064" t="s">
        <v>8</v>
      </c>
      <c r="B1064">
        <v>7172010009000200</v>
      </c>
      <c r="C1064">
        <v>43</v>
      </c>
      <c r="D1064">
        <v>0</v>
      </c>
      <c r="E1064">
        <v>1</v>
      </c>
      <c r="F1064">
        <v>0</v>
      </c>
      <c r="G1064">
        <v>0</v>
      </c>
      <c r="H1064">
        <v>0</v>
      </c>
      <c r="I1064">
        <v>42</v>
      </c>
      <c r="J1064">
        <v>0</v>
      </c>
    </row>
    <row r="1065" spans="1:10" x14ac:dyDescent="0.25">
      <c r="A1065" t="s">
        <v>8</v>
      </c>
      <c r="B1065">
        <v>7172010009000500</v>
      </c>
      <c r="C1065">
        <v>34</v>
      </c>
      <c r="D1065">
        <v>28</v>
      </c>
      <c r="E1065">
        <v>0</v>
      </c>
      <c r="F1065">
        <v>2</v>
      </c>
      <c r="G1065">
        <v>0</v>
      </c>
      <c r="H1065">
        <v>0</v>
      </c>
      <c r="I1065">
        <v>4</v>
      </c>
      <c r="J1065">
        <v>0</v>
      </c>
    </row>
    <row r="1066" spans="1:10" x14ac:dyDescent="0.25">
      <c r="A1066" t="s">
        <v>8</v>
      </c>
      <c r="B1066">
        <v>7172010008002000</v>
      </c>
      <c r="C1066">
        <v>29</v>
      </c>
      <c r="D1066">
        <v>0</v>
      </c>
      <c r="E1066">
        <v>0</v>
      </c>
      <c r="F1066">
        <v>29</v>
      </c>
      <c r="G1066">
        <v>0</v>
      </c>
      <c r="H1066">
        <v>0</v>
      </c>
      <c r="I1066">
        <v>0</v>
      </c>
      <c r="J1066">
        <v>0</v>
      </c>
    </row>
    <row r="1067" spans="1:10" x14ac:dyDescent="0.25">
      <c r="A1067" t="s">
        <v>8</v>
      </c>
      <c r="B1067">
        <v>7172010008002100</v>
      </c>
      <c r="C1067">
        <v>21</v>
      </c>
      <c r="D1067">
        <v>0</v>
      </c>
      <c r="E1067">
        <v>0</v>
      </c>
      <c r="F1067">
        <v>21</v>
      </c>
      <c r="G1067">
        <v>0</v>
      </c>
      <c r="H1067">
        <v>0</v>
      </c>
      <c r="I1067">
        <v>0</v>
      </c>
      <c r="J1067">
        <v>0</v>
      </c>
    </row>
    <row r="1068" spans="1:10" x14ac:dyDescent="0.25">
      <c r="A1068" t="s">
        <v>8</v>
      </c>
      <c r="B1068">
        <v>7172010008001600</v>
      </c>
      <c r="C1068">
        <v>12</v>
      </c>
      <c r="D1068">
        <v>0</v>
      </c>
      <c r="E1068">
        <v>0</v>
      </c>
      <c r="F1068">
        <v>12</v>
      </c>
      <c r="G1068">
        <v>0</v>
      </c>
      <c r="H1068">
        <v>0</v>
      </c>
      <c r="I1068">
        <v>0</v>
      </c>
      <c r="J1068">
        <v>0</v>
      </c>
    </row>
    <row r="1069" spans="1:10" x14ac:dyDescent="0.25">
      <c r="A1069" t="s">
        <v>8</v>
      </c>
      <c r="B1069">
        <v>7172010008001900</v>
      </c>
      <c r="C1069">
        <v>12</v>
      </c>
      <c r="D1069">
        <v>0</v>
      </c>
      <c r="E1069">
        <v>0</v>
      </c>
      <c r="F1069">
        <v>12</v>
      </c>
      <c r="G1069">
        <v>0</v>
      </c>
      <c r="H1069">
        <v>0</v>
      </c>
      <c r="I1069">
        <v>0</v>
      </c>
      <c r="J1069">
        <v>0</v>
      </c>
    </row>
    <row r="1070" spans="1:10" x14ac:dyDescent="0.25">
      <c r="A1070" t="s">
        <v>9</v>
      </c>
      <c r="B1070">
        <v>7172010009001100</v>
      </c>
      <c r="C1070">
        <v>66</v>
      </c>
      <c r="D1070">
        <v>64</v>
      </c>
      <c r="E1070">
        <v>1</v>
      </c>
      <c r="F1070">
        <v>1</v>
      </c>
      <c r="G1070">
        <v>0</v>
      </c>
      <c r="H1070">
        <v>0</v>
      </c>
      <c r="I1070">
        <v>0</v>
      </c>
      <c r="J1070">
        <v>0</v>
      </c>
    </row>
    <row r="1071" spans="1:10" x14ac:dyDescent="0.25">
      <c r="A1071" t="s">
        <v>9</v>
      </c>
      <c r="B1071">
        <v>7172010009001300</v>
      </c>
      <c r="C1071">
        <v>65</v>
      </c>
      <c r="D1071">
        <v>30</v>
      </c>
      <c r="E1071">
        <v>1</v>
      </c>
      <c r="F1071">
        <v>8</v>
      </c>
      <c r="G1071">
        <v>0</v>
      </c>
      <c r="H1071">
        <v>0</v>
      </c>
      <c r="I1071">
        <v>26</v>
      </c>
      <c r="J1071">
        <v>0</v>
      </c>
    </row>
    <row r="1072" spans="1:10" x14ac:dyDescent="0.25">
      <c r="A1072" t="s">
        <v>9</v>
      </c>
      <c r="B1072">
        <v>7172010009001000</v>
      </c>
      <c r="C1072">
        <v>60</v>
      </c>
      <c r="D1072">
        <v>51</v>
      </c>
      <c r="E1072">
        <v>0</v>
      </c>
      <c r="F1072">
        <v>7</v>
      </c>
      <c r="G1072">
        <v>1</v>
      </c>
      <c r="H1072">
        <v>0</v>
      </c>
      <c r="I1072">
        <v>1</v>
      </c>
      <c r="J1072">
        <v>0</v>
      </c>
    </row>
    <row r="1073" spans="1:10" x14ac:dyDescent="0.25">
      <c r="A1073" t="s">
        <v>9</v>
      </c>
      <c r="B1073">
        <v>7172010009001200</v>
      </c>
      <c r="C1073">
        <v>60</v>
      </c>
      <c r="D1073">
        <v>57</v>
      </c>
      <c r="E1073">
        <v>2</v>
      </c>
      <c r="F1073">
        <v>1</v>
      </c>
      <c r="G1073">
        <v>0</v>
      </c>
      <c r="H1073">
        <v>0</v>
      </c>
      <c r="I1073">
        <v>0</v>
      </c>
      <c r="J1073">
        <v>0</v>
      </c>
    </row>
    <row r="1074" spans="1:10" x14ac:dyDescent="0.25">
      <c r="A1074" t="s">
        <v>9</v>
      </c>
      <c r="B1074">
        <v>7172010009001400</v>
      </c>
      <c r="C1074">
        <v>60</v>
      </c>
      <c r="D1074">
        <v>0</v>
      </c>
      <c r="E1074">
        <v>0</v>
      </c>
      <c r="F1074">
        <v>12</v>
      </c>
      <c r="G1074">
        <v>0</v>
      </c>
      <c r="H1074">
        <v>0</v>
      </c>
      <c r="I1074">
        <v>48</v>
      </c>
      <c r="J1074">
        <v>0</v>
      </c>
    </row>
    <row r="1075" spans="1:10" x14ac:dyDescent="0.25">
      <c r="A1075" t="s">
        <v>9</v>
      </c>
      <c r="B1075">
        <v>7172010009001900</v>
      </c>
      <c r="C1075">
        <v>54</v>
      </c>
      <c r="D1075">
        <v>0</v>
      </c>
      <c r="E1075">
        <v>0</v>
      </c>
      <c r="F1075">
        <v>54</v>
      </c>
      <c r="G1075">
        <v>0</v>
      </c>
      <c r="H1075">
        <v>0</v>
      </c>
      <c r="I1075">
        <v>0</v>
      </c>
      <c r="J1075">
        <v>0</v>
      </c>
    </row>
    <row r="1076" spans="1:10" x14ac:dyDescent="0.25">
      <c r="A1076" t="s">
        <v>9</v>
      </c>
      <c r="B1076">
        <v>7172010009001700</v>
      </c>
      <c r="C1076">
        <v>51</v>
      </c>
      <c r="D1076">
        <v>0</v>
      </c>
      <c r="E1076">
        <v>0</v>
      </c>
      <c r="F1076">
        <v>51</v>
      </c>
      <c r="G1076">
        <v>0</v>
      </c>
      <c r="H1076">
        <v>0</v>
      </c>
      <c r="I1076">
        <v>0</v>
      </c>
      <c r="J1076">
        <v>0</v>
      </c>
    </row>
    <row r="1077" spans="1:10" x14ac:dyDescent="0.25">
      <c r="A1077" t="s">
        <v>9</v>
      </c>
      <c r="B1077">
        <v>7172010009000900</v>
      </c>
      <c r="C1077">
        <v>48</v>
      </c>
      <c r="D1077">
        <v>44</v>
      </c>
      <c r="E1077">
        <v>1</v>
      </c>
      <c r="F1077">
        <v>2</v>
      </c>
      <c r="G1077">
        <v>0</v>
      </c>
      <c r="H1077">
        <v>0</v>
      </c>
      <c r="I1077">
        <v>1</v>
      </c>
      <c r="J1077">
        <v>0</v>
      </c>
    </row>
    <row r="1078" spans="1:10" x14ac:dyDescent="0.25">
      <c r="A1078" t="s">
        <v>9</v>
      </c>
      <c r="B1078">
        <v>7172010009001500</v>
      </c>
      <c r="C1078">
        <v>48</v>
      </c>
      <c r="D1078">
        <v>0</v>
      </c>
      <c r="E1078">
        <v>0</v>
      </c>
      <c r="F1078">
        <v>19</v>
      </c>
      <c r="G1078">
        <v>0</v>
      </c>
      <c r="H1078">
        <v>0</v>
      </c>
      <c r="I1078">
        <v>29</v>
      </c>
      <c r="J1078">
        <v>0</v>
      </c>
    </row>
    <row r="1079" spans="1:10" x14ac:dyDescent="0.25">
      <c r="A1079" t="s">
        <v>9</v>
      </c>
      <c r="B1079">
        <v>7172010009001600</v>
      </c>
      <c r="C1079">
        <v>45</v>
      </c>
      <c r="D1079">
        <v>0</v>
      </c>
      <c r="E1079">
        <v>0</v>
      </c>
      <c r="F1079">
        <v>32</v>
      </c>
      <c r="G1079">
        <v>0</v>
      </c>
      <c r="H1079">
        <v>0</v>
      </c>
      <c r="I1079">
        <v>13</v>
      </c>
      <c r="J1079">
        <v>0</v>
      </c>
    </row>
    <row r="1080" spans="1:10" x14ac:dyDescent="0.25">
      <c r="A1080" t="s">
        <v>9</v>
      </c>
      <c r="B1080">
        <v>7172010015000900</v>
      </c>
      <c r="C1080">
        <v>42</v>
      </c>
      <c r="D1080">
        <v>0</v>
      </c>
      <c r="E1080">
        <v>1</v>
      </c>
      <c r="F1080">
        <v>41</v>
      </c>
      <c r="G1080">
        <v>0</v>
      </c>
      <c r="H1080">
        <v>0</v>
      </c>
      <c r="I1080">
        <v>0</v>
      </c>
      <c r="J1080">
        <v>0</v>
      </c>
    </row>
    <row r="1081" spans="1:10" x14ac:dyDescent="0.25">
      <c r="A1081" t="s">
        <v>9</v>
      </c>
      <c r="B1081">
        <v>7172010009000800</v>
      </c>
      <c r="C1081">
        <v>36</v>
      </c>
      <c r="D1081">
        <v>35</v>
      </c>
      <c r="E1081">
        <v>0</v>
      </c>
      <c r="F1081">
        <v>1</v>
      </c>
      <c r="G1081">
        <v>0</v>
      </c>
      <c r="H1081">
        <v>0</v>
      </c>
      <c r="I1081">
        <v>0</v>
      </c>
      <c r="J1081">
        <v>0</v>
      </c>
    </row>
    <row r="1082" spans="1:10" x14ac:dyDescent="0.25">
      <c r="A1082" t="s">
        <v>9</v>
      </c>
      <c r="B1082">
        <v>7172010009002000</v>
      </c>
      <c r="C1082">
        <v>33</v>
      </c>
      <c r="D1082">
        <v>0</v>
      </c>
      <c r="E1082">
        <v>0</v>
      </c>
      <c r="F1082">
        <v>33</v>
      </c>
      <c r="G1082">
        <v>0</v>
      </c>
      <c r="H1082">
        <v>0</v>
      </c>
      <c r="I1082">
        <v>0</v>
      </c>
      <c r="J1082">
        <v>0</v>
      </c>
    </row>
    <row r="1083" spans="1:10" x14ac:dyDescent="0.25">
      <c r="A1083" t="s">
        <v>9</v>
      </c>
      <c r="B1083">
        <v>7172010009001800</v>
      </c>
      <c r="C1083">
        <v>18</v>
      </c>
      <c r="D1083">
        <v>0</v>
      </c>
      <c r="E1083">
        <v>0</v>
      </c>
      <c r="F1083">
        <v>18</v>
      </c>
      <c r="G1083">
        <v>0</v>
      </c>
      <c r="H1083">
        <v>0</v>
      </c>
      <c r="I1083">
        <v>0</v>
      </c>
      <c r="J1083">
        <v>0</v>
      </c>
    </row>
    <row r="1084" spans="1:10" x14ac:dyDescent="0.25">
      <c r="A1084" t="s">
        <v>15</v>
      </c>
      <c r="B1084">
        <v>7172010011002200</v>
      </c>
      <c r="C1084">
        <v>89</v>
      </c>
      <c r="D1084">
        <v>85</v>
      </c>
      <c r="E1084">
        <v>1</v>
      </c>
      <c r="F1084">
        <v>3</v>
      </c>
      <c r="G1084">
        <v>0</v>
      </c>
      <c r="H1084">
        <v>0</v>
      </c>
      <c r="I1084">
        <v>0</v>
      </c>
      <c r="J1084">
        <v>0</v>
      </c>
    </row>
    <row r="1085" spans="1:10" x14ac:dyDescent="0.25">
      <c r="A1085" t="s">
        <v>15</v>
      </c>
      <c r="B1085">
        <v>7172010012000300</v>
      </c>
      <c r="C1085">
        <v>82</v>
      </c>
      <c r="D1085">
        <v>81</v>
      </c>
      <c r="E1085">
        <v>0</v>
      </c>
      <c r="F1085">
        <v>0</v>
      </c>
      <c r="G1085">
        <v>1</v>
      </c>
      <c r="H1085">
        <v>0</v>
      </c>
      <c r="I1085">
        <v>0</v>
      </c>
      <c r="J1085">
        <v>0</v>
      </c>
    </row>
    <row r="1086" spans="1:10" x14ac:dyDescent="0.25">
      <c r="A1086" t="s">
        <v>15</v>
      </c>
      <c r="B1086">
        <v>7172010012001100</v>
      </c>
      <c r="C1086">
        <v>80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80</v>
      </c>
      <c r="J1086">
        <v>0</v>
      </c>
    </row>
    <row r="1087" spans="1:10" x14ac:dyDescent="0.25">
      <c r="A1087" t="s">
        <v>15</v>
      </c>
      <c r="B1087">
        <v>7172010012001000</v>
      </c>
      <c r="C1087">
        <v>79</v>
      </c>
      <c r="D1087">
        <v>63</v>
      </c>
      <c r="E1087">
        <v>0</v>
      </c>
      <c r="F1087">
        <v>4</v>
      </c>
      <c r="G1087">
        <v>0</v>
      </c>
      <c r="H1087">
        <v>0</v>
      </c>
      <c r="I1087">
        <v>12</v>
      </c>
      <c r="J1087">
        <v>0</v>
      </c>
    </row>
    <row r="1088" spans="1:10" x14ac:dyDescent="0.25">
      <c r="A1088" t="s">
        <v>15</v>
      </c>
      <c r="B1088">
        <v>7172010012000700</v>
      </c>
      <c r="C1088">
        <v>76</v>
      </c>
      <c r="D1088">
        <v>74</v>
      </c>
      <c r="E1088">
        <v>0</v>
      </c>
      <c r="F1088">
        <v>1</v>
      </c>
      <c r="G1088">
        <v>1</v>
      </c>
      <c r="H1088">
        <v>0</v>
      </c>
      <c r="I1088">
        <v>0</v>
      </c>
      <c r="J1088">
        <v>0</v>
      </c>
    </row>
    <row r="1089" spans="1:10" x14ac:dyDescent="0.25">
      <c r="A1089" t="s">
        <v>15</v>
      </c>
      <c r="B1089">
        <v>7172010012000500</v>
      </c>
      <c r="C1089">
        <v>70</v>
      </c>
      <c r="D1089">
        <v>58</v>
      </c>
      <c r="E1089">
        <v>0</v>
      </c>
      <c r="F1089">
        <v>11</v>
      </c>
      <c r="G1089">
        <v>1</v>
      </c>
      <c r="H1089">
        <v>0</v>
      </c>
      <c r="I1089">
        <v>0</v>
      </c>
      <c r="J1089">
        <v>0</v>
      </c>
    </row>
    <row r="1090" spans="1:10" x14ac:dyDescent="0.25">
      <c r="A1090" t="s">
        <v>15</v>
      </c>
      <c r="B1090">
        <v>7172010012000100</v>
      </c>
      <c r="C1090">
        <v>50</v>
      </c>
      <c r="D1090">
        <v>41</v>
      </c>
      <c r="E1090">
        <v>0</v>
      </c>
      <c r="F1090">
        <v>9</v>
      </c>
      <c r="G1090">
        <v>0</v>
      </c>
      <c r="H1090">
        <v>0</v>
      </c>
      <c r="I1090">
        <v>0</v>
      </c>
      <c r="J1090">
        <v>0</v>
      </c>
    </row>
    <row r="1091" spans="1:10" x14ac:dyDescent="0.25">
      <c r="A1091" t="s">
        <v>15</v>
      </c>
      <c r="B1091">
        <v>7172010012000200</v>
      </c>
      <c r="C1091">
        <v>48</v>
      </c>
      <c r="D1091">
        <v>48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</row>
    <row r="1092" spans="1:10" x14ac:dyDescent="0.25">
      <c r="A1092" t="s">
        <v>15</v>
      </c>
      <c r="B1092">
        <v>7172010012001200</v>
      </c>
      <c r="C1092">
        <v>46</v>
      </c>
      <c r="D1092">
        <v>0</v>
      </c>
      <c r="E1092">
        <v>0</v>
      </c>
      <c r="F1092">
        <v>13</v>
      </c>
      <c r="G1092">
        <v>0</v>
      </c>
      <c r="H1092">
        <v>0</v>
      </c>
      <c r="I1092">
        <v>33</v>
      </c>
      <c r="J1092">
        <v>0</v>
      </c>
    </row>
    <row r="1093" spans="1:10" x14ac:dyDescent="0.25">
      <c r="A1093" t="s">
        <v>15</v>
      </c>
      <c r="B1093">
        <v>7172010012000900</v>
      </c>
      <c r="C1093">
        <v>39</v>
      </c>
      <c r="D1093">
        <v>0</v>
      </c>
      <c r="E1093">
        <v>0</v>
      </c>
      <c r="F1093">
        <v>14</v>
      </c>
      <c r="G1093">
        <v>0</v>
      </c>
      <c r="H1093">
        <v>0</v>
      </c>
      <c r="I1093">
        <v>25</v>
      </c>
      <c r="J1093">
        <v>0</v>
      </c>
    </row>
    <row r="1094" spans="1:10" x14ac:dyDescent="0.25">
      <c r="A1094" t="s">
        <v>15</v>
      </c>
      <c r="B1094">
        <v>7172010012000400</v>
      </c>
      <c r="C1094">
        <v>38</v>
      </c>
      <c r="D1094">
        <v>31</v>
      </c>
      <c r="E1094">
        <v>0</v>
      </c>
      <c r="F1094">
        <v>7</v>
      </c>
      <c r="G1094">
        <v>0</v>
      </c>
      <c r="H1094">
        <v>0</v>
      </c>
      <c r="I1094">
        <v>0</v>
      </c>
      <c r="J1094">
        <v>0</v>
      </c>
    </row>
    <row r="1095" spans="1:10" x14ac:dyDescent="0.25">
      <c r="A1095" t="s">
        <v>15</v>
      </c>
      <c r="B1095">
        <v>7172010012000600</v>
      </c>
      <c r="C1095">
        <v>38</v>
      </c>
      <c r="D1095">
        <v>0</v>
      </c>
      <c r="E1095">
        <v>0</v>
      </c>
      <c r="F1095">
        <v>37</v>
      </c>
      <c r="G1095">
        <v>0</v>
      </c>
      <c r="H1095">
        <v>0</v>
      </c>
      <c r="I1095">
        <v>1</v>
      </c>
      <c r="J1095">
        <v>0</v>
      </c>
    </row>
    <row r="1096" spans="1:10" x14ac:dyDescent="0.25">
      <c r="A1096" t="s">
        <v>15</v>
      </c>
      <c r="B1096">
        <v>7172010012000800</v>
      </c>
      <c r="C1096">
        <v>23</v>
      </c>
      <c r="D1096">
        <v>0</v>
      </c>
      <c r="E1096">
        <v>0</v>
      </c>
      <c r="F1096">
        <v>22</v>
      </c>
      <c r="G1096">
        <v>0</v>
      </c>
      <c r="H1096">
        <v>0</v>
      </c>
      <c r="I1096">
        <v>1</v>
      </c>
      <c r="J1096">
        <v>0</v>
      </c>
    </row>
    <row r="1097" spans="1:10" x14ac:dyDescent="0.25">
      <c r="A1097" t="s">
        <v>23</v>
      </c>
      <c r="B1097">
        <v>7172010015003200</v>
      </c>
      <c r="C1097">
        <v>199</v>
      </c>
      <c r="D1097">
        <v>13</v>
      </c>
      <c r="E1097">
        <v>14</v>
      </c>
      <c r="F1097">
        <v>93</v>
      </c>
      <c r="G1097">
        <v>0</v>
      </c>
      <c r="H1097">
        <v>0</v>
      </c>
      <c r="I1097">
        <v>79</v>
      </c>
      <c r="J1097">
        <v>0</v>
      </c>
    </row>
    <row r="1098" spans="1:10" x14ac:dyDescent="0.25">
      <c r="A1098" t="s">
        <v>23</v>
      </c>
      <c r="B1098">
        <v>7172010015003100</v>
      </c>
      <c r="C1098">
        <v>146</v>
      </c>
      <c r="D1098">
        <v>122</v>
      </c>
      <c r="E1098">
        <v>4</v>
      </c>
      <c r="F1098">
        <v>18</v>
      </c>
      <c r="G1098">
        <v>2</v>
      </c>
      <c r="H1098">
        <v>0</v>
      </c>
      <c r="I1098">
        <v>0</v>
      </c>
      <c r="J1098">
        <v>0</v>
      </c>
    </row>
    <row r="1099" spans="1:10" x14ac:dyDescent="0.25">
      <c r="A1099" t="s">
        <v>23</v>
      </c>
      <c r="B1099">
        <v>7172010015002700</v>
      </c>
      <c r="C1099">
        <v>101</v>
      </c>
      <c r="D1099">
        <v>32</v>
      </c>
      <c r="E1099">
        <v>4</v>
      </c>
      <c r="F1099">
        <v>62</v>
      </c>
      <c r="G1099">
        <v>0</v>
      </c>
      <c r="H1099">
        <v>0</v>
      </c>
      <c r="I1099">
        <v>3</v>
      </c>
      <c r="J1099">
        <v>0</v>
      </c>
    </row>
    <row r="1100" spans="1:10" x14ac:dyDescent="0.25">
      <c r="A1100" t="s">
        <v>23</v>
      </c>
      <c r="B1100">
        <v>7172010015002900</v>
      </c>
      <c r="C1100">
        <v>89</v>
      </c>
      <c r="D1100">
        <v>59</v>
      </c>
      <c r="E1100">
        <v>0</v>
      </c>
      <c r="F1100">
        <v>24</v>
      </c>
      <c r="G1100">
        <v>0</v>
      </c>
      <c r="H1100">
        <v>0</v>
      </c>
      <c r="I1100">
        <v>6</v>
      </c>
      <c r="J1100">
        <v>0</v>
      </c>
    </row>
    <row r="1101" spans="1:10" x14ac:dyDescent="0.25">
      <c r="A1101" t="s">
        <v>23</v>
      </c>
      <c r="B1101">
        <v>7172010015003000</v>
      </c>
      <c r="C1101">
        <v>69</v>
      </c>
      <c r="D1101">
        <v>37</v>
      </c>
      <c r="E1101">
        <v>6</v>
      </c>
      <c r="F1101">
        <v>26</v>
      </c>
      <c r="G1101">
        <v>0</v>
      </c>
      <c r="H1101">
        <v>0</v>
      </c>
      <c r="I1101">
        <v>0</v>
      </c>
      <c r="J1101">
        <v>0</v>
      </c>
    </row>
    <row r="1102" spans="1:10" x14ac:dyDescent="0.25">
      <c r="A1102" t="s">
        <v>23</v>
      </c>
      <c r="B1102">
        <v>7172010015002800</v>
      </c>
      <c r="C1102">
        <v>60</v>
      </c>
      <c r="D1102">
        <v>36</v>
      </c>
      <c r="E1102">
        <v>4</v>
      </c>
      <c r="F1102">
        <v>19</v>
      </c>
      <c r="G1102">
        <v>0</v>
      </c>
      <c r="H1102">
        <v>0</v>
      </c>
      <c r="I1102">
        <v>1</v>
      </c>
      <c r="J1102">
        <v>0</v>
      </c>
    </row>
    <row r="1103" spans="1:10" x14ac:dyDescent="0.25">
      <c r="A1103" t="s">
        <v>23</v>
      </c>
      <c r="B1103">
        <v>7172010015001200</v>
      </c>
      <c r="C1103">
        <v>39</v>
      </c>
      <c r="D1103">
        <v>19</v>
      </c>
      <c r="E1103">
        <v>0</v>
      </c>
      <c r="F1103">
        <v>20</v>
      </c>
      <c r="G1103">
        <v>0</v>
      </c>
      <c r="H1103">
        <v>0</v>
      </c>
      <c r="I1103">
        <v>0</v>
      </c>
      <c r="J1103">
        <v>0</v>
      </c>
    </row>
    <row r="1104" spans="1:10" x14ac:dyDescent="0.25">
      <c r="A1104" t="s">
        <v>237</v>
      </c>
      <c r="B1104">
        <v>7172010017001200</v>
      </c>
      <c r="C1104">
        <v>167</v>
      </c>
      <c r="D1104">
        <v>160</v>
      </c>
      <c r="E1104">
        <v>2</v>
      </c>
      <c r="F1104">
        <v>0</v>
      </c>
      <c r="G1104">
        <v>3</v>
      </c>
      <c r="H1104">
        <v>0</v>
      </c>
      <c r="I1104">
        <v>2</v>
      </c>
      <c r="J1104">
        <v>0</v>
      </c>
    </row>
    <row r="1105" spans="1:10" x14ac:dyDescent="0.25">
      <c r="A1105" t="s">
        <v>237</v>
      </c>
      <c r="B1105">
        <v>7172010017000800</v>
      </c>
      <c r="C1105">
        <v>98</v>
      </c>
      <c r="D1105">
        <v>96</v>
      </c>
      <c r="E1105">
        <v>0</v>
      </c>
      <c r="F1105">
        <v>0</v>
      </c>
      <c r="G1105">
        <v>2</v>
      </c>
      <c r="H1105">
        <v>0</v>
      </c>
      <c r="I1105">
        <v>0</v>
      </c>
      <c r="J1105">
        <v>0</v>
      </c>
    </row>
    <row r="1106" spans="1:10" x14ac:dyDescent="0.25">
      <c r="A1106" t="s">
        <v>237</v>
      </c>
      <c r="B1106">
        <v>7172010017001100</v>
      </c>
      <c r="C1106">
        <v>85</v>
      </c>
      <c r="D1106">
        <v>11</v>
      </c>
      <c r="E1106">
        <v>7</v>
      </c>
      <c r="F1106">
        <v>34</v>
      </c>
      <c r="G1106">
        <v>0</v>
      </c>
      <c r="H1106">
        <v>0</v>
      </c>
      <c r="I1106">
        <v>33</v>
      </c>
      <c r="J1106">
        <v>0</v>
      </c>
    </row>
    <row r="1107" spans="1:10" x14ac:dyDescent="0.25">
      <c r="A1107" t="s">
        <v>237</v>
      </c>
      <c r="B1107">
        <v>7172010017001400</v>
      </c>
      <c r="C1107">
        <v>60</v>
      </c>
      <c r="D1107">
        <v>0</v>
      </c>
      <c r="E1107">
        <v>0</v>
      </c>
      <c r="F1107">
        <v>60</v>
      </c>
      <c r="G1107">
        <v>0</v>
      </c>
      <c r="H1107">
        <v>0</v>
      </c>
      <c r="I1107">
        <v>0</v>
      </c>
      <c r="J1107">
        <v>0</v>
      </c>
    </row>
    <row r="1108" spans="1:10" x14ac:dyDescent="0.25">
      <c r="A1108" t="s">
        <v>237</v>
      </c>
      <c r="B1108">
        <v>7172010017000700</v>
      </c>
      <c r="C1108">
        <v>55</v>
      </c>
      <c r="D1108">
        <v>0</v>
      </c>
      <c r="E1108">
        <v>0</v>
      </c>
      <c r="F1108">
        <v>55</v>
      </c>
      <c r="G1108">
        <v>0</v>
      </c>
      <c r="H1108">
        <v>0</v>
      </c>
      <c r="I1108">
        <v>0</v>
      </c>
      <c r="J1108">
        <v>0</v>
      </c>
    </row>
    <row r="1109" spans="1:10" x14ac:dyDescent="0.25">
      <c r="A1109" t="s">
        <v>237</v>
      </c>
      <c r="B1109">
        <v>7172010017000900</v>
      </c>
      <c r="C1109">
        <v>55</v>
      </c>
      <c r="D1109">
        <v>0</v>
      </c>
      <c r="E1109">
        <v>0</v>
      </c>
      <c r="F1109">
        <v>55</v>
      </c>
      <c r="G1109">
        <v>0</v>
      </c>
      <c r="H1109">
        <v>0</v>
      </c>
      <c r="I1109">
        <v>0</v>
      </c>
      <c r="J1109">
        <v>0</v>
      </c>
    </row>
    <row r="1110" spans="1:10" x14ac:dyDescent="0.25">
      <c r="A1110" t="s">
        <v>237</v>
      </c>
      <c r="B1110">
        <v>7172010017001000</v>
      </c>
      <c r="C1110">
        <v>55</v>
      </c>
      <c r="D1110">
        <v>18</v>
      </c>
      <c r="E1110">
        <v>7</v>
      </c>
      <c r="F1110">
        <v>7</v>
      </c>
      <c r="G1110">
        <v>0</v>
      </c>
      <c r="H1110">
        <v>0</v>
      </c>
      <c r="I1110">
        <v>23</v>
      </c>
      <c r="J1110">
        <v>0</v>
      </c>
    </row>
    <row r="1111" spans="1:10" x14ac:dyDescent="0.25">
      <c r="A1111" t="s">
        <v>237</v>
      </c>
      <c r="B1111">
        <v>7172010017000500</v>
      </c>
      <c r="C1111">
        <v>47</v>
      </c>
      <c r="D1111">
        <v>0</v>
      </c>
      <c r="E1111">
        <v>0</v>
      </c>
      <c r="F1111">
        <v>47</v>
      </c>
      <c r="G1111">
        <v>0</v>
      </c>
      <c r="H1111">
        <v>0</v>
      </c>
      <c r="I1111">
        <v>0</v>
      </c>
      <c r="J1111">
        <v>0</v>
      </c>
    </row>
    <row r="1112" spans="1:10" x14ac:dyDescent="0.25">
      <c r="A1112" t="s">
        <v>237</v>
      </c>
      <c r="B1112">
        <v>7172010017000600</v>
      </c>
      <c r="C1112">
        <v>38</v>
      </c>
      <c r="D1112">
        <v>0</v>
      </c>
      <c r="E1112">
        <v>0</v>
      </c>
      <c r="F1112">
        <v>38</v>
      </c>
      <c r="G1112">
        <v>0</v>
      </c>
      <c r="H1112">
        <v>0</v>
      </c>
      <c r="I1112">
        <v>0</v>
      </c>
      <c r="J1112">
        <v>0</v>
      </c>
    </row>
    <row r="1113" spans="1:10" x14ac:dyDescent="0.25">
      <c r="A1113" t="s">
        <v>14</v>
      </c>
      <c r="B1113">
        <v>7172010011001900</v>
      </c>
      <c r="C1113">
        <v>63</v>
      </c>
      <c r="D1113">
        <v>0</v>
      </c>
      <c r="E1113">
        <v>0</v>
      </c>
      <c r="F1113">
        <v>63</v>
      </c>
      <c r="G1113">
        <v>0</v>
      </c>
      <c r="H1113">
        <v>0</v>
      </c>
      <c r="I1113">
        <v>0</v>
      </c>
      <c r="J1113">
        <v>0</v>
      </c>
    </row>
    <row r="1114" spans="1:10" x14ac:dyDescent="0.25">
      <c r="A1114" t="s">
        <v>14</v>
      </c>
      <c r="B1114">
        <v>7172010011002000</v>
      </c>
      <c r="C1114">
        <v>63</v>
      </c>
      <c r="D1114">
        <v>0</v>
      </c>
      <c r="E1114">
        <v>0</v>
      </c>
      <c r="F1114">
        <v>63</v>
      </c>
      <c r="G1114">
        <v>0</v>
      </c>
      <c r="H1114">
        <v>0</v>
      </c>
      <c r="I1114">
        <v>0</v>
      </c>
      <c r="J1114">
        <v>0</v>
      </c>
    </row>
    <row r="1115" spans="1:10" x14ac:dyDescent="0.25">
      <c r="A1115" t="s">
        <v>14</v>
      </c>
      <c r="B1115">
        <v>7172010011000700</v>
      </c>
      <c r="C1115">
        <v>61</v>
      </c>
      <c r="D1115">
        <v>60</v>
      </c>
      <c r="E1115">
        <v>0</v>
      </c>
      <c r="F1115">
        <v>0</v>
      </c>
      <c r="G1115">
        <v>0</v>
      </c>
      <c r="H1115">
        <v>0</v>
      </c>
      <c r="I1115">
        <v>1</v>
      </c>
      <c r="J1115">
        <v>0</v>
      </c>
    </row>
    <row r="1116" spans="1:10" x14ac:dyDescent="0.25">
      <c r="A1116" t="s">
        <v>14</v>
      </c>
      <c r="B1116">
        <v>7172010011001800</v>
      </c>
      <c r="C1116">
        <v>61</v>
      </c>
      <c r="D1116">
        <v>60</v>
      </c>
      <c r="E1116">
        <v>0</v>
      </c>
      <c r="F1116">
        <v>1</v>
      </c>
      <c r="G1116">
        <v>0</v>
      </c>
      <c r="H1116">
        <v>0</v>
      </c>
      <c r="I1116">
        <v>0</v>
      </c>
      <c r="J1116">
        <v>0</v>
      </c>
    </row>
    <row r="1117" spans="1:10" x14ac:dyDescent="0.25">
      <c r="A1117" t="s">
        <v>14</v>
      </c>
      <c r="B1117">
        <v>7172010011000800</v>
      </c>
      <c r="C1117">
        <v>55</v>
      </c>
      <c r="D1117">
        <v>55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</row>
    <row r="1118" spans="1:10" x14ac:dyDescent="0.25">
      <c r="A1118" t="s">
        <v>14</v>
      </c>
      <c r="B1118">
        <v>7172010011001400</v>
      </c>
      <c r="C1118">
        <v>46</v>
      </c>
      <c r="D1118">
        <v>46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</row>
    <row r="1119" spans="1:10" x14ac:dyDescent="0.25">
      <c r="A1119" t="s">
        <v>14</v>
      </c>
      <c r="B1119">
        <v>7172010011001500</v>
      </c>
      <c r="C1119">
        <v>42</v>
      </c>
      <c r="D1119">
        <v>0</v>
      </c>
      <c r="E1119">
        <v>1</v>
      </c>
      <c r="F1119">
        <v>6</v>
      </c>
      <c r="G1119">
        <v>0</v>
      </c>
      <c r="H1119">
        <v>0</v>
      </c>
      <c r="I1119">
        <v>35</v>
      </c>
      <c r="J1119">
        <v>0</v>
      </c>
    </row>
    <row r="1120" spans="1:10" x14ac:dyDescent="0.25">
      <c r="A1120" t="s">
        <v>14</v>
      </c>
      <c r="B1120">
        <v>7172010011001700</v>
      </c>
      <c r="C1120">
        <v>40</v>
      </c>
      <c r="D1120">
        <v>0</v>
      </c>
      <c r="E1120">
        <v>0</v>
      </c>
      <c r="F1120">
        <v>3</v>
      </c>
      <c r="G1120">
        <v>0</v>
      </c>
      <c r="H1120">
        <v>0</v>
      </c>
      <c r="I1120">
        <v>37</v>
      </c>
      <c r="J1120">
        <v>0</v>
      </c>
    </row>
    <row r="1121" spans="1:10" x14ac:dyDescent="0.25">
      <c r="A1121" t="s">
        <v>14</v>
      </c>
      <c r="B1121">
        <v>7172010011002100</v>
      </c>
      <c r="C1121">
        <v>39</v>
      </c>
      <c r="D1121">
        <v>0</v>
      </c>
      <c r="E1121">
        <v>0</v>
      </c>
      <c r="F1121">
        <v>39</v>
      </c>
      <c r="G1121">
        <v>0</v>
      </c>
      <c r="H1121">
        <v>0</v>
      </c>
      <c r="I1121">
        <v>0</v>
      </c>
      <c r="J1121">
        <v>0</v>
      </c>
    </row>
    <row r="1122" spans="1:10" x14ac:dyDescent="0.25">
      <c r="A1122" t="s">
        <v>14</v>
      </c>
      <c r="B1122">
        <v>7172010011001200</v>
      </c>
      <c r="C1122">
        <v>37</v>
      </c>
      <c r="D1122">
        <v>36</v>
      </c>
      <c r="E1122">
        <v>1</v>
      </c>
      <c r="F1122">
        <v>0</v>
      </c>
      <c r="G1122">
        <v>0</v>
      </c>
      <c r="H1122">
        <v>0</v>
      </c>
      <c r="I1122">
        <v>0</v>
      </c>
      <c r="J1122">
        <v>0</v>
      </c>
    </row>
    <row r="1123" spans="1:10" x14ac:dyDescent="0.25">
      <c r="A1123" t="s">
        <v>14</v>
      </c>
      <c r="B1123">
        <v>7172010011000900</v>
      </c>
      <c r="C1123">
        <v>36</v>
      </c>
      <c r="D1123">
        <v>21</v>
      </c>
      <c r="E1123">
        <v>3</v>
      </c>
      <c r="F1123">
        <v>2</v>
      </c>
      <c r="G1123">
        <v>0</v>
      </c>
      <c r="H1123">
        <v>0</v>
      </c>
      <c r="I1123">
        <v>10</v>
      </c>
      <c r="J1123">
        <v>0</v>
      </c>
    </row>
    <row r="1124" spans="1:10" x14ac:dyDescent="0.25">
      <c r="A1124" t="s">
        <v>14</v>
      </c>
      <c r="B1124">
        <v>7172010011001000</v>
      </c>
      <c r="C1124">
        <v>34</v>
      </c>
      <c r="D1124">
        <v>0</v>
      </c>
      <c r="E1124">
        <v>0</v>
      </c>
      <c r="F1124">
        <v>32</v>
      </c>
      <c r="G1124">
        <v>0</v>
      </c>
      <c r="H1124">
        <v>0</v>
      </c>
      <c r="I1124">
        <v>2</v>
      </c>
      <c r="J1124">
        <v>0</v>
      </c>
    </row>
    <row r="1125" spans="1:10" x14ac:dyDescent="0.25">
      <c r="A1125" t="s">
        <v>14</v>
      </c>
      <c r="B1125">
        <v>7172010011001100</v>
      </c>
      <c r="C1125">
        <v>31</v>
      </c>
      <c r="D1125">
        <v>0</v>
      </c>
      <c r="E1125">
        <v>0</v>
      </c>
      <c r="F1125">
        <v>31</v>
      </c>
      <c r="G1125">
        <v>0</v>
      </c>
      <c r="H1125">
        <v>0</v>
      </c>
      <c r="I1125">
        <v>0</v>
      </c>
      <c r="J1125">
        <v>0</v>
      </c>
    </row>
    <row r="1126" spans="1:10" x14ac:dyDescent="0.25">
      <c r="A1126" t="s">
        <v>14</v>
      </c>
      <c r="B1126">
        <v>7172010011001600</v>
      </c>
      <c r="C1126">
        <v>28</v>
      </c>
      <c r="D1126">
        <v>0</v>
      </c>
      <c r="E1126">
        <v>0</v>
      </c>
      <c r="F1126">
        <v>24</v>
      </c>
      <c r="G1126">
        <v>0</v>
      </c>
      <c r="H1126">
        <v>0</v>
      </c>
      <c r="I1126">
        <v>4</v>
      </c>
      <c r="J1126">
        <v>0</v>
      </c>
    </row>
    <row r="1127" spans="1:10" x14ac:dyDescent="0.25">
      <c r="A1127" t="s">
        <v>14</v>
      </c>
      <c r="B1127">
        <v>7172010011001300</v>
      </c>
      <c r="C1127">
        <v>23</v>
      </c>
      <c r="D1127">
        <v>22</v>
      </c>
      <c r="E1127">
        <v>0</v>
      </c>
      <c r="F1127">
        <v>0</v>
      </c>
      <c r="G1127">
        <v>0</v>
      </c>
      <c r="H1127">
        <v>0</v>
      </c>
      <c r="I1127">
        <v>1</v>
      </c>
      <c r="J1127">
        <v>0</v>
      </c>
    </row>
    <row r="1128" spans="1:10" x14ac:dyDescent="0.25">
      <c r="A1128" t="s">
        <v>21</v>
      </c>
      <c r="B1128">
        <v>7172010015001800</v>
      </c>
      <c r="C1128">
        <v>180</v>
      </c>
      <c r="D1128">
        <v>0</v>
      </c>
      <c r="E1128">
        <v>0</v>
      </c>
      <c r="F1128">
        <v>98</v>
      </c>
      <c r="G1128">
        <v>0</v>
      </c>
      <c r="H1128">
        <v>0</v>
      </c>
      <c r="I1128">
        <v>82</v>
      </c>
      <c r="J1128">
        <v>0</v>
      </c>
    </row>
    <row r="1129" spans="1:10" x14ac:dyDescent="0.25">
      <c r="A1129" t="s">
        <v>21</v>
      </c>
      <c r="B1129">
        <v>7172010015001600</v>
      </c>
      <c r="C1129">
        <v>142</v>
      </c>
      <c r="D1129">
        <v>138</v>
      </c>
      <c r="E1129">
        <v>0</v>
      </c>
      <c r="F1129">
        <v>3</v>
      </c>
      <c r="G1129">
        <v>0</v>
      </c>
      <c r="H1129">
        <v>0</v>
      </c>
      <c r="I1129">
        <v>1</v>
      </c>
      <c r="J1129">
        <v>0</v>
      </c>
    </row>
    <row r="1130" spans="1:10" x14ac:dyDescent="0.25">
      <c r="A1130" t="s">
        <v>21</v>
      </c>
      <c r="B1130">
        <v>7172010015001500</v>
      </c>
      <c r="C1130">
        <v>118</v>
      </c>
      <c r="D1130">
        <v>118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</row>
    <row r="1131" spans="1:10" x14ac:dyDescent="0.25">
      <c r="A1131" t="s">
        <v>21</v>
      </c>
      <c r="B1131">
        <v>7172010015001900</v>
      </c>
      <c r="C1131">
        <v>87</v>
      </c>
      <c r="D1131">
        <v>0</v>
      </c>
      <c r="E1131">
        <v>0</v>
      </c>
      <c r="F1131">
        <v>87</v>
      </c>
      <c r="G1131">
        <v>0</v>
      </c>
      <c r="H1131">
        <v>0</v>
      </c>
      <c r="I1131">
        <v>0</v>
      </c>
      <c r="J1131">
        <v>0</v>
      </c>
    </row>
    <row r="1132" spans="1:10" x14ac:dyDescent="0.25">
      <c r="A1132" t="s">
        <v>21</v>
      </c>
      <c r="B1132">
        <v>7172010015001700</v>
      </c>
      <c r="C1132">
        <v>68</v>
      </c>
      <c r="D1132">
        <v>67</v>
      </c>
      <c r="E1132">
        <v>0</v>
      </c>
      <c r="F1132">
        <v>0</v>
      </c>
      <c r="G1132">
        <v>0</v>
      </c>
      <c r="H1132">
        <v>0</v>
      </c>
      <c r="I1132">
        <v>1</v>
      </c>
      <c r="J1132">
        <v>0</v>
      </c>
    </row>
    <row r="1133" spans="1:10" x14ac:dyDescent="0.25">
      <c r="A1133" t="s">
        <v>21</v>
      </c>
      <c r="B1133">
        <v>7172010015002000</v>
      </c>
      <c r="C1133">
        <v>64</v>
      </c>
      <c r="D1133">
        <v>0</v>
      </c>
      <c r="E1133">
        <v>0</v>
      </c>
      <c r="F1133">
        <v>64</v>
      </c>
      <c r="G1133">
        <v>0</v>
      </c>
      <c r="H1133">
        <v>0</v>
      </c>
      <c r="I1133">
        <v>0</v>
      </c>
      <c r="J1133">
        <v>0</v>
      </c>
    </row>
    <row r="1134" spans="1:10" x14ac:dyDescent="0.25">
      <c r="A1134" t="s">
        <v>21</v>
      </c>
      <c r="B1134">
        <v>7172010015001000</v>
      </c>
      <c r="C1134">
        <v>37</v>
      </c>
      <c r="D1134">
        <v>0</v>
      </c>
      <c r="E1134">
        <v>0</v>
      </c>
      <c r="F1134">
        <v>37</v>
      </c>
      <c r="G1134">
        <v>0</v>
      </c>
      <c r="H1134">
        <v>0</v>
      </c>
      <c r="I1134">
        <v>0</v>
      </c>
      <c r="J1134">
        <v>0</v>
      </c>
    </row>
    <row r="1135" spans="1:10" x14ac:dyDescent="0.25">
      <c r="A1135" t="s">
        <v>27</v>
      </c>
      <c r="B1135">
        <v>7172011002000900</v>
      </c>
      <c r="C1135">
        <v>188</v>
      </c>
      <c r="D1135">
        <v>152</v>
      </c>
      <c r="E1135">
        <v>5</v>
      </c>
      <c r="F1135">
        <v>30</v>
      </c>
      <c r="G1135">
        <v>0</v>
      </c>
      <c r="H1135">
        <v>1</v>
      </c>
      <c r="I1135">
        <v>0</v>
      </c>
      <c r="J1135">
        <v>0</v>
      </c>
    </row>
    <row r="1136" spans="1:10" x14ac:dyDescent="0.25">
      <c r="A1136" t="s">
        <v>27</v>
      </c>
      <c r="B1136">
        <v>7172011001000700</v>
      </c>
      <c r="C1136">
        <v>178</v>
      </c>
      <c r="D1136">
        <v>140</v>
      </c>
      <c r="E1136">
        <v>1</v>
      </c>
      <c r="F1136">
        <v>37</v>
      </c>
      <c r="G1136">
        <v>0</v>
      </c>
      <c r="H1136">
        <v>0</v>
      </c>
      <c r="I1136">
        <v>0</v>
      </c>
      <c r="J1136">
        <v>0</v>
      </c>
    </row>
    <row r="1137" spans="1:10" x14ac:dyDescent="0.25">
      <c r="A1137" t="s">
        <v>27</v>
      </c>
      <c r="B1137">
        <v>7172011002000600</v>
      </c>
      <c r="C1137">
        <v>176</v>
      </c>
      <c r="D1137">
        <v>149</v>
      </c>
      <c r="E1137">
        <v>5</v>
      </c>
      <c r="F1137">
        <v>21</v>
      </c>
      <c r="G1137">
        <v>0</v>
      </c>
      <c r="H1137">
        <v>1</v>
      </c>
      <c r="I1137">
        <v>0</v>
      </c>
      <c r="J1137">
        <v>0</v>
      </c>
    </row>
    <row r="1138" spans="1:10" x14ac:dyDescent="0.25">
      <c r="A1138" t="s">
        <v>27</v>
      </c>
      <c r="B1138">
        <v>7172011001000900</v>
      </c>
      <c r="C1138">
        <v>76</v>
      </c>
      <c r="D1138">
        <v>0</v>
      </c>
      <c r="E1138">
        <v>0</v>
      </c>
      <c r="F1138">
        <v>76</v>
      </c>
      <c r="G1138">
        <v>0</v>
      </c>
      <c r="H1138">
        <v>0</v>
      </c>
      <c r="I1138">
        <v>0</v>
      </c>
      <c r="J1138">
        <v>0</v>
      </c>
    </row>
    <row r="1139" spans="1:10" x14ac:dyDescent="0.25">
      <c r="A1139" t="s">
        <v>27</v>
      </c>
      <c r="B1139">
        <v>7172011001000800</v>
      </c>
      <c r="C1139">
        <v>67</v>
      </c>
      <c r="D1139">
        <v>0</v>
      </c>
      <c r="E1139">
        <v>0</v>
      </c>
      <c r="F1139">
        <v>67</v>
      </c>
      <c r="G1139">
        <v>0</v>
      </c>
      <c r="H1139">
        <v>0</v>
      </c>
      <c r="I1139">
        <v>0</v>
      </c>
      <c r="J1139">
        <v>0</v>
      </c>
    </row>
    <row r="1140" spans="1:10" x14ac:dyDescent="0.25">
      <c r="A1140" t="s">
        <v>27</v>
      </c>
      <c r="B1140">
        <v>7172011002001000</v>
      </c>
      <c r="C1140">
        <v>63</v>
      </c>
      <c r="D1140">
        <v>40</v>
      </c>
      <c r="E1140">
        <v>2</v>
      </c>
      <c r="F1140">
        <v>15</v>
      </c>
      <c r="G1140">
        <v>0</v>
      </c>
      <c r="H1140">
        <v>0</v>
      </c>
      <c r="I1140">
        <v>6</v>
      </c>
      <c r="J1140">
        <v>0</v>
      </c>
    </row>
    <row r="1141" spans="1:10" x14ac:dyDescent="0.25">
      <c r="A1141" t="s">
        <v>27</v>
      </c>
      <c r="B1141">
        <v>7172011002001100</v>
      </c>
      <c r="C1141">
        <v>53</v>
      </c>
      <c r="D1141">
        <v>0</v>
      </c>
      <c r="E1141">
        <v>2</v>
      </c>
      <c r="F1141">
        <v>40</v>
      </c>
      <c r="G1141">
        <v>0</v>
      </c>
      <c r="H1141">
        <v>0</v>
      </c>
      <c r="I1141">
        <v>11</v>
      </c>
      <c r="J1141">
        <v>0</v>
      </c>
    </row>
    <row r="1142" spans="1:10" x14ac:dyDescent="0.25">
      <c r="A1142" t="s">
        <v>29</v>
      </c>
      <c r="B1142">
        <v>7172011002001600</v>
      </c>
      <c r="C1142">
        <v>138</v>
      </c>
      <c r="D1142">
        <v>113</v>
      </c>
      <c r="E1142">
        <v>1</v>
      </c>
      <c r="F1142">
        <v>17</v>
      </c>
      <c r="G1142">
        <v>7</v>
      </c>
      <c r="H1142">
        <v>0</v>
      </c>
      <c r="I1142">
        <v>0</v>
      </c>
      <c r="J1142">
        <v>0</v>
      </c>
    </row>
    <row r="1143" spans="1:10" x14ac:dyDescent="0.25">
      <c r="A1143" t="s">
        <v>29</v>
      </c>
      <c r="B1143">
        <v>7172011002001200</v>
      </c>
      <c r="C1143">
        <v>121</v>
      </c>
      <c r="D1143">
        <v>85</v>
      </c>
      <c r="E1143">
        <v>7</v>
      </c>
      <c r="F1143">
        <v>26</v>
      </c>
      <c r="G1143">
        <v>3</v>
      </c>
      <c r="H1143">
        <v>0</v>
      </c>
      <c r="I1143">
        <v>0</v>
      </c>
      <c r="J1143">
        <v>0</v>
      </c>
    </row>
    <row r="1144" spans="1:10" x14ac:dyDescent="0.25">
      <c r="A1144" t="s">
        <v>29</v>
      </c>
      <c r="B1144">
        <v>7172011002001400</v>
      </c>
      <c r="C1144">
        <v>121</v>
      </c>
      <c r="D1144">
        <v>105</v>
      </c>
      <c r="E1144">
        <v>1</v>
      </c>
      <c r="F1144">
        <v>12</v>
      </c>
      <c r="G1144">
        <v>3</v>
      </c>
      <c r="H1144">
        <v>0</v>
      </c>
      <c r="I1144">
        <v>0</v>
      </c>
      <c r="J1144">
        <v>0</v>
      </c>
    </row>
    <row r="1145" spans="1:10" x14ac:dyDescent="0.25">
      <c r="A1145" t="s">
        <v>29</v>
      </c>
      <c r="B1145">
        <v>7172011002001500</v>
      </c>
      <c r="C1145">
        <v>102</v>
      </c>
      <c r="D1145">
        <v>79</v>
      </c>
      <c r="E1145">
        <v>5</v>
      </c>
      <c r="F1145">
        <v>15</v>
      </c>
      <c r="G1145">
        <v>3</v>
      </c>
      <c r="H1145">
        <v>0</v>
      </c>
      <c r="I1145">
        <v>0</v>
      </c>
      <c r="J1145">
        <v>0</v>
      </c>
    </row>
    <row r="1146" spans="1:10" x14ac:dyDescent="0.25">
      <c r="A1146" t="s">
        <v>29</v>
      </c>
      <c r="B1146">
        <v>7172011011000500</v>
      </c>
      <c r="C1146">
        <v>89</v>
      </c>
      <c r="D1146">
        <v>82</v>
      </c>
      <c r="E1146">
        <v>5</v>
      </c>
      <c r="F1146">
        <v>0</v>
      </c>
      <c r="G1146">
        <v>2</v>
      </c>
      <c r="H1146">
        <v>0</v>
      </c>
      <c r="I1146">
        <v>0</v>
      </c>
      <c r="J1146">
        <v>0</v>
      </c>
    </row>
    <row r="1147" spans="1:10" x14ac:dyDescent="0.25">
      <c r="A1147" t="s">
        <v>29</v>
      </c>
      <c r="B1147">
        <v>7172011011000400</v>
      </c>
      <c r="C1147">
        <v>71</v>
      </c>
      <c r="D1147">
        <v>0</v>
      </c>
      <c r="E1147">
        <v>0</v>
      </c>
      <c r="F1147">
        <v>71</v>
      </c>
      <c r="G1147">
        <v>0</v>
      </c>
      <c r="H1147">
        <v>0</v>
      </c>
      <c r="I1147">
        <v>0</v>
      </c>
      <c r="J1147">
        <v>0</v>
      </c>
    </row>
    <row r="1148" spans="1:10" x14ac:dyDescent="0.25">
      <c r="A1148" t="s">
        <v>29</v>
      </c>
      <c r="B1148">
        <v>7172011002001300</v>
      </c>
      <c r="C1148">
        <v>63</v>
      </c>
      <c r="D1148">
        <v>7</v>
      </c>
      <c r="E1148">
        <v>5</v>
      </c>
      <c r="F1148">
        <v>48</v>
      </c>
      <c r="G1148">
        <v>0</v>
      </c>
      <c r="H1148">
        <v>0</v>
      </c>
      <c r="I1148">
        <v>3</v>
      </c>
      <c r="J1148">
        <v>0</v>
      </c>
    </row>
    <row r="1149" spans="1:10" x14ac:dyDescent="0.25">
      <c r="A1149" t="s">
        <v>29</v>
      </c>
      <c r="B1149">
        <v>7172011011000300</v>
      </c>
      <c r="C1149">
        <v>50</v>
      </c>
      <c r="D1149">
        <v>0</v>
      </c>
      <c r="E1149">
        <v>0</v>
      </c>
      <c r="F1149">
        <v>50</v>
      </c>
      <c r="G1149">
        <v>0</v>
      </c>
      <c r="H1149">
        <v>0</v>
      </c>
      <c r="I1149">
        <v>0</v>
      </c>
      <c r="J1149">
        <v>0</v>
      </c>
    </row>
    <row r="1150" spans="1:10" x14ac:dyDescent="0.25">
      <c r="A1150" t="s">
        <v>29</v>
      </c>
      <c r="B1150">
        <v>7172011011000200</v>
      </c>
      <c r="C1150">
        <v>38</v>
      </c>
      <c r="D1150">
        <v>1</v>
      </c>
      <c r="E1150">
        <v>0</v>
      </c>
      <c r="F1150">
        <v>37</v>
      </c>
      <c r="G1150">
        <v>0</v>
      </c>
      <c r="H1150">
        <v>0</v>
      </c>
      <c r="I1150">
        <v>0</v>
      </c>
      <c r="J1150">
        <v>0</v>
      </c>
    </row>
    <row r="1151" spans="1:10" x14ac:dyDescent="0.25">
      <c r="A1151" t="s">
        <v>29</v>
      </c>
      <c r="B1151">
        <v>7172011011000100</v>
      </c>
      <c r="C1151">
        <v>27</v>
      </c>
      <c r="D1151">
        <v>0</v>
      </c>
      <c r="E1151">
        <v>0</v>
      </c>
      <c r="F1151">
        <v>27</v>
      </c>
      <c r="G1151">
        <v>0</v>
      </c>
      <c r="H1151">
        <v>0</v>
      </c>
      <c r="I1151">
        <v>0</v>
      </c>
      <c r="J1151">
        <v>0</v>
      </c>
    </row>
    <row r="1152" spans="1:10" x14ac:dyDescent="0.25">
      <c r="A1152" t="s">
        <v>30</v>
      </c>
      <c r="B1152">
        <v>7172011003001803</v>
      </c>
      <c r="C1152">
        <v>166</v>
      </c>
      <c r="D1152">
        <v>125</v>
      </c>
      <c r="E1152">
        <v>0</v>
      </c>
      <c r="F1152">
        <v>15</v>
      </c>
      <c r="G1152">
        <v>0</v>
      </c>
      <c r="H1152">
        <v>0</v>
      </c>
      <c r="I1152">
        <v>26</v>
      </c>
      <c r="J1152">
        <v>0</v>
      </c>
    </row>
    <row r="1153" spans="1:10" x14ac:dyDescent="0.25">
      <c r="A1153" t="s">
        <v>30</v>
      </c>
      <c r="B1153">
        <v>7172011003000400</v>
      </c>
      <c r="C1153">
        <v>153</v>
      </c>
      <c r="D1153">
        <v>69</v>
      </c>
      <c r="E1153">
        <v>5</v>
      </c>
      <c r="F1153">
        <v>57</v>
      </c>
      <c r="G1153">
        <v>0</v>
      </c>
      <c r="H1153">
        <v>0</v>
      </c>
      <c r="I1153">
        <v>22</v>
      </c>
      <c r="J1153">
        <v>0</v>
      </c>
    </row>
    <row r="1154" spans="1:10" x14ac:dyDescent="0.25">
      <c r="A1154" t="s">
        <v>30</v>
      </c>
      <c r="B1154">
        <v>7172011003000700</v>
      </c>
      <c r="C1154">
        <v>147</v>
      </c>
      <c r="D1154">
        <v>77</v>
      </c>
      <c r="E1154">
        <v>10</v>
      </c>
      <c r="F1154">
        <v>41</v>
      </c>
      <c r="G1154">
        <v>2</v>
      </c>
      <c r="H1154">
        <v>0</v>
      </c>
      <c r="I1154">
        <v>17</v>
      </c>
      <c r="J1154">
        <v>0</v>
      </c>
    </row>
    <row r="1155" spans="1:10" x14ac:dyDescent="0.25">
      <c r="A1155" t="s">
        <v>30</v>
      </c>
      <c r="B1155">
        <v>7172011003000100</v>
      </c>
      <c r="C1155">
        <v>123</v>
      </c>
      <c r="D1155">
        <v>0</v>
      </c>
      <c r="E1155">
        <v>3</v>
      </c>
      <c r="F1155">
        <v>108</v>
      </c>
      <c r="G1155">
        <v>0</v>
      </c>
      <c r="H1155">
        <v>0</v>
      </c>
      <c r="I1155">
        <v>12</v>
      </c>
      <c r="J1155">
        <v>0</v>
      </c>
    </row>
    <row r="1156" spans="1:10" x14ac:dyDescent="0.25">
      <c r="A1156" t="s">
        <v>30</v>
      </c>
      <c r="B1156">
        <v>7172011003000202</v>
      </c>
      <c r="C1156">
        <v>90</v>
      </c>
      <c r="D1156">
        <v>0</v>
      </c>
      <c r="E1156">
        <v>0</v>
      </c>
      <c r="F1156">
        <v>90</v>
      </c>
      <c r="G1156">
        <v>0</v>
      </c>
      <c r="H1156">
        <v>0</v>
      </c>
      <c r="I1156">
        <v>0</v>
      </c>
      <c r="J1156">
        <v>0</v>
      </c>
    </row>
    <row r="1157" spans="1:10" x14ac:dyDescent="0.25">
      <c r="A1157" t="s">
        <v>33</v>
      </c>
      <c r="B1157">
        <v>7172011003003300</v>
      </c>
      <c r="C1157">
        <v>124</v>
      </c>
      <c r="D1157">
        <v>10</v>
      </c>
      <c r="E1157">
        <v>0</v>
      </c>
      <c r="F1157">
        <v>114</v>
      </c>
      <c r="G1157">
        <v>0</v>
      </c>
      <c r="H1157">
        <v>0</v>
      </c>
      <c r="I1157">
        <v>0</v>
      </c>
      <c r="J1157">
        <v>0</v>
      </c>
    </row>
    <row r="1158" spans="1:10" x14ac:dyDescent="0.25">
      <c r="A1158" t="s">
        <v>33</v>
      </c>
      <c r="B1158">
        <v>7172011003003503</v>
      </c>
      <c r="C1158">
        <v>124</v>
      </c>
      <c r="D1158">
        <v>39</v>
      </c>
      <c r="E1158">
        <v>12</v>
      </c>
      <c r="F1158">
        <v>62</v>
      </c>
      <c r="G1158">
        <v>6</v>
      </c>
      <c r="H1158">
        <v>0</v>
      </c>
      <c r="I1158">
        <v>5</v>
      </c>
      <c r="J1158">
        <v>0</v>
      </c>
    </row>
    <row r="1159" spans="1:10" x14ac:dyDescent="0.25">
      <c r="A1159" t="s">
        <v>33</v>
      </c>
      <c r="B1159">
        <v>7172011014001702</v>
      </c>
      <c r="C1159">
        <v>119</v>
      </c>
      <c r="D1159">
        <v>116</v>
      </c>
      <c r="E1159">
        <v>2</v>
      </c>
      <c r="F1159">
        <v>0</v>
      </c>
      <c r="G1159">
        <v>0</v>
      </c>
      <c r="H1159">
        <v>1</v>
      </c>
      <c r="I1159">
        <v>0</v>
      </c>
      <c r="J1159">
        <v>0</v>
      </c>
    </row>
    <row r="1160" spans="1:10" x14ac:dyDescent="0.25">
      <c r="A1160" t="s">
        <v>33</v>
      </c>
      <c r="B1160">
        <v>7172011003003200</v>
      </c>
      <c r="C1160">
        <v>116</v>
      </c>
      <c r="D1160">
        <v>2</v>
      </c>
      <c r="E1160">
        <v>4</v>
      </c>
      <c r="F1160">
        <v>110</v>
      </c>
      <c r="G1160">
        <v>0</v>
      </c>
      <c r="H1160">
        <v>0</v>
      </c>
      <c r="I1160">
        <v>0</v>
      </c>
      <c r="J1160">
        <v>0</v>
      </c>
    </row>
    <row r="1161" spans="1:10" x14ac:dyDescent="0.25">
      <c r="A1161" t="s">
        <v>33</v>
      </c>
      <c r="B1161">
        <v>7172011003000800</v>
      </c>
      <c r="C1161">
        <v>108</v>
      </c>
      <c r="D1161">
        <v>1</v>
      </c>
      <c r="E1161">
        <v>4</v>
      </c>
      <c r="F1161">
        <v>57</v>
      </c>
      <c r="G1161">
        <v>0</v>
      </c>
      <c r="H1161">
        <v>0</v>
      </c>
      <c r="I1161">
        <v>46</v>
      </c>
      <c r="J1161">
        <v>0</v>
      </c>
    </row>
    <row r="1162" spans="1:10" x14ac:dyDescent="0.25">
      <c r="A1162" t="s">
        <v>33</v>
      </c>
      <c r="B1162">
        <v>7172011003003502</v>
      </c>
      <c r="C1162">
        <v>73</v>
      </c>
      <c r="D1162">
        <v>64</v>
      </c>
      <c r="E1162">
        <v>5</v>
      </c>
      <c r="F1162">
        <v>0</v>
      </c>
      <c r="G1162">
        <v>4</v>
      </c>
      <c r="H1162">
        <v>0</v>
      </c>
      <c r="I1162">
        <v>0</v>
      </c>
      <c r="J1162">
        <v>0</v>
      </c>
    </row>
    <row r="1163" spans="1:10" x14ac:dyDescent="0.25">
      <c r="A1163" t="s">
        <v>33</v>
      </c>
      <c r="B1163">
        <v>7172011003003400</v>
      </c>
      <c r="C1163">
        <v>67</v>
      </c>
      <c r="D1163">
        <v>50</v>
      </c>
      <c r="E1163">
        <v>0</v>
      </c>
      <c r="F1163">
        <v>15</v>
      </c>
      <c r="G1163">
        <v>2</v>
      </c>
      <c r="H1163">
        <v>0</v>
      </c>
      <c r="I1163">
        <v>0</v>
      </c>
      <c r="J1163">
        <v>0</v>
      </c>
    </row>
    <row r="1164" spans="1:10" x14ac:dyDescent="0.25">
      <c r="A1164" t="s">
        <v>51</v>
      </c>
      <c r="B1164">
        <v>7172012001000500</v>
      </c>
      <c r="C1164">
        <v>188</v>
      </c>
      <c r="D1164">
        <v>181</v>
      </c>
      <c r="E1164">
        <v>3</v>
      </c>
      <c r="F1164">
        <v>3</v>
      </c>
      <c r="G1164">
        <v>0</v>
      </c>
      <c r="H1164">
        <v>1</v>
      </c>
      <c r="I1164">
        <v>0</v>
      </c>
      <c r="J1164">
        <v>0</v>
      </c>
    </row>
    <row r="1165" spans="1:10" x14ac:dyDescent="0.25">
      <c r="A1165" t="s">
        <v>51</v>
      </c>
      <c r="B1165">
        <v>7172012001001001</v>
      </c>
      <c r="C1165">
        <v>175</v>
      </c>
      <c r="D1165">
        <v>122</v>
      </c>
      <c r="E1165">
        <v>2</v>
      </c>
      <c r="F1165">
        <v>44</v>
      </c>
      <c r="G1165">
        <v>0</v>
      </c>
      <c r="H1165">
        <v>0</v>
      </c>
      <c r="I1165">
        <v>7</v>
      </c>
      <c r="J1165">
        <v>0</v>
      </c>
    </row>
    <row r="1166" spans="1:10" x14ac:dyDescent="0.25">
      <c r="A1166" t="s">
        <v>51</v>
      </c>
      <c r="B1166">
        <v>7172012001000601</v>
      </c>
      <c r="C1166">
        <v>142</v>
      </c>
      <c r="D1166">
        <v>0</v>
      </c>
      <c r="E1166">
        <v>0</v>
      </c>
      <c r="F1166">
        <v>142</v>
      </c>
      <c r="G1166">
        <v>0</v>
      </c>
      <c r="H1166">
        <v>0</v>
      </c>
      <c r="I1166">
        <v>0</v>
      </c>
      <c r="J1166">
        <v>0</v>
      </c>
    </row>
    <row r="1167" spans="1:10" x14ac:dyDescent="0.25">
      <c r="A1167" t="s">
        <v>55</v>
      </c>
      <c r="B1167">
        <v>7172012006001800</v>
      </c>
      <c r="C1167">
        <v>163</v>
      </c>
      <c r="D1167">
        <v>150</v>
      </c>
      <c r="E1167">
        <v>0</v>
      </c>
      <c r="F1167">
        <v>1</v>
      </c>
      <c r="G1167">
        <v>1</v>
      </c>
      <c r="H1167">
        <v>0</v>
      </c>
      <c r="I1167">
        <v>11</v>
      </c>
      <c r="J1167">
        <v>0</v>
      </c>
    </row>
    <row r="1168" spans="1:10" x14ac:dyDescent="0.25">
      <c r="A1168" t="s">
        <v>55</v>
      </c>
      <c r="B1168">
        <v>7172012006001700</v>
      </c>
      <c r="C1168">
        <v>159</v>
      </c>
      <c r="D1168">
        <v>20</v>
      </c>
      <c r="E1168">
        <v>0</v>
      </c>
      <c r="F1168">
        <v>103</v>
      </c>
      <c r="G1168">
        <v>0</v>
      </c>
      <c r="H1168">
        <v>0</v>
      </c>
      <c r="I1168">
        <v>36</v>
      </c>
      <c r="J1168">
        <v>0</v>
      </c>
    </row>
    <row r="1169" spans="1:10" x14ac:dyDescent="0.25">
      <c r="A1169" t="s">
        <v>55</v>
      </c>
      <c r="B1169">
        <v>7172012006001900</v>
      </c>
      <c r="C1169">
        <v>134</v>
      </c>
      <c r="D1169">
        <v>34</v>
      </c>
      <c r="E1169">
        <v>0</v>
      </c>
      <c r="F1169">
        <v>97</v>
      </c>
      <c r="G1169">
        <v>0</v>
      </c>
      <c r="H1169">
        <v>0</v>
      </c>
      <c r="I1169">
        <v>3</v>
      </c>
      <c r="J1169">
        <v>0</v>
      </c>
    </row>
    <row r="1170" spans="1:10" x14ac:dyDescent="0.25">
      <c r="A1170" t="s">
        <v>55</v>
      </c>
      <c r="B1170">
        <v>7172012006001400</v>
      </c>
      <c r="C1170">
        <v>107</v>
      </c>
      <c r="D1170">
        <v>59</v>
      </c>
      <c r="E1170">
        <v>0</v>
      </c>
      <c r="F1170">
        <v>43</v>
      </c>
      <c r="G1170">
        <v>0</v>
      </c>
      <c r="H1170">
        <v>0</v>
      </c>
      <c r="I1170">
        <v>5</v>
      </c>
      <c r="J1170">
        <v>0</v>
      </c>
    </row>
    <row r="1171" spans="1:10" x14ac:dyDescent="0.25">
      <c r="A1171" t="s">
        <v>55</v>
      </c>
      <c r="B1171">
        <v>7172012002001200</v>
      </c>
      <c r="C1171">
        <v>62</v>
      </c>
      <c r="D1171">
        <v>6</v>
      </c>
      <c r="E1171">
        <v>1</v>
      </c>
      <c r="F1171">
        <v>38</v>
      </c>
      <c r="G1171">
        <v>0</v>
      </c>
      <c r="H1171">
        <v>0</v>
      </c>
      <c r="I1171">
        <v>17</v>
      </c>
      <c r="J1171">
        <v>0</v>
      </c>
    </row>
    <row r="1172" spans="1:10" x14ac:dyDescent="0.25">
      <c r="A1172" t="s">
        <v>58</v>
      </c>
      <c r="B1172">
        <v>7172012003000400</v>
      </c>
      <c r="C1172">
        <v>141</v>
      </c>
      <c r="D1172">
        <v>117</v>
      </c>
      <c r="E1172">
        <v>5</v>
      </c>
      <c r="F1172">
        <v>16</v>
      </c>
      <c r="G1172">
        <v>0</v>
      </c>
      <c r="H1172">
        <v>0</v>
      </c>
      <c r="I1172">
        <v>3</v>
      </c>
      <c r="J1172">
        <v>0</v>
      </c>
    </row>
    <row r="1173" spans="1:10" x14ac:dyDescent="0.25">
      <c r="A1173" t="s">
        <v>58</v>
      </c>
      <c r="B1173">
        <v>7172012004000300</v>
      </c>
      <c r="C1173">
        <v>109</v>
      </c>
      <c r="D1173">
        <v>0</v>
      </c>
      <c r="E1173">
        <v>7</v>
      </c>
      <c r="F1173">
        <v>102</v>
      </c>
      <c r="G1173">
        <v>0</v>
      </c>
      <c r="H1173">
        <v>0</v>
      </c>
      <c r="I1173">
        <v>0</v>
      </c>
      <c r="J1173">
        <v>0</v>
      </c>
    </row>
    <row r="1174" spans="1:10" x14ac:dyDescent="0.25">
      <c r="A1174" t="s">
        <v>58</v>
      </c>
      <c r="B1174">
        <v>7172012004000100</v>
      </c>
      <c r="C1174">
        <v>100</v>
      </c>
      <c r="D1174">
        <v>0</v>
      </c>
      <c r="E1174">
        <v>0</v>
      </c>
      <c r="F1174">
        <v>100</v>
      </c>
      <c r="G1174">
        <v>0</v>
      </c>
      <c r="H1174">
        <v>0</v>
      </c>
      <c r="I1174">
        <v>0</v>
      </c>
      <c r="J1174">
        <v>0</v>
      </c>
    </row>
    <row r="1175" spans="1:10" x14ac:dyDescent="0.25">
      <c r="A1175" t="s">
        <v>58</v>
      </c>
      <c r="B1175">
        <v>7172012003000700</v>
      </c>
      <c r="C1175">
        <v>74</v>
      </c>
      <c r="D1175">
        <v>58</v>
      </c>
      <c r="E1175">
        <v>6</v>
      </c>
      <c r="F1175">
        <v>8</v>
      </c>
      <c r="G1175">
        <v>0</v>
      </c>
      <c r="H1175">
        <v>0</v>
      </c>
      <c r="I1175">
        <v>2</v>
      </c>
      <c r="J1175">
        <v>0</v>
      </c>
    </row>
    <row r="1176" spans="1:10" x14ac:dyDescent="0.25">
      <c r="A1176" t="s">
        <v>58</v>
      </c>
      <c r="B1176">
        <v>7172012003000300</v>
      </c>
      <c r="C1176">
        <v>73</v>
      </c>
      <c r="D1176">
        <v>69</v>
      </c>
      <c r="E1176">
        <v>0</v>
      </c>
      <c r="F1176">
        <v>2</v>
      </c>
      <c r="G1176">
        <v>0</v>
      </c>
      <c r="H1176">
        <v>0</v>
      </c>
      <c r="I1176">
        <v>2</v>
      </c>
      <c r="J1176">
        <v>0</v>
      </c>
    </row>
    <row r="1177" spans="1:10" x14ac:dyDescent="0.25">
      <c r="A1177" t="s">
        <v>58</v>
      </c>
      <c r="B1177">
        <v>7172012003000200</v>
      </c>
      <c r="C1177">
        <v>66</v>
      </c>
      <c r="D1177">
        <v>62</v>
      </c>
      <c r="E1177">
        <v>2</v>
      </c>
      <c r="F1177">
        <v>2</v>
      </c>
      <c r="G1177">
        <v>0</v>
      </c>
      <c r="H1177">
        <v>0</v>
      </c>
      <c r="I1177">
        <v>0</v>
      </c>
      <c r="J1177">
        <v>0</v>
      </c>
    </row>
    <row r="1178" spans="1:10" x14ac:dyDescent="0.25">
      <c r="A1178" t="s">
        <v>58</v>
      </c>
      <c r="B1178">
        <v>7172012004000200</v>
      </c>
      <c r="C1178">
        <v>65</v>
      </c>
      <c r="D1178">
        <v>0</v>
      </c>
      <c r="E1178">
        <v>0</v>
      </c>
      <c r="F1178">
        <v>65</v>
      </c>
      <c r="G1178">
        <v>0</v>
      </c>
      <c r="H1178">
        <v>0</v>
      </c>
      <c r="I1178">
        <v>0</v>
      </c>
      <c r="J1178">
        <v>0</v>
      </c>
    </row>
    <row r="1179" spans="1:10" x14ac:dyDescent="0.25">
      <c r="A1179" t="s">
        <v>40</v>
      </c>
      <c r="B1179">
        <v>7172011004001200</v>
      </c>
      <c r="C1179">
        <v>192</v>
      </c>
      <c r="D1179">
        <v>68</v>
      </c>
      <c r="E1179">
        <v>72</v>
      </c>
      <c r="F1179">
        <v>24</v>
      </c>
      <c r="G1179">
        <v>1</v>
      </c>
      <c r="H1179">
        <v>0</v>
      </c>
      <c r="I1179">
        <v>27</v>
      </c>
      <c r="J1179">
        <v>0</v>
      </c>
    </row>
    <row r="1180" spans="1:10" x14ac:dyDescent="0.25">
      <c r="A1180" t="s">
        <v>40</v>
      </c>
      <c r="B1180">
        <v>7172011004000900</v>
      </c>
      <c r="C1180">
        <v>150</v>
      </c>
      <c r="D1180">
        <v>0</v>
      </c>
      <c r="E1180">
        <v>4</v>
      </c>
      <c r="F1180">
        <v>92</v>
      </c>
      <c r="G1180">
        <v>21</v>
      </c>
      <c r="H1180">
        <v>0</v>
      </c>
      <c r="I1180">
        <v>33</v>
      </c>
      <c r="J1180">
        <v>0</v>
      </c>
    </row>
    <row r="1181" spans="1:10" x14ac:dyDescent="0.25">
      <c r="A1181" t="s">
        <v>40</v>
      </c>
      <c r="B1181">
        <v>7172011004000700</v>
      </c>
      <c r="C1181">
        <v>141</v>
      </c>
      <c r="D1181">
        <v>135</v>
      </c>
      <c r="E1181">
        <v>2</v>
      </c>
      <c r="F1181">
        <v>1</v>
      </c>
      <c r="G1181">
        <v>0</v>
      </c>
      <c r="H1181">
        <v>1</v>
      </c>
      <c r="I1181">
        <v>2</v>
      </c>
      <c r="J1181">
        <v>0</v>
      </c>
    </row>
    <row r="1182" spans="1:10" x14ac:dyDescent="0.25">
      <c r="A1182" t="s">
        <v>40</v>
      </c>
      <c r="B1182">
        <v>7172011004001000</v>
      </c>
      <c r="C1182">
        <v>100</v>
      </c>
      <c r="D1182">
        <v>0</v>
      </c>
      <c r="E1182">
        <v>0</v>
      </c>
      <c r="F1182">
        <v>52</v>
      </c>
      <c r="G1182">
        <v>21</v>
      </c>
      <c r="H1182">
        <v>0</v>
      </c>
      <c r="I1182">
        <v>27</v>
      </c>
      <c r="J1182">
        <v>0</v>
      </c>
    </row>
    <row r="1183" spans="1:10" x14ac:dyDescent="0.25">
      <c r="A1183" t="s">
        <v>40</v>
      </c>
      <c r="B1183">
        <v>7172011004001100</v>
      </c>
      <c r="C1183">
        <v>59</v>
      </c>
      <c r="D1183">
        <v>0</v>
      </c>
      <c r="E1183">
        <v>0</v>
      </c>
      <c r="F1183">
        <v>52</v>
      </c>
      <c r="G1183">
        <v>0</v>
      </c>
      <c r="H1183">
        <v>0</v>
      </c>
      <c r="I1183">
        <v>7</v>
      </c>
      <c r="J1183">
        <v>0</v>
      </c>
    </row>
    <row r="1184" spans="1:10" x14ac:dyDescent="0.25">
      <c r="A1184" t="s">
        <v>43</v>
      </c>
      <c r="B1184">
        <v>7172011011001600</v>
      </c>
      <c r="C1184">
        <v>251</v>
      </c>
      <c r="D1184">
        <v>92</v>
      </c>
      <c r="E1184">
        <v>27</v>
      </c>
      <c r="F1184">
        <v>125</v>
      </c>
      <c r="G1184">
        <v>0</v>
      </c>
      <c r="H1184">
        <v>0</v>
      </c>
      <c r="I1184">
        <v>7</v>
      </c>
      <c r="J1184">
        <v>0</v>
      </c>
    </row>
    <row r="1185" spans="1:10" x14ac:dyDescent="0.25">
      <c r="A1185" t="s">
        <v>43</v>
      </c>
      <c r="B1185">
        <v>7172011011001500</v>
      </c>
      <c r="C1185">
        <v>91</v>
      </c>
      <c r="D1185">
        <v>3</v>
      </c>
      <c r="E1185">
        <v>2</v>
      </c>
      <c r="F1185">
        <v>86</v>
      </c>
      <c r="G1185">
        <v>0</v>
      </c>
      <c r="H1185">
        <v>0</v>
      </c>
      <c r="I1185">
        <v>0</v>
      </c>
      <c r="J1185">
        <v>0</v>
      </c>
    </row>
    <row r="1186" spans="1:10" x14ac:dyDescent="0.25">
      <c r="A1186" t="s">
        <v>43</v>
      </c>
      <c r="B1186">
        <v>7172011011000600</v>
      </c>
      <c r="C1186">
        <v>70</v>
      </c>
      <c r="D1186">
        <v>57</v>
      </c>
      <c r="E1186">
        <v>0</v>
      </c>
      <c r="F1186">
        <v>13</v>
      </c>
      <c r="G1186">
        <v>0</v>
      </c>
      <c r="H1186">
        <v>0</v>
      </c>
      <c r="I1186">
        <v>0</v>
      </c>
      <c r="J1186">
        <v>0</v>
      </c>
    </row>
    <row r="1187" spans="1:10" x14ac:dyDescent="0.25">
      <c r="A1187" t="s">
        <v>43</v>
      </c>
      <c r="B1187">
        <v>7172011011000900</v>
      </c>
      <c r="C1187">
        <v>64</v>
      </c>
      <c r="D1187">
        <v>51</v>
      </c>
      <c r="E1187">
        <v>2</v>
      </c>
      <c r="F1187">
        <v>10</v>
      </c>
      <c r="G1187">
        <v>1</v>
      </c>
      <c r="H1187">
        <v>0</v>
      </c>
      <c r="I1187">
        <v>0</v>
      </c>
      <c r="J1187">
        <v>0</v>
      </c>
    </row>
    <row r="1188" spans="1:10" x14ac:dyDescent="0.25">
      <c r="A1188" t="s">
        <v>43</v>
      </c>
      <c r="B1188">
        <v>7172011011000800</v>
      </c>
      <c r="C1188">
        <v>60</v>
      </c>
      <c r="D1188">
        <v>40</v>
      </c>
      <c r="E1188">
        <v>0</v>
      </c>
      <c r="F1188">
        <v>20</v>
      </c>
      <c r="G1188">
        <v>0</v>
      </c>
      <c r="H1188">
        <v>0</v>
      </c>
      <c r="I1188">
        <v>0</v>
      </c>
      <c r="J1188">
        <v>0</v>
      </c>
    </row>
    <row r="1189" spans="1:10" x14ac:dyDescent="0.25">
      <c r="A1189" t="s">
        <v>43</v>
      </c>
      <c r="B1189">
        <v>7172011011001400</v>
      </c>
      <c r="C1189">
        <v>55</v>
      </c>
      <c r="D1189">
        <v>22</v>
      </c>
      <c r="E1189">
        <v>1</v>
      </c>
      <c r="F1189">
        <v>32</v>
      </c>
      <c r="G1189">
        <v>0</v>
      </c>
      <c r="H1189">
        <v>0</v>
      </c>
      <c r="I1189">
        <v>0</v>
      </c>
      <c r="J1189">
        <v>0</v>
      </c>
    </row>
    <row r="1190" spans="1:10" x14ac:dyDescent="0.25">
      <c r="A1190" t="s">
        <v>43</v>
      </c>
      <c r="B1190">
        <v>7172011011001100</v>
      </c>
      <c r="C1190">
        <v>53</v>
      </c>
      <c r="D1190">
        <v>19</v>
      </c>
      <c r="E1190">
        <v>4</v>
      </c>
      <c r="F1190">
        <v>30</v>
      </c>
      <c r="G1190">
        <v>0</v>
      </c>
      <c r="H1190">
        <v>0</v>
      </c>
      <c r="I1190">
        <v>0</v>
      </c>
      <c r="J1190">
        <v>0</v>
      </c>
    </row>
    <row r="1191" spans="1:10" x14ac:dyDescent="0.25">
      <c r="A1191" t="s">
        <v>43</v>
      </c>
      <c r="B1191">
        <v>7172011011001300</v>
      </c>
      <c r="C1191">
        <v>48</v>
      </c>
      <c r="D1191">
        <v>9</v>
      </c>
      <c r="E1191">
        <v>1</v>
      </c>
      <c r="F1191">
        <v>38</v>
      </c>
      <c r="G1191">
        <v>0</v>
      </c>
      <c r="H1191">
        <v>0</v>
      </c>
      <c r="I1191">
        <v>0</v>
      </c>
      <c r="J1191">
        <v>0</v>
      </c>
    </row>
    <row r="1192" spans="1:10" x14ac:dyDescent="0.25">
      <c r="A1192" t="s">
        <v>43</v>
      </c>
      <c r="B1192">
        <v>7172011011001200</v>
      </c>
      <c r="C1192">
        <v>43</v>
      </c>
      <c r="D1192">
        <v>15</v>
      </c>
      <c r="E1192">
        <v>0</v>
      </c>
      <c r="F1192">
        <v>28</v>
      </c>
      <c r="G1192">
        <v>0</v>
      </c>
      <c r="H1192">
        <v>0</v>
      </c>
      <c r="I1192">
        <v>0</v>
      </c>
      <c r="J1192">
        <v>0</v>
      </c>
    </row>
    <row r="1193" spans="1:10" x14ac:dyDescent="0.25">
      <c r="A1193" t="s">
        <v>43</v>
      </c>
      <c r="B1193">
        <v>7172011011001000</v>
      </c>
      <c r="C1193">
        <v>37</v>
      </c>
      <c r="D1193">
        <v>20</v>
      </c>
      <c r="E1193">
        <v>0</v>
      </c>
      <c r="F1193">
        <v>17</v>
      </c>
      <c r="G1193">
        <v>0</v>
      </c>
      <c r="H1193">
        <v>0</v>
      </c>
      <c r="I1193">
        <v>0</v>
      </c>
      <c r="J1193">
        <v>0</v>
      </c>
    </row>
    <row r="1194" spans="1:10" x14ac:dyDescent="0.25">
      <c r="A1194" t="s">
        <v>43</v>
      </c>
      <c r="B1194">
        <v>7172011011000700</v>
      </c>
      <c r="C1194">
        <v>29</v>
      </c>
      <c r="D1194">
        <v>23</v>
      </c>
      <c r="E1194">
        <v>2</v>
      </c>
      <c r="F1194">
        <v>4</v>
      </c>
      <c r="G1194">
        <v>0</v>
      </c>
      <c r="H1194">
        <v>0</v>
      </c>
      <c r="I1194">
        <v>0</v>
      </c>
      <c r="J1194">
        <v>0</v>
      </c>
    </row>
    <row r="1195" spans="1:10" x14ac:dyDescent="0.25">
      <c r="A1195" t="s">
        <v>43</v>
      </c>
      <c r="B1195">
        <v>7172011011100200</v>
      </c>
      <c r="C1195">
        <v>2</v>
      </c>
      <c r="D1195">
        <v>2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</row>
    <row r="1196" spans="1:10" x14ac:dyDescent="0.25">
      <c r="A1196" t="s">
        <v>43</v>
      </c>
      <c r="B1196">
        <v>7172011011200100</v>
      </c>
      <c r="C1196">
        <v>1</v>
      </c>
      <c r="D1196">
        <v>1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</row>
    <row r="1197" spans="1:10" x14ac:dyDescent="0.25">
      <c r="A1197" t="s">
        <v>34</v>
      </c>
      <c r="B1197">
        <v>7172011003000900</v>
      </c>
      <c r="C1197">
        <v>159</v>
      </c>
      <c r="D1197">
        <v>18</v>
      </c>
      <c r="E1197">
        <v>13</v>
      </c>
      <c r="F1197">
        <v>114</v>
      </c>
      <c r="G1197">
        <v>1</v>
      </c>
      <c r="H1197">
        <v>0</v>
      </c>
      <c r="I1197">
        <v>13</v>
      </c>
      <c r="J1197">
        <v>0</v>
      </c>
    </row>
    <row r="1198" spans="1:10" x14ac:dyDescent="0.25">
      <c r="A1198" t="s">
        <v>34</v>
      </c>
      <c r="B1198">
        <v>7172011003001200</v>
      </c>
      <c r="C1198">
        <v>122</v>
      </c>
      <c r="D1198">
        <v>65</v>
      </c>
      <c r="E1198">
        <v>0</v>
      </c>
      <c r="F1198">
        <v>56</v>
      </c>
      <c r="G1198">
        <v>1</v>
      </c>
      <c r="H1198">
        <v>0</v>
      </c>
      <c r="I1198">
        <v>0</v>
      </c>
      <c r="J1198">
        <v>0</v>
      </c>
    </row>
    <row r="1199" spans="1:10" x14ac:dyDescent="0.25">
      <c r="A1199" t="s">
        <v>34</v>
      </c>
      <c r="B1199">
        <v>7172011003001400</v>
      </c>
      <c r="C1199">
        <v>121</v>
      </c>
      <c r="D1199">
        <v>66</v>
      </c>
      <c r="E1199">
        <v>4</v>
      </c>
      <c r="F1199">
        <v>51</v>
      </c>
      <c r="G1199">
        <v>0</v>
      </c>
      <c r="H1199">
        <v>0</v>
      </c>
      <c r="I1199">
        <v>0</v>
      </c>
      <c r="J1199">
        <v>0</v>
      </c>
    </row>
    <row r="1200" spans="1:10" x14ac:dyDescent="0.25">
      <c r="A1200" t="s">
        <v>34</v>
      </c>
      <c r="B1200">
        <v>7172011003001600</v>
      </c>
      <c r="C1200">
        <v>121</v>
      </c>
      <c r="D1200">
        <v>106</v>
      </c>
      <c r="E1200">
        <v>1</v>
      </c>
      <c r="F1200">
        <v>13</v>
      </c>
      <c r="G1200">
        <v>0</v>
      </c>
      <c r="H1200">
        <v>1</v>
      </c>
      <c r="I1200">
        <v>0</v>
      </c>
      <c r="J1200">
        <v>0</v>
      </c>
    </row>
    <row r="1201" spans="1:10" x14ac:dyDescent="0.25">
      <c r="A1201" t="s">
        <v>34</v>
      </c>
      <c r="B1201">
        <v>7172011003001500</v>
      </c>
      <c r="C1201">
        <v>113</v>
      </c>
      <c r="D1201">
        <v>93</v>
      </c>
      <c r="E1201">
        <v>8</v>
      </c>
      <c r="F1201">
        <v>11</v>
      </c>
      <c r="G1201">
        <v>1</v>
      </c>
      <c r="H1201">
        <v>0</v>
      </c>
      <c r="I1201">
        <v>0</v>
      </c>
      <c r="J1201">
        <v>0</v>
      </c>
    </row>
    <row r="1202" spans="1:10" x14ac:dyDescent="0.25">
      <c r="A1202" t="s">
        <v>34</v>
      </c>
      <c r="B1202">
        <v>7172011014000800</v>
      </c>
      <c r="C1202">
        <v>68</v>
      </c>
      <c r="D1202">
        <v>0</v>
      </c>
      <c r="E1202">
        <v>1</v>
      </c>
      <c r="F1202">
        <v>67</v>
      </c>
      <c r="G1202">
        <v>0</v>
      </c>
      <c r="H1202">
        <v>0</v>
      </c>
      <c r="I1202">
        <v>0</v>
      </c>
      <c r="J1202">
        <v>0</v>
      </c>
    </row>
    <row r="1203" spans="1:10" x14ac:dyDescent="0.25">
      <c r="A1203" t="s">
        <v>47</v>
      </c>
      <c r="B1203">
        <v>7172011014000300</v>
      </c>
      <c r="C1203">
        <v>196</v>
      </c>
      <c r="D1203">
        <v>28</v>
      </c>
      <c r="E1203">
        <v>10</v>
      </c>
      <c r="F1203">
        <v>80</v>
      </c>
      <c r="G1203">
        <v>0</v>
      </c>
      <c r="H1203">
        <v>0</v>
      </c>
      <c r="I1203">
        <v>77</v>
      </c>
      <c r="J1203">
        <v>1</v>
      </c>
    </row>
    <row r="1204" spans="1:10" x14ac:dyDescent="0.25">
      <c r="A1204" t="s">
        <v>47</v>
      </c>
      <c r="B1204">
        <v>7172011014000600</v>
      </c>
      <c r="C1204">
        <v>189</v>
      </c>
      <c r="D1204">
        <v>120</v>
      </c>
      <c r="E1204">
        <v>0</v>
      </c>
      <c r="F1204">
        <v>2</v>
      </c>
      <c r="G1204">
        <v>16</v>
      </c>
      <c r="H1204">
        <v>0</v>
      </c>
      <c r="I1204">
        <v>51</v>
      </c>
      <c r="J1204">
        <v>0</v>
      </c>
    </row>
    <row r="1205" spans="1:10" x14ac:dyDescent="0.25">
      <c r="A1205" t="s">
        <v>47</v>
      </c>
      <c r="B1205">
        <v>7172011014000200</v>
      </c>
      <c r="C1205">
        <v>148</v>
      </c>
      <c r="D1205">
        <v>129</v>
      </c>
      <c r="E1205">
        <v>5</v>
      </c>
      <c r="F1205">
        <v>13</v>
      </c>
      <c r="G1205">
        <v>0</v>
      </c>
      <c r="H1205">
        <v>0</v>
      </c>
      <c r="I1205">
        <v>1</v>
      </c>
      <c r="J1205">
        <v>0</v>
      </c>
    </row>
    <row r="1206" spans="1:10" x14ac:dyDescent="0.25">
      <c r="A1206" t="s">
        <v>47</v>
      </c>
      <c r="B1206">
        <v>7172011014000100</v>
      </c>
      <c r="C1206">
        <v>109</v>
      </c>
      <c r="D1206">
        <v>0</v>
      </c>
      <c r="E1206">
        <v>0</v>
      </c>
      <c r="F1206">
        <v>95</v>
      </c>
      <c r="G1206">
        <v>0</v>
      </c>
      <c r="H1206">
        <v>0</v>
      </c>
      <c r="I1206">
        <v>14</v>
      </c>
      <c r="J1206">
        <v>0</v>
      </c>
    </row>
    <row r="1207" spans="1:10" x14ac:dyDescent="0.25">
      <c r="A1207" t="s">
        <v>47</v>
      </c>
      <c r="B1207">
        <v>7172011014000400</v>
      </c>
      <c r="C1207">
        <v>86</v>
      </c>
      <c r="D1207">
        <v>0</v>
      </c>
      <c r="E1207">
        <v>2</v>
      </c>
      <c r="F1207">
        <v>53</v>
      </c>
      <c r="G1207">
        <v>0</v>
      </c>
      <c r="H1207">
        <v>0</v>
      </c>
      <c r="I1207">
        <v>31</v>
      </c>
      <c r="J1207">
        <v>0</v>
      </c>
    </row>
    <row r="1208" spans="1:10" x14ac:dyDescent="0.25">
      <c r="A1208" t="s">
        <v>53</v>
      </c>
      <c r="B1208">
        <v>7172012002000200</v>
      </c>
      <c r="C1208">
        <v>186</v>
      </c>
      <c r="D1208">
        <v>177</v>
      </c>
      <c r="E1208">
        <v>4</v>
      </c>
      <c r="F1208">
        <v>5</v>
      </c>
      <c r="G1208">
        <v>0</v>
      </c>
      <c r="H1208">
        <v>0</v>
      </c>
      <c r="I1208">
        <v>0</v>
      </c>
      <c r="J1208">
        <v>0</v>
      </c>
    </row>
    <row r="1209" spans="1:10" x14ac:dyDescent="0.25">
      <c r="A1209" t="s">
        <v>53</v>
      </c>
      <c r="B1209">
        <v>7172012002000900</v>
      </c>
      <c r="C1209">
        <v>144</v>
      </c>
      <c r="D1209">
        <v>95</v>
      </c>
      <c r="E1209">
        <v>12</v>
      </c>
      <c r="F1209">
        <v>19</v>
      </c>
      <c r="G1209">
        <v>0</v>
      </c>
      <c r="H1209">
        <v>0</v>
      </c>
      <c r="I1209">
        <v>18</v>
      </c>
      <c r="J1209">
        <v>0</v>
      </c>
    </row>
    <row r="1210" spans="1:10" x14ac:dyDescent="0.25">
      <c r="A1210" t="s">
        <v>53</v>
      </c>
      <c r="B1210">
        <v>7172012002001600</v>
      </c>
      <c r="C1210">
        <v>117</v>
      </c>
      <c r="D1210">
        <v>21</v>
      </c>
      <c r="E1210">
        <v>0</v>
      </c>
      <c r="F1210">
        <v>38</v>
      </c>
      <c r="G1210">
        <v>0</v>
      </c>
      <c r="H1210">
        <v>0</v>
      </c>
      <c r="I1210">
        <v>58</v>
      </c>
      <c r="J1210">
        <v>0</v>
      </c>
    </row>
    <row r="1211" spans="1:10" x14ac:dyDescent="0.25">
      <c r="A1211" t="s">
        <v>53</v>
      </c>
      <c r="B1211">
        <v>7172012002001000</v>
      </c>
      <c r="C1211">
        <v>111</v>
      </c>
      <c r="D1211">
        <v>0</v>
      </c>
      <c r="E1211">
        <v>1</v>
      </c>
      <c r="F1211">
        <v>110</v>
      </c>
      <c r="G1211">
        <v>0</v>
      </c>
      <c r="H1211">
        <v>0</v>
      </c>
      <c r="I1211">
        <v>0</v>
      </c>
      <c r="J1211">
        <v>0</v>
      </c>
    </row>
    <row r="1212" spans="1:10" x14ac:dyDescent="0.25">
      <c r="A1212" t="s">
        <v>53</v>
      </c>
      <c r="B1212">
        <v>7172012002001100</v>
      </c>
      <c r="C1212">
        <v>80</v>
      </c>
      <c r="D1212">
        <v>0</v>
      </c>
      <c r="E1212">
        <v>0</v>
      </c>
      <c r="F1212">
        <v>80</v>
      </c>
      <c r="G1212">
        <v>0</v>
      </c>
      <c r="H1212">
        <v>0</v>
      </c>
      <c r="I1212">
        <v>0</v>
      </c>
      <c r="J1212">
        <v>0</v>
      </c>
    </row>
    <row r="1213" spans="1:10" x14ac:dyDescent="0.25">
      <c r="A1213" t="s">
        <v>48</v>
      </c>
      <c r="B1213">
        <v>7172011014001200</v>
      </c>
      <c r="C1213">
        <v>236</v>
      </c>
      <c r="D1213">
        <v>193</v>
      </c>
      <c r="E1213">
        <v>11</v>
      </c>
      <c r="F1213">
        <v>21</v>
      </c>
      <c r="G1213">
        <v>3</v>
      </c>
      <c r="H1213">
        <v>3</v>
      </c>
      <c r="I1213">
        <v>5</v>
      </c>
      <c r="J1213">
        <v>0</v>
      </c>
    </row>
    <row r="1214" spans="1:10" x14ac:dyDescent="0.25">
      <c r="A1214" t="s">
        <v>48</v>
      </c>
      <c r="B1214">
        <v>7172011014001100</v>
      </c>
      <c r="C1214">
        <v>202</v>
      </c>
      <c r="D1214">
        <v>139</v>
      </c>
      <c r="E1214">
        <v>12</v>
      </c>
      <c r="F1214">
        <v>46</v>
      </c>
      <c r="G1214">
        <v>3</v>
      </c>
      <c r="H1214">
        <v>0</v>
      </c>
      <c r="I1214">
        <v>2</v>
      </c>
      <c r="J1214">
        <v>0</v>
      </c>
    </row>
    <row r="1215" spans="1:10" x14ac:dyDescent="0.25">
      <c r="A1215" t="s">
        <v>48</v>
      </c>
      <c r="B1215">
        <v>7172011014000700</v>
      </c>
      <c r="C1215">
        <v>131</v>
      </c>
      <c r="D1215">
        <v>16</v>
      </c>
      <c r="E1215">
        <v>2</v>
      </c>
      <c r="F1215">
        <v>106</v>
      </c>
      <c r="G1215">
        <v>0</v>
      </c>
      <c r="H1215">
        <v>0</v>
      </c>
      <c r="I1215">
        <v>7</v>
      </c>
      <c r="J1215">
        <v>0</v>
      </c>
    </row>
    <row r="1216" spans="1:10" x14ac:dyDescent="0.25">
      <c r="A1216" t="s">
        <v>48</v>
      </c>
      <c r="B1216">
        <v>7172011014000900</v>
      </c>
      <c r="C1216">
        <v>114</v>
      </c>
      <c r="D1216">
        <v>13</v>
      </c>
      <c r="E1216">
        <v>10</v>
      </c>
      <c r="F1216">
        <v>50</v>
      </c>
      <c r="G1216">
        <v>1</v>
      </c>
      <c r="H1216">
        <v>0</v>
      </c>
      <c r="I1216">
        <v>40</v>
      </c>
      <c r="J1216">
        <v>0</v>
      </c>
    </row>
    <row r="1217" spans="1:10" x14ac:dyDescent="0.25">
      <c r="A1217" t="s">
        <v>48</v>
      </c>
      <c r="B1217">
        <v>7172011014000500</v>
      </c>
      <c r="C1217">
        <v>111</v>
      </c>
      <c r="D1217">
        <v>37</v>
      </c>
      <c r="E1217">
        <v>8</v>
      </c>
      <c r="F1217">
        <v>23</v>
      </c>
      <c r="G1217">
        <v>0</v>
      </c>
      <c r="H1217">
        <v>0</v>
      </c>
      <c r="I1217">
        <v>43</v>
      </c>
      <c r="J1217">
        <v>0</v>
      </c>
    </row>
    <row r="1218" spans="1:10" x14ac:dyDescent="0.25">
      <c r="A1218" t="s">
        <v>48</v>
      </c>
      <c r="B1218">
        <v>7172011014001000</v>
      </c>
      <c r="C1218">
        <v>65</v>
      </c>
      <c r="D1218">
        <v>8</v>
      </c>
      <c r="E1218">
        <v>1</v>
      </c>
      <c r="F1218">
        <v>56</v>
      </c>
      <c r="G1218">
        <v>0</v>
      </c>
      <c r="H1218">
        <v>0</v>
      </c>
      <c r="I1218">
        <v>0</v>
      </c>
      <c r="J1218">
        <v>0</v>
      </c>
    </row>
    <row r="1219" spans="1:10" x14ac:dyDescent="0.25">
      <c r="A1219" t="s">
        <v>52</v>
      </c>
      <c r="B1219">
        <v>7172012001000700</v>
      </c>
      <c r="C1219">
        <v>301</v>
      </c>
      <c r="D1219">
        <v>208</v>
      </c>
      <c r="E1219">
        <v>6</v>
      </c>
      <c r="F1219">
        <v>85</v>
      </c>
      <c r="G1219">
        <v>2</v>
      </c>
      <c r="H1219">
        <v>0</v>
      </c>
      <c r="I1219">
        <v>0</v>
      </c>
      <c r="J1219">
        <v>0</v>
      </c>
    </row>
    <row r="1220" spans="1:10" x14ac:dyDescent="0.25">
      <c r="A1220" t="s">
        <v>52</v>
      </c>
      <c r="B1220">
        <v>7172012001000602</v>
      </c>
      <c r="C1220">
        <v>266</v>
      </c>
      <c r="D1220">
        <v>148</v>
      </c>
      <c r="E1220">
        <v>2</v>
      </c>
      <c r="F1220">
        <v>116</v>
      </c>
      <c r="G1220">
        <v>0</v>
      </c>
      <c r="H1220">
        <v>0</v>
      </c>
      <c r="I1220">
        <v>0</v>
      </c>
      <c r="J1220">
        <v>0</v>
      </c>
    </row>
    <row r="1221" spans="1:10" x14ac:dyDescent="0.25">
      <c r="A1221" t="s">
        <v>49</v>
      </c>
      <c r="B1221">
        <v>7172012002000101</v>
      </c>
      <c r="C1221">
        <v>166</v>
      </c>
      <c r="D1221">
        <v>74</v>
      </c>
      <c r="E1221">
        <v>7</v>
      </c>
      <c r="F1221">
        <v>41</v>
      </c>
      <c r="G1221">
        <v>31</v>
      </c>
      <c r="H1221">
        <v>0</v>
      </c>
      <c r="I1221">
        <v>13</v>
      </c>
      <c r="J1221">
        <v>0</v>
      </c>
    </row>
    <row r="1222" spans="1:10" x14ac:dyDescent="0.25">
      <c r="A1222" t="s">
        <v>49</v>
      </c>
      <c r="B1222">
        <v>7172012002000500</v>
      </c>
      <c r="C1222">
        <v>134</v>
      </c>
      <c r="D1222">
        <v>26</v>
      </c>
      <c r="E1222">
        <v>0</v>
      </c>
      <c r="F1222">
        <v>102</v>
      </c>
      <c r="G1222">
        <v>6</v>
      </c>
      <c r="H1222">
        <v>0</v>
      </c>
      <c r="I1222">
        <v>0</v>
      </c>
      <c r="J1222">
        <v>0</v>
      </c>
    </row>
    <row r="1223" spans="1:10" x14ac:dyDescent="0.25">
      <c r="A1223" t="s">
        <v>49</v>
      </c>
      <c r="B1223">
        <v>7172012001000100</v>
      </c>
      <c r="C1223">
        <v>125</v>
      </c>
      <c r="D1223">
        <v>118</v>
      </c>
      <c r="E1223">
        <v>0</v>
      </c>
      <c r="F1223">
        <v>0</v>
      </c>
      <c r="G1223">
        <v>7</v>
      </c>
      <c r="H1223">
        <v>0</v>
      </c>
      <c r="I1223">
        <v>0</v>
      </c>
      <c r="J1223">
        <v>0</v>
      </c>
    </row>
    <row r="1224" spans="1:10" x14ac:dyDescent="0.25">
      <c r="A1224" t="s">
        <v>49</v>
      </c>
      <c r="B1224">
        <v>7172012001001100</v>
      </c>
      <c r="C1224">
        <v>94</v>
      </c>
      <c r="D1224">
        <v>15</v>
      </c>
      <c r="E1224">
        <v>5</v>
      </c>
      <c r="F1224">
        <v>74</v>
      </c>
      <c r="G1224">
        <v>0</v>
      </c>
      <c r="H1224">
        <v>0</v>
      </c>
      <c r="I1224">
        <v>0</v>
      </c>
      <c r="J1224">
        <v>0</v>
      </c>
    </row>
    <row r="1225" spans="1:10" x14ac:dyDescent="0.25">
      <c r="A1225" t="s">
        <v>49</v>
      </c>
      <c r="B1225">
        <v>7172012001001002</v>
      </c>
      <c r="C1225">
        <v>81</v>
      </c>
      <c r="D1225">
        <v>0</v>
      </c>
      <c r="E1225">
        <v>0</v>
      </c>
      <c r="F1225">
        <v>81</v>
      </c>
      <c r="G1225">
        <v>0</v>
      </c>
      <c r="H1225">
        <v>0</v>
      </c>
      <c r="I1225">
        <v>0</v>
      </c>
      <c r="J1225">
        <v>0</v>
      </c>
    </row>
    <row r="1226" spans="1:10" x14ac:dyDescent="0.25">
      <c r="A1226" t="s">
        <v>49</v>
      </c>
      <c r="B1226">
        <v>7172012002000102</v>
      </c>
      <c r="C1226">
        <v>78</v>
      </c>
      <c r="D1226">
        <v>2</v>
      </c>
      <c r="E1226">
        <v>10</v>
      </c>
      <c r="F1226">
        <v>59</v>
      </c>
      <c r="G1226">
        <v>0</v>
      </c>
      <c r="H1226">
        <v>0</v>
      </c>
      <c r="I1226">
        <v>7</v>
      </c>
      <c r="J1226">
        <v>0</v>
      </c>
    </row>
    <row r="1227" spans="1:10" x14ac:dyDescent="0.25">
      <c r="A1227" t="s">
        <v>57</v>
      </c>
      <c r="B1227">
        <v>7172012003000800</v>
      </c>
      <c r="C1227">
        <v>181</v>
      </c>
      <c r="D1227">
        <v>104</v>
      </c>
      <c r="E1227">
        <v>14</v>
      </c>
      <c r="F1227">
        <v>51</v>
      </c>
      <c r="G1227">
        <v>0</v>
      </c>
      <c r="H1227">
        <v>0</v>
      </c>
      <c r="I1227">
        <v>12</v>
      </c>
      <c r="J1227">
        <v>0</v>
      </c>
    </row>
    <row r="1228" spans="1:10" x14ac:dyDescent="0.25">
      <c r="A1228" t="s">
        <v>57</v>
      </c>
      <c r="B1228">
        <v>7172012003001100</v>
      </c>
      <c r="C1228">
        <v>123</v>
      </c>
      <c r="D1228">
        <v>114</v>
      </c>
      <c r="E1228">
        <v>0</v>
      </c>
      <c r="F1228">
        <v>9</v>
      </c>
      <c r="G1228">
        <v>0</v>
      </c>
      <c r="H1228">
        <v>0</v>
      </c>
      <c r="I1228">
        <v>0</v>
      </c>
      <c r="J1228">
        <v>0</v>
      </c>
    </row>
    <row r="1229" spans="1:10" x14ac:dyDescent="0.25">
      <c r="A1229" t="s">
        <v>57</v>
      </c>
      <c r="B1229">
        <v>7172012003000600</v>
      </c>
      <c r="C1229">
        <v>90</v>
      </c>
      <c r="D1229">
        <v>74</v>
      </c>
      <c r="E1229">
        <v>1</v>
      </c>
      <c r="F1229">
        <v>14</v>
      </c>
      <c r="G1229">
        <v>0</v>
      </c>
      <c r="H1229">
        <v>0</v>
      </c>
      <c r="I1229">
        <v>1</v>
      </c>
      <c r="J1229">
        <v>0</v>
      </c>
    </row>
    <row r="1230" spans="1:10" x14ac:dyDescent="0.25">
      <c r="A1230" t="s">
        <v>57</v>
      </c>
      <c r="B1230">
        <v>7172012003001200</v>
      </c>
      <c r="C1230">
        <v>84</v>
      </c>
      <c r="D1230">
        <v>6</v>
      </c>
      <c r="E1230">
        <v>1</v>
      </c>
      <c r="F1230">
        <v>69</v>
      </c>
      <c r="G1230">
        <v>0</v>
      </c>
      <c r="H1230">
        <v>0</v>
      </c>
      <c r="I1230">
        <v>8</v>
      </c>
      <c r="J1230">
        <v>0</v>
      </c>
    </row>
    <row r="1231" spans="1:10" x14ac:dyDescent="0.25">
      <c r="A1231" t="s">
        <v>57</v>
      </c>
      <c r="B1231">
        <v>7172012003001000</v>
      </c>
      <c r="C1231">
        <v>64</v>
      </c>
      <c r="D1231">
        <v>2</v>
      </c>
      <c r="E1231">
        <v>0</v>
      </c>
      <c r="F1231">
        <v>62</v>
      </c>
      <c r="G1231">
        <v>0</v>
      </c>
      <c r="H1231">
        <v>0</v>
      </c>
      <c r="I1231">
        <v>0</v>
      </c>
      <c r="J1231">
        <v>0</v>
      </c>
    </row>
    <row r="1232" spans="1:10" x14ac:dyDescent="0.25">
      <c r="A1232" t="s">
        <v>57</v>
      </c>
      <c r="B1232">
        <v>7172012003000500</v>
      </c>
      <c r="C1232">
        <v>62</v>
      </c>
      <c r="D1232">
        <v>30</v>
      </c>
      <c r="E1232">
        <v>1</v>
      </c>
      <c r="F1232">
        <v>31</v>
      </c>
      <c r="G1232">
        <v>0</v>
      </c>
      <c r="H1232">
        <v>0</v>
      </c>
      <c r="I1232">
        <v>0</v>
      </c>
      <c r="J1232">
        <v>0</v>
      </c>
    </row>
    <row r="1233" spans="1:10" x14ac:dyDescent="0.25">
      <c r="A1233" t="s">
        <v>57</v>
      </c>
      <c r="B1233">
        <v>7172012003000900</v>
      </c>
      <c r="C1233">
        <v>60</v>
      </c>
      <c r="D1233">
        <v>0</v>
      </c>
      <c r="E1233">
        <v>0</v>
      </c>
      <c r="F1233">
        <v>56</v>
      </c>
      <c r="G1233">
        <v>0</v>
      </c>
      <c r="H1233">
        <v>0</v>
      </c>
      <c r="I1233">
        <v>4</v>
      </c>
      <c r="J1233">
        <v>0</v>
      </c>
    </row>
    <row r="1234" spans="1:10" x14ac:dyDescent="0.25">
      <c r="A1234" t="s">
        <v>57</v>
      </c>
      <c r="B1234">
        <v>7172012003000100</v>
      </c>
      <c r="C1234">
        <v>57</v>
      </c>
      <c r="D1234">
        <v>54</v>
      </c>
      <c r="E1234">
        <v>1</v>
      </c>
      <c r="F1234">
        <v>0</v>
      </c>
      <c r="G1234">
        <v>0</v>
      </c>
      <c r="H1234">
        <v>0</v>
      </c>
      <c r="I1234">
        <v>2</v>
      </c>
      <c r="J1234">
        <v>0</v>
      </c>
    </row>
    <row r="1235" spans="1:10" x14ac:dyDescent="0.25">
      <c r="A1235" t="s">
        <v>238</v>
      </c>
      <c r="B1235">
        <v>7172012004000500</v>
      </c>
      <c r="C1235">
        <v>170</v>
      </c>
      <c r="D1235">
        <v>93</v>
      </c>
      <c r="E1235">
        <v>0</v>
      </c>
      <c r="F1235">
        <v>14</v>
      </c>
      <c r="G1235">
        <v>0</v>
      </c>
      <c r="H1235">
        <v>0</v>
      </c>
      <c r="I1235">
        <v>63</v>
      </c>
      <c r="J1235">
        <v>0</v>
      </c>
    </row>
    <row r="1236" spans="1:10" x14ac:dyDescent="0.25">
      <c r="A1236" t="s">
        <v>238</v>
      </c>
      <c r="B1236">
        <v>7172012004000600</v>
      </c>
      <c r="C1236">
        <v>166</v>
      </c>
      <c r="D1236">
        <v>65</v>
      </c>
      <c r="E1236">
        <v>0</v>
      </c>
      <c r="F1236">
        <v>34</v>
      </c>
      <c r="G1236">
        <v>0</v>
      </c>
      <c r="H1236">
        <v>0</v>
      </c>
      <c r="I1236">
        <v>67</v>
      </c>
      <c r="J1236">
        <v>0</v>
      </c>
    </row>
    <row r="1237" spans="1:10" x14ac:dyDescent="0.25">
      <c r="A1237" t="s">
        <v>238</v>
      </c>
      <c r="B1237">
        <v>7172012004000700</v>
      </c>
      <c r="C1237">
        <v>118</v>
      </c>
      <c r="D1237">
        <v>73</v>
      </c>
      <c r="E1237">
        <v>2</v>
      </c>
      <c r="F1237">
        <v>17</v>
      </c>
      <c r="G1237">
        <v>0</v>
      </c>
      <c r="H1237">
        <v>0</v>
      </c>
      <c r="I1237">
        <v>26</v>
      </c>
      <c r="J1237">
        <v>0</v>
      </c>
    </row>
    <row r="1238" spans="1:10" x14ac:dyDescent="0.25">
      <c r="A1238" t="s">
        <v>238</v>
      </c>
      <c r="B1238">
        <v>7172012004001001</v>
      </c>
      <c r="C1238">
        <v>92</v>
      </c>
      <c r="D1238">
        <v>0</v>
      </c>
      <c r="E1238">
        <v>2</v>
      </c>
      <c r="F1238">
        <v>90</v>
      </c>
      <c r="G1238">
        <v>0</v>
      </c>
      <c r="H1238">
        <v>0</v>
      </c>
      <c r="I1238">
        <v>0</v>
      </c>
      <c r="J1238">
        <v>0</v>
      </c>
    </row>
    <row r="1239" spans="1:10" x14ac:dyDescent="0.25">
      <c r="A1239" t="s">
        <v>238</v>
      </c>
      <c r="B1239">
        <v>7172012004000400</v>
      </c>
      <c r="C1239">
        <v>91</v>
      </c>
      <c r="D1239">
        <v>12</v>
      </c>
      <c r="E1239">
        <v>10</v>
      </c>
      <c r="F1239">
        <v>58</v>
      </c>
      <c r="G1239">
        <v>0</v>
      </c>
      <c r="H1239">
        <v>0</v>
      </c>
      <c r="I1239">
        <v>11</v>
      </c>
      <c r="J1239">
        <v>0</v>
      </c>
    </row>
    <row r="1240" spans="1:10" x14ac:dyDescent="0.25">
      <c r="A1240" t="s">
        <v>238</v>
      </c>
      <c r="B1240">
        <v>7172012004000800</v>
      </c>
      <c r="C1240">
        <v>78</v>
      </c>
      <c r="D1240">
        <v>55</v>
      </c>
      <c r="E1240">
        <v>0</v>
      </c>
      <c r="F1240">
        <v>6</v>
      </c>
      <c r="G1240">
        <v>0</v>
      </c>
      <c r="H1240">
        <v>0</v>
      </c>
      <c r="I1240">
        <v>17</v>
      </c>
      <c r="J1240">
        <v>0</v>
      </c>
    </row>
    <row r="1241" spans="1:10" x14ac:dyDescent="0.25">
      <c r="A1241" t="s">
        <v>61</v>
      </c>
      <c r="B1241">
        <v>7172012004001201</v>
      </c>
      <c r="C1241">
        <v>240</v>
      </c>
      <c r="D1241">
        <v>29</v>
      </c>
      <c r="E1241">
        <v>4</v>
      </c>
      <c r="F1241">
        <v>203</v>
      </c>
      <c r="G1241">
        <v>0</v>
      </c>
      <c r="H1241">
        <v>0</v>
      </c>
      <c r="I1241">
        <v>4</v>
      </c>
      <c r="J1241">
        <v>0</v>
      </c>
    </row>
    <row r="1242" spans="1:10" x14ac:dyDescent="0.25">
      <c r="A1242" t="s">
        <v>61</v>
      </c>
      <c r="B1242">
        <v>7172012004001100</v>
      </c>
      <c r="C1242">
        <v>180</v>
      </c>
      <c r="D1242">
        <v>141</v>
      </c>
      <c r="E1242">
        <v>0</v>
      </c>
      <c r="F1242">
        <v>39</v>
      </c>
      <c r="G1242">
        <v>0</v>
      </c>
      <c r="H1242">
        <v>0</v>
      </c>
      <c r="I1242">
        <v>0</v>
      </c>
      <c r="J1242">
        <v>0</v>
      </c>
    </row>
    <row r="1243" spans="1:10" x14ac:dyDescent="0.25">
      <c r="A1243" t="s">
        <v>61</v>
      </c>
      <c r="B1243">
        <v>7172012004001202</v>
      </c>
      <c r="C1243">
        <v>133</v>
      </c>
      <c r="D1243">
        <v>91</v>
      </c>
      <c r="E1243">
        <v>4</v>
      </c>
      <c r="F1243">
        <v>30</v>
      </c>
      <c r="G1243">
        <v>0</v>
      </c>
      <c r="H1243">
        <v>0</v>
      </c>
      <c r="I1243">
        <v>8</v>
      </c>
      <c r="J1243">
        <v>0</v>
      </c>
    </row>
    <row r="1244" spans="1:10" x14ac:dyDescent="0.25">
      <c r="A1244" t="s">
        <v>61</v>
      </c>
      <c r="B1244">
        <v>7172012004001003</v>
      </c>
      <c r="C1244">
        <v>93</v>
      </c>
      <c r="D1244">
        <v>19</v>
      </c>
      <c r="E1244">
        <v>0</v>
      </c>
      <c r="F1244">
        <v>74</v>
      </c>
      <c r="G1244">
        <v>0</v>
      </c>
      <c r="H1244">
        <v>0</v>
      </c>
      <c r="I1244">
        <v>0</v>
      </c>
      <c r="J1244">
        <v>0</v>
      </c>
    </row>
    <row r="1245" spans="1:10" x14ac:dyDescent="0.25">
      <c r="A1245" t="s">
        <v>61</v>
      </c>
      <c r="B1245">
        <v>7172012004001002</v>
      </c>
      <c r="C1245">
        <v>67</v>
      </c>
      <c r="D1245">
        <v>49</v>
      </c>
      <c r="E1245">
        <v>0</v>
      </c>
      <c r="F1245">
        <v>18</v>
      </c>
      <c r="G1245">
        <v>0</v>
      </c>
      <c r="H1245">
        <v>0</v>
      </c>
      <c r="I1245">
        <v>0</v>
      </c>
      <c r="J1245">
        <v>0</v>
      </c>
    </row>
    <row r="1246" spans="1:10" x14ac:dyDescent="0.25">
      <c r="A1246" t="s">
        <v>68</v>
      </c>
      <c r="B1246">
        <v>7172012007001800</v>
      </c>
      <c r="C1246">
        <v>139</v>
      </c>
      <c r="D1246">
        <v>89</v>
      </c>
      <c r="E1246">
        <v>10</v>
      </c>
      <c r="F1246">
        <v>40</v>
      </c>
      <c r="G1246">
        <v>0</v>
      </c>
      <c r="H1246">
        <v>0</v>
      </c>
      <c r="I1246">
        <v>0</v>
      </c>
      <c r="J1246">
        <v>0</v>
      </c>
    </row>
    <row r="1247" spans="1:10" x14ac:dyDescent="0.25">
      <c r="A1247" t="s">
        <v>68</v>
      </c>
      <c r="B1247">
        <v>7172012007001700</v>
      </c>
      <c r="C1247">
        <v>136</v>
      </c>
      <c r="D1247">
        <v>15</v>
      </c>
      <c r="E1247">
        <v>44</v>
      </c>
      <c r="F1247">
        <v>56</v>
      </c>
      <c r="G1247">
        <v>2</v>
      </c>
      <c r="H1247">
        <v>0</v>
      </c>
      <c r="I1247">
        <v>19</v>
      </c>
      <c r="J1247">
        <v>0</v>
      </c>
    </row>
    <row r="1248" spans="1:10" x14ac:dyDescent="0.25">
      <c r="A1248" t="s">
        <v>68</v>
      </c>
      <c r="B1248">
        <v>7172012007002000</v>
      </c>
      <c r="C1248">
        <v>127</v>
      </c>
      <c r="D1248">
        <v>122</v>
      </c>
      <c r="E1248">
        <v>2</v>
      </c>
      <c r="F1248">
        <v>3</v>
      </c>
      <c r="G1248">
        <v>0</v>
      </c>
      <c r="H1248">
        <v>0</v>
      </c>
      <c r="I1248">
        <v>0</v>
      </c>
      <c r="J1248">
        <v>0</v>
      </c>
    </row>
    <row r="1249" spans="1:10" x14ac:dyDescent="0.25">
      <c r="A1249" t="s">
        <v>68</v>
      </c>
      <c r="B1249">
        <v>7172012007002100</v>
      </c>
      <c r="C1249">
        <v>109</v>
      </c>
      <c r="D1249">
        <v>92</v>
      </c>
      <c r="E1249">
        <v>1</v>
      </c>
      <c r="F1249">
        <v>12</v>
      </c>
      <c r="G1249">
        <v>3</v>
      </c>
      <c r="H1249">
        <v>0</v>
      </c>
      <c r="I1249">
        <v>1</v>
      </c>
      <c r="J1249">
        <v>0</v>
      </c>
    </row>
    <row r="1250" spans="1:10" x14ac:dyDescent="0.25">
      <c r="A1250" t="s">
        <v>68</v>
      </c>
      <c r="B1250">
        <v>7172012006000100</v>
      </c>
      <c r="C1250">
        <v>92</v>
      </c>
      <c r="D1250">
        <v>0</v>
      </c>
      <c r="E1250">
        <v>0</v>
      </c>
      <c r="F1250">
        <v>92</v>
      </c>
      <c r="G1250">
        <v>0</v>
      </c>
      <c r="H1250">
        <v>0</v>
      </c>
      <c r="I1250">
        <v>0</v>
      </c>
      <c r="J1250">
        <v>0</v>
      </c>
    </row>
    <row r="1251" spans="1:10" x14ac:dyDescent="0.25">
      <c r="A1251" t="s">
        <v>68</v>
      </c>
      <c r="B1251">
        <v>7172012006000400</v>
      </c>
      <c r="C1251">
        <v>56</v>
      </c>
      <c r="D1251">
        <v>0</v>
      </c>
      <c r="E1251">
        <v>0</v>
      </c>
      <c r="F1251">
        <v>56</v>
      </c>
      <c r="G1251">
        <v>0</v>
      </c>
      <c r="H1251">
        <v>0</v>
      </c>
      <c r="I1251">
        <v>0</v>
      </c>
      <c r="J1251">
        <v>0</v>
      </c>
    </row>
    <row r="1252" spans="1:10" x14ac:dyDescent="0.25">
      <c r="A1252" t="s">
        <v>68</v>
      </c>
      <c r="B1252">
        <v>7172012006000300</v>
      </c>
      <c r="C1252">
        <v>47</v>
      </c>
      <c r="D1252">
        <v>0</v>
      </c>
      <c r="E1252">
        <v>0</v>
      </c>
      <c r="F1252">
        <v>47</v>
      </c>
      <c r="G1252">
        <v>0</v>
      </c>
      <c r="H1252">
        <v>0</v>
      </c>
      <c r="I1252">
        <v>0</v>
      </c>
      <c r="J1252">
        <v>0</v>
      </c>
    </row>
    <row r="1253" spans="1:10" x14ac:dyDescent="0.25">
      <c r="A1253" t="s">
        <v>68</v>
      </c>
      <c r="B1253">
        <v>7172012006000200</v>
      </c>
      <c r="C1253">
        <v>39</v>
      </c>
      <c r="D1253">
        <v>0</v>
      </c>
      <c r="E1253">
        <v>0</v>
      </c>
      <c r="F1253">
        <v>39</v>
      </c>
      <c r="G1253">
        <v>0</v>
      </c>
      <c r="H1253">
        <v>0</v>
      </c>
      <c r="I1253">
        <v>0</v>
      </c>
      <c r="J1253">
        <v>0</v>
      </c>
    </row>
    <row r="1254" spans="1:10" x14ac:dyDescent="0.25">
      <c r="A1254" t="s">
        <v>66</v>
      </c>
      <c r="B1254">
        <v>7172012007000100</v>
      </c>
      <c r="C1254">
        <v>136</v>
      </c>
      <c r="D1254">
        <v>0</v>
      </c>
      <c r="E1254">
        <v>0</v>
      </c>
      <c r="F1254">
        <v>136</v>
      </c>
      <c r="G1254">
        <v>0</v>
      </c>
      <c r="H1254">
        <v>0</v>
      </c>
      <c r="I1254">
        <v>0</v>
      </c>
      <c r="J1254">
        <v>0</v>
      </c>
    </row>
    <row r="1255" spans="1:10" x14ac:dyDescent="0.25">
      <c r="A1255" t="s">
        <v>66</v>
      </c>
      <c r="B1255">
        <v>7172012005001900</v>
      </c>
      <c r="C1255">
        <v>91</v>
      </c>
      <c r="D1255">
        <v>0</v>
      </c>
      <c r="E1255">
        <v>5</v>
      </c>
      <c r="F1255">
        <v>85</v>
      </c>
      <c r="G1255">
        <v>0</v>
      </c>
      <c r="H1255">
        <v>0</v>
      </c>
      <c r="I1255">
        <v>1</v>
      </c>
      <c r="J1255">
        <v>0</v>
      </c>
    </row>
    <row r="1256" spans="1:10" x14ac:dyDescent="0.25">
      <c r="A1256" t="s">
        <v>66</v>
      </c>
      <c r="B1256">
        <v>7172012005000400</v>
      </c>
      <c r="C1256">
        <v>62</v>
      </c>
      <c r="D1256">
        <v>50</v>
      </c>
      <c r="E1256">
        <v>2</v>
      </c>
      <c r="F1256">
        <v>8</v>
      </c>
      <c r="G1256">
        <v>0</v>
      </c>
      <c r="H1256">
        <v>1</v>
      </c>
      <c r="I1256">
        <v>1</v>
      </c>
      <c r="J1256">
        <v>0</v>
      </c>
    </row>
    <row r="1257" spans="1:10" x14ac:dyDescent="0.25">
      <c r="A1257" t="s">
        <v>66</v>
      </c>
      <c r="B1257">
        <v>7172012005000600</v>
      </c>
      <c r="C1257">
        <v>59</v>
      </c>
      <c r="D1257">
        <v>54</v>
      </c>
      <c r="E1257">
        <v>1</v>
      </c>
      <c r="F1257">
        <v>4</v>
      </c>
      <c r="G1257">
        <v>0</v>
      </c>
      <c r="H1257">
        <v>0</v>
      </c>
      <c r="I1257">
        <v>0</v>
      </c>
      <c r="J1257">
        <v>0</v>
      </c>
    </row>
    <row r="1258" spans="1:10" x14ac:dyDescent="0.25">
      <c r="A1258" t="s">
        <v>66</v>
      </c>
      <c r="B1258">
        <v>7172012005000500</v>
      </c>
      <c r="C1258">
        <v>56</v>
      </c>
      <c r="D1258">
        <v>51</v>
      </c>
      <c r="E1258">
        <v>0</v>
      </c>
      <c r="F1258">
        <v>5</v>
      </c>
      <c r="G1258">
        <v>0</v>
      </c>
      <c r="H1258">
        <v>0</v>
      </c>
      <c r="I1258">
        <v>0</v>
      </c>
      <c r="J1258">
        <v>0</v>
      </c>
    </row>
    <row r="1259" spans="1:10" x14ac:dyDescent="0.25">
      <c r="A1259" t="s">
        <v>66</v>
      </c>
      <c r="B1259">
        <v>7172012005002400</v>
      </c>
      <c r="C1259">
        <v>52</v>
      </c>
      <c r="D1259">
        <v>39</v>
      </c>
      <c r="E1259">
        <v>3</v>
      </c>
      <c r="F1259">
        <v>9</v>
      </c>
      <c r="G1259">
        <v>0</v>
      </c>
      <c r="H1259">
        <v>0</v>
      </c>
      <c r="I1259">
        <v>1</v>
      </c>
      <c r="J1259">
        <v>0</v>
      </c>
    </row>
    <row r="1260" spans="1:10" x14ac:dyDescent="0.25">
      <c r="A1260" t="s">
        <v>66</v>
      </c>
      <c r="B1260">
        <v>7172012005002300</v>
      </c>
      <c r="C1260">
        <v>50</v>
      </c>
      <c r="D1260">
        <v>22</v>
      </c>
      <c r="E1260">
        <v>6</v>
      </c>
      <c r="F1260">
        <v>12</v>
      </c>
      <c r="G1260">
        <v>1</v>
      </c>
      <c r="H1260">
        <v>0</v>
      </c>
      <c r="I1260">
        <v>9</v>
      </c>
      <c r="J1260">
        <v>0</v>
      </c>
    </row>
    <row r="1261" spans="1:10" x14ac:dyDescent="0.25">
      <c r="A1261" t="s">
        <v>66</v>
      </c>
      <c r="B1261">
        <v>7172012005002200</v>
      </c>
      <c r="C1261">
        <v>47</v>
      </c>
      <c r="D1261">
        <v>33</v>
      </c>
      <c r="E1261">
        <v>0</v>
      </c>
      <c r="F1261">
        <v>7</v>
      </c>
      <c r="G1261">
        <v>0</v>
      </c>
      <c r="H1261">
        <v>0</v>
      </c>
      <c r="I1261">
        <v>7</v>
      </c>
      <c r="J1261">
        <v>0</v>
      </c>
    </row>
    <row r="1262" spans="1:10" x14ac:dyDescent="0.25">
      <c r="A1262" t="s">
        <v>66</v>
      </c>
      <c r="B1262">
        <v>7172012005000300</v>
      </c>
      <c r="C1262">
        <v>42</v>
      </c>
      <c r="D1262">
        <v>40</v>
      </c>
      <c r="E1262">
        <v>0</v>
      </c>
      <c r="F1262">
        <v>2</v>
      </c>
      <c r="G1262">
        <v>0</v>
      </c>
      <c r="H1262">
        <v>0</v>
      </c>
      <c r="I1262">
        <v>0</v>
      </c>
      <c r="J1262">
        <v>0</v>
      </c>
    </row>
    <row r="1263" spans="1:10" x14ac:dyDescent="0.25">
      <c r="A1263" t="s">
        <v>66</v>
      </c>
      <c r="B1263">
        <v>7172012005002100</v>
      </c>
      <c r="C1263">
        <v>36</v>
      </c>
      <c r="D1263">
        <v>24</v>
      </c>
      <c r="E1263">
        <v>4</v>
      </c>
      <c r="F1263">
        <v>5</v>
      </c>
      <c r="G1263">
        <v>0</v>
      </c>
      <c r="H1263">
        <v>0</v>
      </c>
      <c r="I1263">
        <v>3</v>
      </c>
      <c r="J1263">
        <v>0</v>
      </c>
    </row>
    <row r="1264" spans="1:10" x14ac:dyDescent="0.25">
      <c r="A1264" t="s">
        <v>66</v>
      </c>
      <c r="B1264">
        <v>7172012005002000</v>
      </c>
      <c r="C1264">
        <v>28</v>
      </c>
      <c r="D1264">
        <v>16</v>
      </c>
      <c r="E1264">
        <v>2</v>
      </c>
      <c r="F1264">
        <v>6</v>
      </c>
      <c r="G1264">
        <v>0</v>
      </c>
      <c r="H1264">
        <v>0</v>
      </c>
      <c r="I1264">
        <v>4</v>
      </c>
      <c r="J1264">
        <v>0</v>
      </c>
    </row>
    <row r="1265" spans="1:10" x14ac:dyDescent="0.25">
      <c r="A1265" t="s">
        <v>69</v>
      </c>
      <c r="B1265">
        <v>7172012006000801</v>
      </c>
      <c r="C1265">
        <v>165</v>
      </c>
      <c r="D1265">
        <v>111</v>
      </c>
      <c r="E1265">
        <v>7</v>
      </c>
      <c r="F1265">
        <v>23</v>
      </c>
      <c r="G1265">
        <v>0</v>
      </c>
      <c r="H1265">
        <v>0</v>
      </c>
      <c r="I1265">
        <v>24</v>
      </c>
      <c r="J1265">
        <v>0</v>
      </c>
    </row>
    <row r="1266" spans="1:10" x14ac:dyDescent="0.25">
      <c r="A1266" t="s">
        <v>69</v>
      </c>
      <c r="B1266">
        <v>7172012006000700</v>
      </c>
      <c r="C1266">
        <v>137</v>
      </c>
      <c r="D1266">
        <v>0</v>
      </c>
      <c r="E1266">
        <v>3</v>
      </c>
      <c r="F1266">
        <v>110</v>
      </c>
      <c r="G1266">
        <v>0</v>
      </c>
      <c r="H1266">
        <v>0</v>
      </c>
      <c r="I1266">
        <v>24</v>
      </c>
      <c r="J1266">
        <v>0</v>
      </c>
    </row>
    <row r="1267" spans="1:10" x14ac:dyDescent="0.25">
      <c r="A1267" t="s">
        <v>69</v>
      </c>
      <c r="B1267">
        <v>7172012006000901</v>
      </c>
      <c r="C1267">
        <v>130</v>
      </c>
      <c r="D1267">
        <v>0</v>
      </c>
      <c r="E1267">
        <v>0</v>
      </c>
      <c r="F1267">
        <v>130</v>
      </c>
      <c r="G1267">
        <v>0</v>
      </c>
      <c r="H1267">
        <v>0</v>
      </c>
      <c r="I1267">
        <v>0</v>
      </c>
      <c r="J1267">
        <v>0</v>
      </c>
    </row>
    <row r="1268" spans="1:10" x14ac:dyDescent="0.25">
      <c r="A1268" t="s">
        <v>69</v>
      </c>
      <c r="B1268">
        <v>7172012006000802</v>
      </c>
      <c r="C1268">
        <v>122</v>
      </c>
      <c r="D1268">
        <v>115</v>
      </c>
      <c r="E1268">
        <v>2</v>
      </c>
      <c r="F1268">
        <v>0</v>
      </c>
      <c r="G1268">
        <v>0</v>
      </c>
      <c r="H1268">
        <v>0</v>
      </c>
      <c r="I1268">
        <v>5</v>
      </c>
      <c r="J1268">
        <v>0</v>
      </c>
    </row>
    <row r="1269" spans="1:10" x14ac:dyDescent="0.25">
      <c r="A1269" t="s">
        <v>69</v>
      </c>
      <c r="B1269">
        <v>7172012006000600</v>
      </c>
      <c r="C1269">
        <v>109</v>
      </c>
      <c r="D1269">
        <v>37</v>
      </c>
      <c r="E1269">
        <v>10</v>
      </c>
      <c r="F1269">
        <v>40</v>
      </c>
      <c r="G1269">
        <v>0</v>
      </c>
      <c r="H1269">
        <v>0</v>
      </c>
      <c r="I1269">
        <v>22</v>
      </c>
      <c r="J1269">
        <v>0</v>
      </c>
    </row>
    <row r="1270" spans="1:10" x14ac:dyDescent="0.25">
      <c r="A1270" t="s">
        <v>69</v>
      </c>
      <c r="B1270">
        <v>7172012006000500</v>
      </c>
      <c r="C1270">
        <v>75</v>
      </c>
      <c r="D1270">
        <v>74</v>
      </c>
      <c r="E1270">
        <v>1</v>
      </c>
      <c r="F1270">
        <v>0</v>
      </c>
      <c r="G1270">
        <v>0</v>
      </c>
      <c r="H1270">
        <v>0</v>
      </c>
      <c r="I1270">
        <v>0</v>
      </c>
      <c r="J1270">
        <v>0</v>
      </c>
    </row>
    <row r="1271" spans="1:10" x14ac:dyDescent="0.25">
      <c r="A1271" t="s">
        <v>73</v>
      </c>
      <c r="B1271">
        <v>7172012007001300</v>
      </c>
      <c r="C1271">
        <v>170</v>
      </c>
      <c r="D1271">
        <v>104</v>
      </c>
      <c r="E1271">
        <v>3</v>
      </c>
      <c r="F1271">
        <v>63</v>
      </c>
      <c r="G1271">
        <v>0</v>
      </c>
      <c r="H1271">
        <v>0</v>
      </c>
      <c r="I1271">
        <v>0</v>
      </c>
      <c r="J1271">
        <v>0</v>
      </c>
    </row>
    <row r="1272" spans="1:10" x14ac:dyDescent="0.25">
      <c r="A1272" t="s">
        <v>73</v>
      </c>
      <c r="B1272">
        <v>7172012007001400</v>
      </c>
      <c r="C1272">
        <v>124</v>
      </c>
      <c r="D1272">
        <v>61</v>
      </c>
      <c r="E1272">
        <v>3</v>
      </c>
      <c r="F1272">
        <v>41</v>
      </c>
      <c r="G1272">
        <v>2</v>
      </c>
      <c r="H1272">
        <v>0</v>
      </c>
      <c r="I1272">
        <v>17</v>
      </c>
      <c r="J1272">
        <v>0</v>
      </c>
    </row>
    <row r="1273" spans="1:10" x14ac:dyDescent="0.25">
      <c r="A1273" t="s">
        <v>73</v>
      </c>
      <c r="B1273">
        <v>7172012007001500</v>
      </c>
      <c r="C1273">
        <v>103</v>
      </c>
      <c r="D1273">
        <v>85</v>
      </c>
      <c r="E1273">
        <v>3</v>
      </c>
      <c r="F1273">
        <v>15</v>
      </c>
      <c r="G1273">
        <v>0</v>
      </c>
      <c r="H1273">
        <v>0</v>
      </c>
      <c r="I1273">
        <v>0</v>
      </c>
      <c r="J1273">
        <v>0</v>
      </c>
    </row>
    <row r="1274" spans="1:10" x14ac:dyDescent="0.25">
      <c r="A1274" t="s">
        <v>73</v>
      </c>
      <c r="B1274">
        <v>7172012007001600</v>
      </c>
      <c r="C1274">
        <v>93</v>
      </c>
      <c r="D1274">
        <v>5</v>
      </c>
      <c r="E1274">
        <v>15</v>
      </c>
      <c r="F1274">
        <v>64</v>
      </c>
      <c r="G1274">
        <v>0</v>
      </c>
      <c r="H1274">
        <v>0</v>
      </c>
      <c r="I1274">
        <v>9</v>
      </c>
      <c r="J1274">
        <v>0</v>
      </c>
    </row>
    <row r="1275" spans="1:10" x14ac:dyDescent="0.25">
      <c r="A1275" t="s">
        <v>73</v>
      </c>
      <c r="B1275">
        <v>7172012007001200</v>
      </c>
      <c r="C1275">
        <v>85</v>
      </c>
      <c r="D1275">
        <v>11</v>
      </c>
      <c r="E1275">
        <v>0</v>
      </c>
      <c r="F1275">
        <v>74</v>
      </c>
      <c r="G1275">
        <v>0</v>
      </c>
      <c r="H1275">
        <v>0</v>
      </c>
      <c r="I1275">
        <v>0</v>
      </c>
      <c r="J1275">
        <v>0</v>
      </c>
    </row>
    <row r="1276" spans="1:10" x14ac:dyDescent="0.25">
      <c r="A1276" t="s">
        <v>73</v>
      </c>
      <c r="B1276">
        <v>7172012007001900</v>
      </c>
      <c r="C1276">
        <v>78</v>
      </c>
      <c r="D1276">
        <v>4</v>
      </c>
      <c r="E1276">
        <v>0</v>
      </c>
      <c r="F1276">
        <v>73</v>
      </c>
      <c r="G1276">
        <v>0</v>
      </c>
      <c r="H1276">
        <v>0</v>
      </c>
      <c r="I1276">
        <v>1</v>
      </c>
      <c r="J1276">
        <v>0</v>
      </c>
    </row>
    <row r="1277" spans="1:10" x14ac:dyDescent="0.25">
      <c r="A1277" t="s">
        <v>77</v>
      </c>
      <c r="B1277">
        <v>7172021003000400</v>
      </c>
      <c r="C1277">
        <v>118</v>
      </c>
      <c r="D1277">
        <v>117</v>
      </c>
      <c r="E1277">
        <v>0</v>
      </c>
      <c r="F1277">
        <v>0</v>
      </c>
      <c r="G1277">
        <v>0</v>
      </c>
      <c r="H1277">
        <v>1</v>
      </c>
      <c r="I1277">
        <v>0</v>
      </c>
      <c r="J1277">
        <v>0</v>
      </c>
    </row>
    <row r="1278" spans="1:10" x14ac:dyDescent="0.25">
      <c r="A1278" t="s">
        <v>77</v>
      </c>
      <c r="B1278">
        <v>7172021003000200</v>
      </c>
      <c r="C1278">
        <v>114</v>
      </c>
      <c r="D1278">
        <v>114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</row>
    <row r="1279" spans="1:10" x14ac:dyDescent="0.25">
      <c r="A1279" t="s">
        <v>77</v>
      </c>
      <c r="B1279">
        <v>7172021003000500</v>
      </c>
      <c r="C1279">
        <v>94</v>
      </c>
      <c r="D1279">
        <v>14</v>
      </c>
      <c r="E1279">
        <v>0</v>
      </c>
      <c r="F1279">
        <v>80</v>
      </c>
      <c r="G1279">
        <v>0</v>
      </c>
      <c r="H1279">
        <v>0</v>
      </c>
      <c r="I1279">
        <v>0</v>
      </c>
      <c r="J1279">
        <v>0</v>
      </c>
    </row>
    <row r="1280" spans="1:10" x14ac:dyDescent="0.25">
      <c r="A1280" t="s">
        <v>77</v>
      </c>
      <c r="B1280">
        <v>7172021003000600</v>
      </c>
      <c r="C1280">
        <v>81</v>
      </c>
      <c r="D1280">
        <v>17</v>
      </c>
      <c r="E1280">
        <v>0</v>
      </c>
      <c r="F1280">
        <v>64</v>
      </c>
      <c r="G1280">
        <v>0</v>
      </c>
      <c r="H1280">
        <v>0</v>
      </c>
      <c r="I1280">
        <v>0</v>
      </c>
      <c r="J1280">
        <v>0</v>
      </c>
    </row>
    <row r="1281" spans="1:10" x14ac:dyDescent="0.25">
      <c r="A1281" t="s">
        <v>77</v>
      </c>
      <c r="B1281">
        <v>7172021003000700</v>
      </c>
      <c r="C1281">
        <v>54</v>
      </c>
      <c r="D1281">
        <v>18</v>
      </c>
      <c r="E1281">
        <v>0</v>
      </c>
      <c r="F1281">
        <v>24</v>
      </c>
      <c r="G1281">
        <v>0</v>
      </c>
      <c r="H1281">
        <v>0</v>
      </c>
      <c r="I1281">
        <v>12</v>
      </c>
      <c r="J1281">
        <v>0</v>
      </c>
    </row>
    <row r="1282" spans="1:10" x14ac:dyDescent="0.25">
      <c r="A1282" t="s">
        <v>239</v>
      </c>
      <c r="B1282">
        <v>7172021006002200</v>
      </c>
      <c r="C1282">
        <v>84</v>
      </c>
      <c r="D1282">
        <v>47</v>
      </c>
      <c r="E1282">
        <v>5</v>
      </c>
      <c r="F1282">
        <v>17</v>
      </c>
      <c r="G1282">
        <v>1</v>
      </c>
      <c r="H1282">
        <v>0</v>
      </c>
      <c r="I1282">
        <v>14</v>
      </c>
      <c r="J1282">
        <v>0</v>
      </c>
    </row>
    <row r="1283" spans="1:10" x14ac:dyDescent="0.25">
      <c r="A1283" t="s">
        <v>239</v>
      </c>
      <c r="B1283">
        <v>7172021006001600</v>
      </c>
      <c r="C1283">
        <v>74</v>
      </c>
      <c r="D1283">
        <v>54</v>
      </c>
      <c r="E1283">
        <v>12</v>
      </c>
      <c r="F1283">
        <v>8</v>
      </c>
      <c r="G1283">
        <v>0</v>
      </c>
      <c r="H1283">
        <v>0</v>
      </c>
      <c r="I1283">
        <v>0</v>
      </c>
      <c r="J1283">
        <v>0</v>
      </c>
    </row>
    <row r="1284" spans="1:10" x14ac:dyDescent="0.25">
      <c r="A1284" t="s">
        <v>239</v>
      </c>
      <c r="B1284">
        <v>7172021006001800</v>
      </c>
      <c r="C1284">
        <v>58</v>
      </c>
      <c r="D1284">
        <v>17</v>
      </c>
      <c r="E1284">
        <v>7</v>
      </c>
      <c r="F1284">
        <v>34</v>
      </c>
      <c r="G1284">
        <v>0</v>
      </c>
      <c r="H1284">
        <v>0</v>
      </c>
      <c r="I1284">
        <v>0</v>
      </c>
      <c r="J1284">
        <v>0</v>
      </c>
    </row>
    <row r="1285" spans="1:10" x14ac:dyDescent="0.25">
      <c r="A1285" t="s">
        <v>239</v>
      </c>
      <c r="B1285">
        <v>7172021007000400</v>
      </c>
      <c r="C1285">
        <v>56</v>
      </c>
      <c r="D1285">
        <v>5</v>
      </c>
      <c r="E1285">
        <v>7</v>
      </c>
      <c r="F1285">
        <v>43</v>
      </c>
      <c r="G1285">
        <v>0</v>
      </c>
      <c r="H1285">
        <v>1</v>
      </c>
      <c r="I1285">
        <v>0</v>
      </c>
      <c r="J1285">
        <v>0</v>
      </c>
    </row>
    <row r="1286" spans="1:10" x14ac:dyDescent="0.25">
      <c r="A1286" t="s">
        <v>239</v>
      </c>
      <c r="B1286">
        <v>7172021007000100</v>
      </c>
      <c r="C1286">
        <v>53</v>
      </c>
      <c r="D1286">
        <v>43</v>
      </c>
      <c r="E1286">
        <v>5</v>
      </c>
      <c r="F1286">
        <v>3</v>
      </c>
      <c r="G1286">
        <v>0</v>
      </c>
      <c r="H1286">
        <v>0</v>
      </c>
      <c r="I1286">
        <v>2</v>
      </c>
      <c r="J1286">
        <v>0</v>
      </c>
    </row>
    <row r="1287" spans="1:10" x14ac:dyDescent="0.25">
      <c r="A1287" t="s">
        <v>239</v>
      </c>
      <c r="B1287">
        <v>7172021006001700</v>
      </c>
      <c r="C1287">
        <v>45</v>
      </c>
      <c r="D1287">
        <v>42</v>
      </c>
      <c r="E1287">
        <v>1</v>
      </c>
      <c r="F1287">
        <v>1</v>
      </c>
      <c r="G1287">
        <v>0</v>
      </c>
      <c r="H1287">
        <v>0</v>
      </c>
      <c r="I1287">
        <v>1</v>
      </c>
      <c r="J1287">
        <v>0</v>
      </c>
    </row>
    <row r="1288" spans="1:10" x14ac:dyDescent="0.25">
      <c r="A1288" t="s">
        <v>239</v>
      </c>
      <c r="B1288">
        <v>7172021007000200</v>
      </c>
      <c r="C1288">
        <v>42</v>
      </c>
      <c r="D1288">
        <v>11</v>
      </c>
      <c r="E1288">
        <v>16</v>
      </c>
      <c r="F1288">
        <v>12</v>
      </c>
      <c r="G1288">
        <v>0</v>
      </c>
      <c r="H1288">
        <v>0</v>
      </c>
      <c r="I1288">
        <v>3</v>
      </c>
      <c r="J1288">
        <v>0</v>
      </c>
    </row>
    <row r="1289" spans="1:10" x14ac:dyDescent="0.25">
      <c r="A1289" t="s">
        <v>239</v>
      </c>
      <c r="B1289">
        <v>7172021007000500</v>
      </c>
      <c r="C1289">
        <v>42</v>
      </c>
      <c r="D1289">
        <v>7</v>
      </c>
      <c r="E1289">
        <v>1</v>
      </c>
      <c r="F1289">
        <v>34</v>
      </c>
      <c r="G1289">
        <v>0</v>
      </c>
      <c r="H1289">
        <v>0</v>
      </c>
      <c r="I1289">
        <v>0</v>
      </c>
      <c r="J1289">
        <v>0</v>
      </c>
    </row>
    <row r="1290" spans="1:10" x14ac:dyDescent="0.25">
      <c r="A1290" t="s">
        <v>239</v>
      </c>
      <c r="B1290">
        <v>7172021007000300</v>
      </c>
      <c r="C1290">
        <v>41</v>
      </c>
      <c r="D1290">
        <v>6</v>
      </c>
      <c r="E1290">
        <v>3</v>
      </c>
      <c r="F1290">
        <v>9</v>
      </c>
      <c r="G1290">
        <v>1</v>
      </c>
      <c r="H1290">
        <v>0</v>
      </c>
      <c r="I1290">
        <v>22</v>
      </c>
      <c r="J1290">
        <v>0</v>
      </c>
    </row>
    <row r="1291" spans="1:10" x14ac:dyDescent="0.25">
      <c r="A1291" t="s">
        <v>239</v>
      </c>
      <c r="B1291">
        <v>7172021007000600</v>
      </c>
      <c r="C1291">
        <v>31</v>
      </c>
      <c r="D1291">
        <v>7</v>
      </c>
      <c r="E1291">
        <v>1</v>
      </c>
      <c r="F1291">
        <v>23</v>
      </c>
      <c r="G1291">
        <v>0</v>
      </c>
      <c r="H1291">
        <v>0</v>
      </c>
      <c r="I1291">
        <v>0</v>
      </c>
      <c r="J1291">
        <v>0</v>
      </c>
    </row>
    <row r="1292" spans="1:10" x14ac:dyDescent="0.25">
      <c r="A1292" t="s">
        <v>82</v>
      </c>
      <c r="B1292">
        <v>7172022001000200</v>
      </c>
      <c r="C1292">
        <v>107</v>
      </c>
      <c r="D1292">
        <v>98</v>
      </c>
      <c r="E1292">
        <v>6</v>
      </c>
      <c r="F1292">
        <v>3</v>
      </c>
      <c r="G1292">
        <v>0</v>
      </c>
      <c r="H1292">
        <v>0</v>
      </c>
      <c r="I1292">
        <v>0</v>
      </c>
      <c r="J1292">
        <v>0</v>
      </c>
    </row>
    <row r="1293" spans="1:10" x14ac:dyDescent="0.25">
      <c r="A1293" t="s">
        <v>82</v>
      </c>
      <c r="B1293">
        <v>7172022001000300</v>
      </c>
      <c r="C1293">
        <v>103</v>
      </c>
      <c r="D1293">
        <v>59</v>
      </c>
      <c r="E1293">
        <v>35</v>
      </c>
      <c r="F1293">
        <v>8</v>
      </c>
      <c r="G1293">
        <v>0</v>
      </c>
      <c r="H1293">
        <v>0</v>
      </c>
      <c r="I1293">
        <v>1</v>
      </c>
      <c r="J1293">
        <v>0</v>
      </c>
    </row>
    <row r="1294" spans="1:10" x14ac:dyDescent="0.25">
      <c r="A1294" t="s">
        <v>82</v>
      </c>
      <c r="B1294">
        <v>7172022001000400</v>
      </c>
      <c r="C1294">
        <v>91</v>
      </c>
      <c r="D1294">
        <v>0</v>
      </c>
      <c r="E1294">
        <v>0</v>
      </c>
      <c r="F1294">
        <v>91</v>
      </c>
      <c r="G1294">
        <v>0</v>
      </c>
      <c r="H1294">
        <v>0</v>
      </c>
      <c r="I1294">
        <v>0</v>
      </c>
      <c r="J1294">
        <v>0</v>
      </c>
    </row>
    <row r="1295" spans="1:10" x14ac:dyDescent="0.25">
      <c r="A1295" t="s">
        <v>82</v>
      </c>
      <c r="B1295">
        <v>7172022001000100</v>
      </c>
      <c r="C1295">
        <v>85</v>
      </c>
      <c r="D1295">
        <v>79</v>
      </c>
      <c r="E1295">
        <v>3</v>
      </c>
      <c r="F1295">
        <v>2</v>
      </c>
      <c r="G1295">
        <v>0</v>
      </c>
      <c r="H1295">
        <v>0</v>
      </c>
      <c r="I1295">
        <v>1</v>
      </c>
      <c r="J1295">
        <v>0</v>
      </c>
    </row>
    <row r="1296" spans="1:10" x14ac:dyDescent="0.25">
      <c r="A1296" t="s">
        <v>82</v>
      </c>
      <c r="B1296">
        <v>7172022001000500</v>
      </c>
      <c r="C1296">
        <v>81</v>
      </c>
      <c r="D1296">
        <v>0</v>
      </c>
      <c r="E1296">
        <v>33</v>
      </c>
      <c r="F1296">
        <v>39</v>
      </c>
      <c r="G1296">
        <v>0</v>
      </c>
      <c r="H1296">
        <v>0</v>
      </c>
      <c r="I1296">
        <v>9</v>
      </c>
      <c r="J1296">
        <v>0</v>
      </c>
    </row>
    <row r="1297" spans="1:10" x14ac:dyDescent="0.25">
      <c r="A1297" t="s">
        <v>86</v>
      </c>
      <c r="B1297">
        <v>7172022009000500</v>
      </c>
      <c r="C1297">
        <v>72</v>
      </c>
      <c r="D1297">
        <v>68</v>
      </c>
      <c r="E1297">
        <v>1</v>
      </c>
      <c r="F1297">
        <v>0</v>
      </c>
      <c r="G1297">
        <v>0</v>
      </c>
      <c r="H1297">
        <v>0</v>
      </c>
      <c r="I1297">
        <v>3</v>
      </c>
      <c r="J1297">
        <v>0</v>
      </c>
    </row>
    <row r="1298" spans="1:10" x14ac:dyDescent="0.25">
      <c r="A1298" t="s">
        <v>86</v>
      </c>
      <c r="B1298">
        <v>7172022010000700</v>
      </c>
      <c r="C1298">
        <v>58</v>
      </c>
      <c r="D1298">
        <v>0</v>
      </c>
      <c r="E1298">
        <v>0</v>
      </c>
      <c r="F1298">
        <v>58</v>
      </c>
      <c r="G1298">
        <v>0</v>
      </c>
      <c r="H1298">
        <v>0</v>
      </c>
      <c r="I1298">
        <v>0</v>
      </c>
      <c r="J1298">
        <v>0</v>
      </c>
    </row>
    <row r="1299" spans="1:10" x14ac:dyDescent="0.25">
      <c r="A1299" t="s">
        <v>86</v>
      </c>
      <c r="B1299">
        <v>7172022003000100</v>
      </c>
      <c r="C1299">
        <v>54</v>
      </c>
      <c r="D1299">
        <v>50</v>
      </c>
      <c r="E1299">
        <v>2</v>
      </c>
      <c r="F1299">
        <v>2</v>
      </c>
      <c r="G1299">
        <v>0</v>
      </c>
      <c r="H1299">
        <v>0</v>
      </c>
      <c r="I1299">
        <v>0</v>
      </c>
      <c r="J1299">
        <v>0</v>
      </c>
    </row>
    <row r="1300" spans="1:10" x14ac:dyDescent="0.25">
      <c r="A1300" t="s">
        <v>86</v>
      </c>
      <c r="B1300">
        <v>7172022010000300</v>
      </c>
      <c r="C1300">
        <v>47</v>
      </c>
      <c r="D1300">
        <v>5</v>
      </c>
      <c r="E1300">
        <v>20</v>
      </c>
      <c r="F1300">
        <v>3</v>
      </c>
      <c r="G1300">
        <v>0</v>
      </c>
      <c r="H1300">
        <v>0</v>
      </c>
      <c r="I1300">
        <v>19</v>
      </c>
      <c r="J1300">
        <v>0</v>
      </c>
    </row>
    <row r="1301" spans="1:10" x14ac:dyDescent="0.25">
      <c r="A1301" t="s">
        <v>86</v>
      </c>
      <c r="B1301">
        <v>7172022010000100</v>
      </c>
      <c r="C1301">
        <v>46</v>
      </c>
      <c r="D1301">
        <v>39</v>
      </c>
      <c r="E1301">
        <v>2</v>
      </c>
      <c r="F1301">
        <v>3</v>
      </c>
      <c r="G1301">
        <v>0</v>
      </c>
      <c r="H1301">
        <v>0</v>
      </c>
      <c r="I1301">
        <v>2</v>
      </c>
      <c r="J1301">
        <v>0</v>
      </c>
    </row>
    <row r="1302" spans="1:10" x14ac:dyDescent="0.25">
      <c r="A1302" t="s">
        <v>86</v>
      </c>
      <c r="B1302">
        <v>7172022010000500</v>
      </c>
      <c r="C1302">
        <v>45</v>
      </c>
      <c r="D1302">
        <v>0</v>
      </c>
      <c r="E1302">
        <v>0</v>
      </c>
      <c r="F1302">
        <v>45</v>
      </c>
      <c r="G1302">
        <v>0</v>
      </c>
      <c r="H1302">
        <v>0</v>
      </c>
      <c r="I1302">
        <v>0</v>
      </c>
      <c r="J1302">
        <v>0</v>
      </c>
    </row>
    <row r="1303" spans="1:10" x14ac:dyDescent="0.25">
      <c r="A1303" t="s">
        <v>86</v>
      </c>
      <c r="B1303">
        <v>7172022010000400</v>
      </c>
      <c r="C1303">
        <v>38</v>
      </c>
      <c r="D1303">
        <v>1</v>
      </c>
      <c r="E1303">
        <v>4</v>
      </c>
      <c r="F1303">
        <v>23</v>
      </c>
      <c r="G1303">
        <v>0</v>
      </c>
      <c r="H1303">
        <v>0</v>
      </c>
      <c r="I1303">
        <v>10</v>
      </c>
      <c r="J1303">
        <v>0</v>
      </c>
    </row>
    <row r="1304" spans="1:10" x14ac:dyDescent="0.25">
      <c r="A1304" t="s">
        <v>86</v>
      </c>
      <c r="B1304">
        <v>7172022010000600</v>
      </c>
      <c r="C1304">
        <v>38</v>
      </c>
      <c r="D1304">
        <v>1</v>
      </c>
      <c r="E1304">
        <v>0</v>
      </c>
      <c r="F1304">
        <v>37</v>
      </c>
      <c r="G1304">
        <v>0</v>
      </c>
      <c r="H1304">
        <v>0</v>
      </c>
      <c r="I1304">
        <v>0</v>
      </c>
      <c r="J1304">
        <v>0</v>
      </c>
    </row>
    <row r="1305" spans="1:10" x14ac:dyDescent="0.25">
      <c r="A1305" t="s">
        <v>86</v>
      </c>
      <c r="B1305">
        <v>7172022010000200</v>
      </c>
      <c r="C1305">
        <v>33</v>
      </c>
      <c r="D1305">
        <v>27</v>
      </c>
      <c r="E1305">
        <v>1</v>
      </c>
      <c r="F1305">
        <v>4</v>
      </c>
      <c r="G1305">
        <v>0</v>
      </c>
      <c r="H1305">
        <v>0</v>
      </c>
      <c r="I1305">
        <v>1</v>
      </c>
      <c r="J1305">
        <v>0</v>
      </c>
    </row>
    <row r="1306" spans="1:10" x14ac:dyDescent="0.25">
      <c r="A1306" t="s">
        <v>84</v>
      </c>
      <c r="B1306">
        <v>7172022002000100</v>
      </c>
      <c r="C1306">
        <v>89</v>
      </c>
      <c r="D1306">
        <v>60</v>
      </c>
      <c r="E1306">
        <v>0</v>
      </c>
      <c r="F1306">
        <v>28</v>
      </c>
      <c r="G1306">
        <v>0</v>
      </c>
      <c r="H1306">
        <v>1</v>
      </c>
      <c r="I1306">
        <v>0</v>
      </c>
      <c r="J1306">
        <v>0</v>
      </c>
    </row>
    <row r="1307" spans="1:10" x14ac:dyDescent="0.25">
      <c r="A1307" t="s">
        <v>84</v>
      </c>
      <c r="B1307">
        <v>7172022006000200</v>
      </c>
      <c r="C1307">
        <v>64</v>
      </c>
      <c r="D1307">
        <v>16</v>
      </c>
      <c r="E1307">
        <v>4</v>
      </c>
      <c r="F1307">
        <v>18</v>
      </c>
      <c r="G1307">
        <v>0</v>
      </c>
      <c r="H1307">
        <v>0</v>
      </c>
      <c r="I1307">
        <v>26</v>
      </c>
      <c r="J1307">
        <v>0</v>
      </c>
    </row>
    <row r="1308" spans="1:10" x14ac:dyDescent="0.25">
      <c r="A1308" t="s">
        <v>84</v>
      </c>
      <c r="B1308">
        <v>7172022006000100</v>
      </c>
      <c r="C1308">
        <v>57</v>
      </c>
      <c r="D1308">
        <v>17</v>
      </c>
      <c r="E1308">
        <v>9</v>
      </c>
      <c r="F1308">
        <v>15</v>
      </c>
      <c r="G1308">
        <v>0</v>
      </c>
      <c r="H1308">
        <v>0</v>
      </c>
      <c r="I1308">
        <v>16</v>
      </c>
      <c r="J1308">
        <v>0</v>
      </c>
    </row>
    <row r="1309" spans="1:10" x14ac:dyDescent="0.25">
      <c r="A1309" t="s">
        <v>84</v>
      </c>
      <c r="B1309">
        <v>7172022006000400</v>
      </c>
      <c r="C1309">
        <v>57</v>
      </c>
      <c r="D1309">
        <v>37</v>
      </c>
      <c r="E1309">
        <v>7</v>
      </c>
      <c r="F1309">
        <v>8</v>
      </c>
      <c r="G1309">
        <v>0</v>
      </c>
      <c r="H1309">
        <v>2</v>
      </c>
      <c r="I1309">
        <v>3</v>
      </c>
      <c r="J1309">
        <v>0</v>
      </c>
    </row>
    <row r="1310" spans="1:10" x14ac:dyDescent="0.25">
      <c r="A1310" t="s">
        <v>84</v>
      </c>
      <c r="B1310">
        <v>7172022002000200</v>
      </c>
      <c r="C1310">
        <v>55</v>
      </c>
      <c r="D1310">
        <v>0</v>
      </c>
      <c r="E1310">
        <v>0</v>
      </c>
      <c r="F1310">
        <v>55</v>
      </c>
      <c r="G1310">
        <v>0</v>
      </c>
      <c r="H1310">
        <v>0</v>
      </c>
      <c r="I1310">
        <v>0</v>
      </c>
      <c r="J1310">
        <v>0</v>
      </c>
    </row>
    <row r="1311" spans="1:10" x14ac:dyDescent="0.25">
      <c r="A1311" t="s">
        <v>84</v>
      </c>
      <c r="B1311">
        <v>7172022006000600</v>
      </c>
      <c r="C1311">
        <v>53</v>
      </c>
      <c r="D1311">
        <v>18</v>
      </c>
      <c r="E1311">
        <v>12</v>
      </c>
      <c r="F1311">
        <v>11</v>
      </c>
      <c r="G1311">
        <v>0</v>
      </c>
      <c r="H1311">
        <v>1</v>
      </c>
      <c r="I1311">
        <v>11</v>
      </c>
      <c r="J1311">
        <v>0</v>
      </c>
    </row>
    <row r="1312" spans="1:10" x14ac:dyDescent="0.25">
      <c r="A1312" t="s">
        <v>84</v>
      </c>
      <c r="B1312">
        <v>7172022006000500</v>
      </c>
      <c r="C1312">
        <v>49</v>
      </c>
      <c r="D1312">
        <v>40</v>
      </c>
      <c r="E1312">
        <v>3</v>
      </c>
      <c r="F1312">
        <v>4</v>
      </c>
      <c r="G1312">
        <v>0</v>
      </c>
      <c r="H1312">
        <v>1</v>
      </c>
      <c r="I1312">
        <v>1</v>
      </c>
      <c r="J1312">
        <v>0</v>
      </c>
    </row>
    <row r="1313" spans="1:10" x14ac:dyDescent="0.25">
      <c r="A1313" t="s">
        <v>84</v>
      </c>
      <c r="B1313">
        <v>7172022006000300</v>
      </c>
      <c r="C1313">
        <v>40</v>
      </c>
      <c r="D1313">
        <v>9</v>
      </c>
      <c r="E1313">
        <v>4</v>
      </c>
      <c r="F1313">
        <v>18</v>
      </c>
      <c r="G1313">
        <v>0</v>
      </c>
      <c r="H1313">
        <v>0</v>
      </c>
      <c r="I1313">
        <v>9</v>
      </c>
      <c r="J1313">
        <v>0</v>
      </c>
    </row>
    <row r="1314" spans="1:10" x14ac:dyDescent="0.25">
      <c r="A1314" t="s">
        <v>84</v>
      </c>
      <c r="B1314">
        <v>7172022002000300</v>
      </c>
      <c r="C1314">
        <v>36</v>
      </c>
      <c r="D1314">
        <v>11</v>
      </c>
      <c r="E1314">
        <v>0</v>
      </c>
      <c r="F1314">
        <v>23</v>
      </c>
      <c r="G1314">
        <v>0</v>
      </c>
      <c r="H1314">
        <v>0</v>
      </c>
      <c r="I1314">
        <v>2</v>
      </c>
      <c r="J1314">
        <v>0</v>
      </c>
    </row>
    <row r="1315" spans="1:10" x14ac:dyDescent="0.25">
      <c r="A1315" t="s">
        <v>87</v>
      </c>
      <c r="B1315">
        <v>7172022005000200</v>
      </c>
      <c r="C1315">
        <v>62</v>
      </c>
      <c r="D1315">
        <v>53</v>
      </c>
      <c r="E1315">
        <v>2</v>
      </c>
      <c r="F1315">
        <v>3</v>
      </c>
      <c r="G1315">
        <v>0</v>
      </c>
      <c r="H1315">
        <v>0</v>
      </c>
      <c r="I1315">
        <v>4</v>
      </c>
      <c r="J1315">
        <v>0</v>
      </c>
    </row>
    <row r="1316" spans="1:10" x14ac:dyDescent="0.25">
      <c r="A1316" t="s">
        <v>87</v>
      </c>
      <c r="B1316">
        <v>7172022005000300</v>
      </c>
      <c r="C1316">
        <v>53</v>
      </c>
      <c r="D1316">
        <v>0</v>
      </c>
      <c r="E1316">
        <v>8</v>
      </c>
      <c r="F1316">
        <v>34</v>
      </c>
      <c r="G1316">
        <v>0</v>
      </c>
      <c r="H1316">
        <v>0</v>
      </c>
      <c r="I1316">
        <v>11</v>
      </c>
      <c r="J1316">
        <v>0</v>
      </c>
    </row>
    <row r="1317" spans="1:10" x14ac:dyDescent="0.25">
      <c r="A1317" t="s">
        <v>87</v>
      </c>
      <c r="B1317">
        <v>7172022004000100</v>
      </c>
      <c r="C1317">
        <v>48</v>
      </c>
      <c r="D1317">
        <v>47</v>
      </c>
      <c r="E1317">
        <v>0</v>
      </c>
      <c r="F1317">
        <v>0</v>
      </c>
      <c r="G1317">
        <v>0</v>
      </c>
      <c r="H1317">
        <v>1</v>
      </c>
      <c r="I1317">
        <v>0</v>
      </c>
      <c r="J1317">
        <v>0</v>
      </c>
    </row>
    <row r="1318" spans="1:10" x14ac:dyDescent="0.25">
      <c r="A1318" t="s">
        <v>87</v>
      </c>
      <c r="B1318">
        <v>7172022004000200</v>
      </c>
      <c r="C1318">
        <v>47</v>
      </c>
      <c r="D1318">
        <v>42</v>
      </c>
      <c r="E1318">
        <v>0</v>
      </c>
      <c r="F1318">
        <v>0</v>
      </c>
      <c r="G1318">
        <v>0</v>
      </c>
      <c r="H1318">
        <v>0</v>
      </c>
      <c r="I1318">
        <v>5</v>
      </c>
      <c r="J1318">
        <v>0</v>
      </c>
    </row>
    <row r="1319" spans="1:10" x14ac:dyDescent="0.25">
      <c r="A1319" t="s">
        <v>87</v>
      </c>
      <c r="B1319">
        <v>7172022005000100</v>
      </c>
      <c r="C1319">
        <v>46</v>
      </c>
      <c r="D1319">
        <v>43</v>
      </c>
      <c r="E1319">
        <v>0</v>
      </c>
      <c r="F1319">
        <v>2</v>
      </c>
      <c r="G1319">
        <v>0</v>
      </c>
      <c r="H1319">
        <v>0</v>
      </c>
      <c r="I1319">
        <v>1</v>
      </c>
      <c r="J1319">
        <v>0</v>
      </c>
    </row>
    <row r="1320" spans="1:10" x14ac:dyDescent="0.25">
      <c r="A1320" t="s">
        <v>87</v>
      </c>
      <c r="B1320">
        <v>7172022005000400</v>
      </c>
      <c r="C1320">
        <v>42</v>
      </c>
      <c r="D1320">
        <v>10</v>
      </c>
      <c r="E1320">
        <v>13</v>
      </c>
      <c r="F1320">
        <v>6</v>
      </c>
      <c r="G1320">
        <v>0</v>
      </c>
      <c r="H1320">
        <v>2</v>
      </c>
      <c r="I1320">
        <v>11</v>
      </c>
      <c r="J1320">
        <v>0</v>
      </c>
    </row>
    <row r="1321" spans="1:10" x14ac:dyDescent="0.25">
      <c r="A1321" t="s">
        <v>87</v>
      </c>
      <c r="B1321">
        <v>7172022004000400</v>
      </c>
      <c r="C1321">
        <v>38</v>
      </c>
      <c r="D1321">
        <v>0</v>
      </c>
      <c r="E1321">
        <v>1</v>
      </c>
      <c r="F1321">
        <v>37</v>
      </c>
      <c r="G1321">
        <v>0</v>
      </c>
      <c r="H1321">
        <v>0</v>
      </c>
      <c r="I1321">
        <v>0</v>
      </c>
      <c r="J1321">
        <v>0</v>
      </c>
    </row>
    <row r="1322" spans="1:10" x14ac:dyDescent="0.25">
      <c r="A1322" t="s">
        <v>87</v>
      </c>
      <c r="B1322">
        <v>7172022004000300</v>
      </c>
      <c r="C1322">
        <v>35</v>
      </c>
      <c r="D1322">
        <v>0</v>
      </c>
      <c r="E1322">
        <v>1</v>
      </c>
      <c r="F1322">
        <v>34</v>
      </c>
      <c r="G1322">
        <v>0</v>
      </c>
      <c r="H1322">
        <v>0</v>
      </c>
      <c r="I1322">
        <v>0</v>
      </c>
      <c r="J1322">
        <v>0</v>
      </c>
    </row>
    <row r="1323" spans="1:10" x14ac:dyDescent="0.25">
      <c r="A1323" t="s">
        <v>87</v>
      </c>
      <c r="B1323">
        <v>7172022004000600</v>
      </c>
      <c r="C1323">
        <v>27</v>
      </c>
      <c r="D1323">
        <v>0</v>
      </c>
      <c r="E1323">
        <v>0</v>
      </c>
      <c r="F1323">
        <v>27</v>
      </c>
      <c r="G1323">
        <v>0</v>
      </c>
      <c r="H1323">
        <v>0</v>
      </c>
      <c r="I1323">
        <v>0</v>
      </c>
      <c r="J1323">
        <v>0</v>
      </c>
    </row>
    <row r="1324" spans="1:10" x14ac:dyDescent="0.25">
      <c r="A1324" t="s">
        <v>87</v>
      </c>
      <c r="B1324">
        <v>7172022004000500</v>
      </c>
      <c r="C1324">
        <v>24</v>
      </c>
      <c r="D1324">
        <v>0</v>
      </c>
      <c r="E1324">
        <v>0</v>
      </c>
      <c r="F1324">
        <v>24</v>
      </c>
      <c r="G1324">
        <v>0</v>
      </c>
      <c r="H1324">
        <v>0</v>
      </c>
      <c r="I1324">
        <v>0</v>
      </c>
      <c r="J1324">
        <v>0</v>
      </c>
    </row>
    <row r="1325" spans="1:10" x14ac:dyDescent="0.25">
      <c r="A1325" t="s">
        <v>240</v>
      </c>
      <c r="B1325">
        <v>7172022007000400</v>
      </c>
      <c r="C1325">
        <v>74</v>
      </c>
      <c r="D1325">
        <v>1</v>
      </c>
      <c r="E1325">
        <v>17</v>
      </c>
      <c r="F1325">
        <v>44</v>
      </c>
      <c r="G1325">
        <v>0</v>
      </c>
      <c r="H1325">
        <v>0</v>
      </c>
      <c r="I1325">
        <v>12</v>
      </c>
      <c r="J1325">
        <v>0</v>
      </c>
    </row>
    <row r="1326" spans="1:10" x14ac:dyDescent="0.25">
      <c r="A1326" t="s">
        <v>240</v>
      </c>
      <c r="B1326">
        <v>7172022007000300</v>
      </c>
      <c r="C1326">
        <v>72</v>
      </c>
      <c r="D1326">
        <v>28</v>
      </c>
      <c r="E1326">
        <v>15</v>
      </c>
      <c r="F1326">
        <v>20</v>
      </c>
      <c r="G1326">
        <v>0</v>
      </c>
      <c r="H1326">
        <v>0</v>
      </c>
      <c r="I1326">
        <v>9</v>
      </c>
      <c r="J1326">
        <v>0</v>
      </c>
    </row>
    <row r="1327" spans="1:10" x14ac:dyDescent="0.25">
      <c r="A1327" t="s">
        <v>240</v>
      </c>
      <c r="B1327">
        <v>7172022008000100</v>
      </c>
      <c r="C1327">
        <v>70</v>
      </c>
      <c r="D1327">
        <v>57</v>
      </c>
      <c r="E1327">
        <v>1</v>
      </c>
      <c r="F1327">
        <v>12</v>
      </c>
      <c r="G1327">
        <v>0</v>
      </c>
      <c r="H1327">
        <v>0</v>
      </c>
      <c r="I1327">
        <v>0</v>
      </c>
      <c r="J1327">
        <v>0</v>
      </c>
    </row>
    <row r="1328" spans="1:10" x14ac:dyDescent="0.25">
      <c r="A1328" t="s">
        <v>240</v>
      </c>
      <c r="B1328">
        <v>7172022008000300</v>
      </c>
      <c r="C1328">
        <v>62</v>
      </c>
      <c r="D1328">
        <v>58</v>
      </c>
      <c r="E1328">
        <v>1</v>
      </c>
      <c r="F1328">
        <v>1</v>
      </c>
      <c r="G1328">
        <v>0</v>
      </c>
      <c r="H1328">
        <v>0</v>
      </c>
      <c r="I1328">
        <v>2</v>
      </c>
      <c r="J1328">
        <v>0</v>
      </c>
    </row>
    <row r="1329" spans="1:10" x14ac:dyDescent="0.25">
      <c r="A1329" t="s">
        <v>240</v>
      </c>
      <c r="B1329">
        <v>7172022007000100</v>
      </c>
      <c r="C1329">
        <v>59</v>
      </c>
      <c r="D1329">
        <v>0</v>
      </c>
      <c r="E1329">
        <v>0</v>
      </c>
      <c r="F1329">
        <v>58</v>
      </c>
      <c r="G1329">
        <v>0</v>
      </c>
      <c r="H1329">
        <v>0</v>
      </c>
      <c r="I1329">
        <v>1</v>
      </c>
      <c r="J1329">
        <v>0</v>
      </c>
    </row>
    <row r="1330" spans="1:10" x14ac:dyDescent="0.25">
      <c r="A1330" t="s">
        <v>240</v>
      </c>
      <c r="B1330">
        <v>7172022007000200</v>
      </c>
      <c r="C1330">
        <v>56</v>
      </c>
      <c r="D1330">
        <v>0</v>
      </c>
      <c r="E1330">
        <v>0</v>
      </c>
      <c r="F1330">
        <v>56</v>
      </c>
      <c r="G1330">
        <v>0</v>
      </c>
      <c r="H1330">
        <v>0</v>
      </c>
      <c r="I1330">
        <v>0</v>
      </c>
      <c r="J1330">
        <v>0</v>
      </c>
    </row>
    <row r="1331" spans="1:10" x14ac:dyDescent="0.25">
      <c r="A1331" t="s">
        <v>240</v>
      </c>
      <c r="B1331">
        <v>7172022008000200</v>
      </c>
      <c r="C1331">
        <v>51</v>
      </c>
      <c r="D1331">
        <v>45</v>
      </c>
      <c r="E1331">
        <v>1</v>
      </c>
      <c r="F1331">
        <v>5</v>
      </c>
      <c r="G1331">
        <v>0</v>
      </c>
      <c r="H1331">
        <v>0</v>
      </c>
      <c r="I1331">
        <v>0</v>
      </c>
      <c r="J1331">
        <v>0</v>
      </c>
    </row>
    <row r="1332" spans="1:10" x14ac:dyDescent="0.25">
      <c r="A1332" t="s">
        <v>241</v>
      </c>
      <c r="B1332">
        <v>7172030013001000</v>
      </c>
      <c r="C1332">
        <v>111</v>
      </c>
      <c r="D1332">
        <v>35</v>
      </c>
      <c r="E1332">
        <v>0</v>
      </c>
      <c r="F1332">
        <v>58</v>
      </c>
      <c r="G1332">
        <v>0</v>
      </c>
      <c r="H1332">
        <v>0</v>
      </c>
      <c r="I1332">
        <v>18</v>
      </c>
      <c r="J1332">
        <v>0</v>
      </c>
    </row>
    <row r="1333" spans="1:10" x14ac:dyDescent="0.25">
      <c r="A1333" t="s">
        <v>241</v>
      </c>
      <c r="B1333">
        <v>7172030013000200</v>
      </c>
      <c r="C1333">
        <v>88</v>
      </c>
      <c r="D1333">
        <v>82</v>
      </c>
      <c r="E1333">
        <v>0</v>
      </c>
      <c r="F1333">
        <v>3</v>
      </c>
      <c r="G1333">
        <v>0</v>
      </c>
      <c r="H1333">
        <v>0</v>
      </c>
      <c r="I1333">
        <v>3</v>
      </c>
      <c r="J1333">
        <v>0</v>
      </c>
    </row>
    <row r="1334" spans="1:10" x14ac:dyDescent="0.25">
      <c r="A1334" t="s">
        <v>241</v>
      </c>
      <c r="B1334">
        <v>7172030013001200</v>
      </c>
      <c r="C1334">
        <v>76</v>
      </c>
      <c r="D1334">
        <v>16</v>
      </c>
      <c r="E1334">
        <v>4</v>
      </c>
      <c r="F1334">
        <v>49</v>
      </c>
      <c r="G1334">
        <v>0</v>
      </c>
      <c r="H1334">
        <v>0</v>
      </c>
      <c r="I1334">
        <v>7</v>
      </c>
      <c r="J1334">
        <v>0</v>
      </c>
    </row>
    <row r="1335" spans="1:10" x14ac:dyDescent="0.25">
      <c r="A1335" t="s">
        <v>241</v>
      </c>
      <c r="B1335">
        <v>7172030013000600</v>
      </c>
      <c r="C1335">
        <v>63</v>
      </c>
      <c r="D1335">
        <v>16</v>
      </c>
      <c r="E1335">
        <v>10</v>
      </c>
      <c r="F1335">
        <v>27</v>
      </c>
      <c r="G1335">
        <v>0</v>
      </c>
      <c r="H1335">
        <v>0</v>
      </c>
      <c r="I1335">
        <v>10</v>
      </c>
      <c r="J1335">
        <v>0</v>
      </c>
    </row>
    <row r="1336" spans="1:10" x14ac:dyDescent="0.25">
      <c r="A1336" t="s">
        <v>241</v>
      </c>
      <c r="B1336">
        <v>7172030013000400</v>
      </c>
      <c r="C1336">
        <v>57</v>
      </c>
      <c r="D1336">
        <v>43</v>
      </c>
      <c r="E1336">
        <v>4</v>
      </c>
      <c r="F1336">
        <v>10</v>
      </c>
      <c r="G1336">
        <v>0</v>
      </c>
      <c r="H1336">
        <v>0</v>
      </c>
      <c r="I1336">
        <v>0</v>
      </c>
      <c r="J1336">
        <v>0</v>
      </c>
    </row>
    <row r="1337" spans="1:10" x14ac:dyDescent="0.25">
      <c r="A1337" t="s">
        <v>241</v>
      </c>
      <c r="B1337">
        <v>7172030013000900</v>
      </c>
      <c r="C1337">
        <v>56</v>
      </c>
      <c r="D1337">
        <v>4</v>
      </c>
      <c r="E1337">
        <v>10</v>
      </c>
      <c r="F1337">
        <v>39</v>
      </c>
      <c r="G1337">
        <v>0</v>
      </c>
      <c r="H1337">
        <v>0</v>
      </c>
      <c r="I1337">
        <v>3</v>
      </c>
      <c r="J1337">
        <v>0</v>
      </c>
    </row>
    <row r="1338" spans="1:10" x14ac:dyDescent="0.25">
      <c r="A1338" t="s">
        <v>241</v>
      </c>
      <c r="B1338">
        <v>7172030013000500</v>
      </c>
      <c r="C1338">
        <v>53</v>
      </c>
      <c r="D1338">
        <v>12</v>
      </c>
      <c r="E1338">
        <v>0</v>
      </c>
      <c r="F1338">
        <v>41</v>
      </c>
      <c r="G1338">
        <v>0</v>
      </c>
      <c r="H1338">
        <v>0</v>
      </c>
      <c r="I1338">
        <v>0</v>
      </c>
      <c r="J1338">
        <v>0</v>
      </c>
    </row>
    <row r="1339" spans="1:10" x14ac:dyDescent="0.25">
      <c r="A1339" t="s">
        <v>241</v>
      </c>
      <c r="B1339">
        <v>7172030013000800</v>
      </c>
      <c r="C1339">
        <v>42</v>
      </c>
      <c r="D1339">
        <v>10</v>
      </c>
      <c r="E1339">
        <v>0</v>
      </c>
      <c r="F1339">
        <v>32</v>
      </c>
      <c r="G1339">
        <v>0</v>
      </c>
      <c r="H1339">
        <v>0</v>
      </c>
      <c r="I1339">
        <v>0</v>
      </c>
      <c r="J1339">
        <v>0</v>
      </c>
    </row>
    <row r="1340" spans="1:10" x14ac:dyDescent="0.25">
      <c r="A1340" t="s">
        <v>241</v>
      </c>
      <c r="B1340">
        <v>7172030013000700</v>
      </c>
      <c r="C1340">
        <v>34</v>
      </c>
      <c r="D1340">
        <v>13</v>
      </c>
      <c r="E1340">
        <v>0</v>
      </c>
      <c r="F1340">
        <v>20</v>
      </c>
      <c r="G1340">
        <v>0</v>
      </c>
      <c r="H1340">
        <v>0</v>
      </c>
      <c r="I1340">
        <v>1</v>
      </c>
      <c r="J1340">
        <v>0</v>
      </c>
    </row>
    <row r="1341" spans="1:10" x14ac:dyDescent="0.25">
      <c r="A1341" t="s">
        <v>96</v>
      </c>
      <c r="B1341">
        <v>7172030009000100</v>
      </c>
      <c r="C1341">
        <v>104</v>
      </c>
      <c r="D1341">
        <v>15</v>
      </c>
      <c r="E1341">
        <v>8</v>
      </c>
      <c r="F1341">
        <v>81</v>
      </c>
      <c r="G1341">
        <v>0</v>
      </c>
      <c r="H1341">
        <v>0</v>
      </c>
      <c r="I1341">
        <v>0</v>
      </c>
      <c r="J1341">
        <v>0</v>
      </c>
    </row>
    <row r="1342" spans="1:10" x14ac:dyDescent="0.25">
      <c r="A1342" t="s">
        <v>96</v>
      </c>
      <c r="B1342">
        <v>7172030017000500</v>
      </c>
      <c r="C1342">
        <v>88</v>
      </c>
      <c r="D1342">
        <v>76</v>
      </c>
      <c r="E1342">
        <v>2</v>
      </c>
      <c r="F1342">
        <v>0</v>
      </c>
      <c r="G1342">
        <v>10</v>
      </c>
      <c r="H1342">
        <v>0</v>
      </c>
      <c r="I1342">
        <v>0</v>
      </c>
      <c r="J1342">
        <v>0</v>
      </c>
    </row>
    <row r="1343" spans="1:10" x14ac:dyDescent="0.25">
      <c r="A1343" t="s">
        <v>96</v>
      </c>
      <c r="B1343">
        <v>7172030017000100</v>
      </c>
      <c r="C1343">
        <v>82</v>
      </c>
      <c r="D1343">
        <v>50</v>
      </c>
      <c r="E1343">
        <v>23</v>
      </c>
      <c r="F1343">
        <v>0</v>
      </c>
      <c r="G1343">
        <v>0</v>
      </c>
      <c r="H1343">
        <v>0</v>
      </c>
      <c r="I1343">
        <v>9</v>
      </c>
      <c r="J1343">
        <v>0</v>
      </c>
    </row>
    <row r="1344" spans="1:10" x14ac:dyDescent="0.25">
      <c r="A1344" t="s">
        <v>96</v>
      </c>
      <c r="B1344">
        <v>7172030009000200</v>
      </c>
      <c r="C1344">
        <v>59</v>
      </c>
      <c r="D1344">
        <v>8</v>
      </c>
      <c r="E1344">
        <v>0</v>
      </c>
      <c r="F1344">
        <v>51</v>
      </c>
      <c r="G1344">
        <v>0</v>
      </c>
      <c r="H1344">
        <v>0</v>
      </c>
      <c r="I1344">
        <v>0</v>
      </c>
      <c r="J1344">
        <v>0</v>
      </c>
    </row>
    <row r="1345" spans="1:10" x14ac:dyDescent="0.25">
      <c r="A1345" t="s">
        <v>96</v>
      </c>
      <c r="B1345">
        <v>7172030009000500</v>
      </c>
      <c r="C1345">
        <v>56</v>
      </c>
      <c r="D1345">
        <v>12</v>
      </c>
      <c r="E1345">
        <v>7</v>
      </c>
      <c r="F1345">
        <v>37</v>
      </c>
      <c r="G1345">
        <v>0</v>
      </c>
      <c r="H1345">
        <v>0</v>
      </c>
      <c r="I1345">
        <v>0</v>
      </c>
      <c r="J1345">
        <v>0</v>
      </c>
    </row>
    <row r="1346" spans="1:10" x14ac:dyDescent="0.25">
      <c r="A1346" t="s">
        <v>96</v>
      </c>
      <c r="B1346">
        <v>7172030009000300</v>
      </c>
      <c r="C1346">
        <v>45</v>
      </c>
      <c r="D1346">
        <v>2</v>
      </c>
      <c r="E1346">
        <v>0</v>
      </c>
      <c r="F1346">
        <v>43</v>
      </c>
      <c r="G1346">
        <v>0</v>
      </c>
      <c r="H1346">
        <v>0</v>
      </c>
      <c r="I1346">
        <v>0</v>
      </c>
      <c r="J1346">
        <v>0</v>
      </c>
    </row>
    <row r="1347" spans="1:10" x14ac:dyDescent="0.25">
      <c r="A1347" t="s">
        <v>96</v>
      </c>
      <c r="B1347">
        <v>7172030009000400</v>
      </c>
      <c r="C1347">
        <v>45</v>
      </c>
      <c r="D1347">
        <v>3</v>
      </c>
      <c r="E1347">
        <v>22</v>
      </c>
      <c r="F1347">
        <v>0</v>
      </c>
      <c r="G1347">
        <v>18</v>
      </c>
      <c r="H1347">
        <v>0</v>
      </c>
      <c r="I1347">
        <v>2</v>
      </c>
      <c r="J1347">
        <v>0</v>
      </c>
    </row>
    <row r="1348" spans="1:10" x14ac:dyDescent="0.25">
      <c r="A1348" t="s">
        <v>96</v>
      </c>
      <c r="B1348">
        <v>7172030009000600</v>
      </c>
      <c r="C1348">
        <v>43</v>
      </c>
      <c r="D1348">
        <v>10</v>
      </c>
      <c r="E1348">
        <v>0</v>
      </c>
      <c r="F1348">
        <v>33</v>
      </c>
      <c r="G1348">
        <v>0</v>
      </c>
      <c r="H1348">
        <v>0</v>
      </c>
      <c r="I1348">
        <v>0</v>
      </c>
      <c r="J1348">
        <v>0</v>
      </c>
    </row>
    <row r="1349" spans="1:10" x14ac:dyDescent="0.25">
      <c r="A1349" t="s">
        <v>96</v>
      </c>
      <c r="B1349">
        <v>7172030009000800</v>
      </c>
      <c r="C1349">
        <v>35</v>
      </c>
      <c r="D1349">
        <v>0</v>
      </c>
      <c r="E1349">
        <v>34</v>
      </c>
      <c r="F1349">
        <v>0</v>
      </c>
      <c r="G1349">
        <v>0</v>
      </c>
      <c r="H1349">
        <v>0</v>
      </c>
      <c r="I1349">
        <v>1</v>
      </c>
      <c r="J1349">
        <v>0</v>
      </c>
    </row>
    <row r="1350" spans="1:10" x14ac:dyDescent="0.25">
      <c r="A1350" t="s">
        <v>96</v>
      </c>
      <c r="B1350">
        <v>7172030017000300</v>
      </c>
      <c r="C1350">
        <v>32</v>
      </c>
      <c r="D1350">
        <v>14</v>
      </c>
      <c r="E1350">
        <v>0</v>
      </c>
      <c r="F1350">
        <v>1</v>
      </c>
      <c r="G1350">
        <v>0</v>
      </c>
      <c r="H1350">
        <v>0</v>
      </c>
      <c r="I1350">
        <v>17</v>
      </c>
      <c r="J1350">
        <v>0</v>
      </c>
    </row>
    <row r="1351" spans="1:10" x14ac:dyDescent="0.25">
      <c r="A1351" t="s">
        <v>96</v>
      </c>
      <c r="B1351">
        <v>7172030017000200</v>
      </c>
      <c r="C1351">
        <v>24</v>
      </c>
      <c r="D1351">
        <v>2</v>
      </c>
      <c r="E1351">
        <v>3</v>
      </c>
      <c r="F1351">
        <v>0</v>
      </c>
      <c r="G1351">
        <v>14</v>
      </c>
      <c r="H1351">
        <v>5</v>
      </c>
      <c r="I1351">
        <v>0</v>
      </c>
      <c r="J1351">
        <v>0</v>
      </c>
    </row>
    <row r="1352" spans="1:10" x14ac:dyDescent="0.25">
      <c r="A1352" t="s">
        <v>96</v>
      </c>
      <c r="B1352">
        <v>7172030009000700</v>
      </c>
      <c r="C1352">
        <v>22</v>
      </c>
      <c r="D1352">
        <v>4</v>
      </c>
      <c r="E1352">
        <v>18</v>
      </c>
      <c r="F1352">
        <v>0</v>
      </c>
      <c r="G1352">
        <v>0</v>
      </c>
      <c r="H1352">
        <v>0</v>
      </c>
      <c r="I1352">
        <v>0</v>
      </c>
      <c r="J1352">
        <v>0</v>
      </c>
    </row>
    <row r="1353" spans="1:10" x14ac:dyDescent="0.25">
      <c r="A1353" t="s">
        <v>96</v>
      </c>
      <c r="B1353">
        <v>7172030009200100</v>
      </c>
      <c r="C1353">
        <v>1</v>
      </c>
      <c r="D1353">
        <v>0</v>
      </c>
      <c r="E1353">
        <v>0</v>
      </c>
      <c r="F1353">
        <v>1</v>
      </c>
      <c r="G1353">
        <v>0</v>
      </c>
      <c r="H1353">
        <v>0</v>
      </c>
      <c r="I1353">
        <v>0</v>
      </c>
      <c r="J1353">
        <v>0</v>
      </c>
    </row>
    <row r="1354" spans="1:10" x14ac:dyDescent="0.25">
      <c r="A1354" t="s">
        <v>94</v>
      </c>
      <c r="B1354">
        <v>7172030007001700</v>
      </c>
      <c r="C1354">
        <v>86</v>
      </c>
      <c r="D1354">
        <v>12</v>
      </c>
      <c r="E1354">
        <v>22</v>
      </c>
      <c r="F1354">
        <v>46</v>
      </c>
      <c r="G1354">
        <v>0</v>
      </c>
      <c r="H1354">
        <v>0</v>
      </c>
      <c r="I1354">
        <v>6</v>
      </c>
      <c r="J1354">
        <v>0</v>
      </c>
    </row>
    <row r="1355" spans="1:10" x14ac:dyDescent="0.25">
      <c r="A1355" t="s">
        <v>94</v>
      </c>
      <c r="B1355">
        <v>7172030007001800</v>
      </c>
      <c r="C1355">
        <v>85</v>
      </c>
      <c r="D1355">
        <v>13</v>
      </c>
      <c r="E1355">
        <v>22</v>
      </c>
      <c r="F1355">
        <v>48</v>
      </c>
      <c r="G1355">
        <v>0</v>
      </c>
      <c r="H1355">
        <v>0</v>
      </c>
      <c r="I1355">
        <v>2</v>
      </c>
      <c r="J1355">
        <v>0</v>
      </c>
    </row>
    <row r="1356" spans="1:10" x14ac:dyDescent="0.25">
      <c r="A1356" t="s">
        <v>94</v>
      </c>
      <c r="B1356">
        <v>7172030007001900</v>
      </c>
      <c r="C1356">
        <v>84</v>
      </c>
      <c r="D1356">
        <v>11</v>
      </c>
      <c r="E1356">
        <v>0</v>
      </c>
      <c r="F1356">
        <v>73</v>
      </c>
      <c r="G1356">
        <v>0</v>
      </c>
      <c r="H1356">
        <v>0</v>
      </c>
      <c r="I1356">
        <v>0</v>
      </c>
      <c r="J1356">
        <v>0</v>
      </c>
    </row>
    <row r="1357" spans="1:10" x14ac:dyDescent="0.25">
      <c r="A1357" t="s">
        <v>94</v>
      </c>
      <c r="B1357">
        <v>7172030007001500</v>
      </c>
      <c r="C1357">
        <v>77</v>
      </c>
      <c r="D1357">
        <v>13</v>
      </c>
      <c r="E1357">
        <v>0</v>
      </c>
      <c r="F1357">
        <v>64</v>
      </c>
      <c r="G1357">
        <v>0</v>
      </c>
      <c r="H1357">
        <v>0</v>
      </c>
      <c r="I1357">
        <v>0</v>
      </c>
      <c r="J1357">
        <v>0</v>
      </c>
    </row>
    <row r="1358" spans="1:10" x14ac:dyDescent="0.25">
      <c r="A1358" t="s">
        <v>94</v>
      </c>
      <c r="B1358">
        <v>7172030007001100</v>
      </c>
      <c r="C1358">
        <v>58</v>
      </c>
      <c r="D1358">
        <v>56</v>
      </c>
      <c r="E1358">
        <v>0</v>
      </c>
      <c r="F1358">
        <v>0</v>
      </c>
      <c r="G1358">
        <v>2</v>
      </c>
      <c r="H1358">
        <v>0</v>
      </c>
      <c r="I1358">
        <v>0</v>
      </c>
      <c r="J1358">
        <v>0</v>
      </c>
    </row>
    <row r="1359" spans="1:10" x14ac:dyDescent="0.25">
      <c r="A1359" t="s">
        <v>94</v>
      </c>
      <c r="B1359">
        <v>7172030007001200</v>
      </c>
      <c r="C1359">
        <v>54</v>
      </c>
      <c r="D1359">
        <v>54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</row>
    <row r="1360" spans="1:10" x14ac:dyDescent="0.25">
      <c r="A1360" t="s">
        <v>94</v>
      </c>
      <c r="B1360">
        <v>7172030007001600</v>
      </c>
      <c r="C1360">
        <v>53</v>
      </c>
      <c r="D1360">
        <v>14</v>
      </c>
      <c r="E1360">
        <v>1</v>
      </c>
      <c r="F1360">
        <v>36</v>
      </c>
      <c r="G1360">
        <v>0</v>
      </c>
      <c r="H1360">
        <v>0</v>
      </c>
      <c r="I1360">
        <v>2</v>
      </c>
      <c r="J1360">
        <v>0</v>
      </c>
    </row>
    <row r="1361" spans="1:10" x14ac:dyDescent="0.25">
      <c r="A1361" t="s">
        <v>94</v>
      </c>
      <c r="B1361">
        <v>7172030007001300</v>
      </c>
      <c r="C1361">
        <v>45</v>
      </c>
      <c r="D1361">
        <v>42</v>
      </c>
      <c r="E1361">
        <v>2</v>
      </c>
      <c r="F1361">
        <v>0</v>
      </c>
      <c r="G1361">
        <v>1</v>
      </c>
      <c r="H1361">
        <v>0</v>
      </c>
      <c r="I1361">
        <v>0</v>
      </c>
      <c r="J1361">
        <v>0</v>
      </c>
    </row>
    <row r="1362" spans="1:10" x14ac:dyDescent="0.25">
      <c r="A1362" t="s">
        <v>94</v>
      </c>
      <c r="B1362">
        <v>7172030007001400</v>
      </c>
      <c r="C1362">
        <v>44</v>
      </c>
      <c r="D1362">
        <v>27</v>
      </c>
      <c r="E1362">
        <v>6</v>
      </c>
      <c r="F1362">
        <v>11</v>
      </c>
      <c r="G1362">
        <v>0</v>
      </c>
      <c r="H1362">
        <v>0</v>
      </c>
      <c r="I1362">
        <v>0</v>
      </c>
      <c r="J1362">
        <v>0</v>
      </c>
    </row>
    <row r="1363" spans="1:10" x14ac:dyDescent="0.25">
      <c r="A1363" t="s">
        <v>98</v>
      </c>
      <c r="B1363">
        <v>7172030012000600</v>
      </c>
      <c r="C1363">
        <v>108</v>
      </c>
      <c r="D1363">
        <v>59</v>
      </c>
      <c r="E1363">
        <v>16</v>
      </c>
      <c r="F1363">
        <v>25</v>
      </c>
      <c r="G1363">
        <v>1</v>
      </c>
      <c r="H1363">
        <v>0</v>
      </c>
      <c r="I1363">
        <v>7</v>
      </c>
      <c r="J1363">
        <v>0</v>
      </c>
    </row>
    <row r="1364" spans="1:10" x14ac:dyDescent="0.25">
      <c r="A1364" t="s">
        <v>98</v>
      </c>
      <c r="B1364">
        <v>7172030012001400</v>
      </c>
      <c r="C1364">
        <v>108</v>
      </c>
      <c r="D1364">
        <v>37</v>
      </c>
      <c r="E1364">
        <v>0</v>
      </c>
      <c r="F1364">
        <v>71</v>
      </c>
      <c r="G1364">
        <v>0</v>
      </c>
      <c r="H1364">
        <v>0</v>
      </c>
      <c r="I1364">
        <v>0</v>
      </c>
      <c r="J1364">
        <v>0</v>
      </c>
    </row>
    <row r="1365" spans="1:10" x14ac:dyDescent="0.25">
      <c r="A1365" t="s">
        <v>98</v>
      </c>
      <c r="B1365">
        <v>7172030012001000</v>
      </c>
      <c r="C1365">
        <v>104</v>
      </c>
      <c r="D1365">
        <v>69</v>
      </c>
      <c r="E1365">
        <v>9</v>
      </c>
      <c r="F1365">
        <v>26</v>
      </c>
      <c r="G1365">
        <v>0</v>
      </c>
      <c r="H1365">
        <v>0</v>
      </c>
      <c r="I1365">
        <v>0</v>
      </c>
      <c r="J1365">
        <v>0</v>
      </c>
    </row>
    <row r="1366" spans="1:10" x14ac:dyDescent="0.25">
      <c r="A1366" t="s">
        <v>98</v>
      </c>
      <c r="B1366">
        <v>7172030012000800</v>
      </c>
      <c r="C1366">
        <v>99</v>
      </c>
      <c r="D1366">
        <v>35</v>
      </c>
      <c r="E1366">
        <v>0</v>
      </c>
      <c r="F1366">
        <v>64</v>
      </c>
      <c r="G1366">
        <v>0</v>
      </c>
      <c r="H1366">
        <v>0</v>
      </c>
      <c r="I1366">
        <v>0</v>
      </c>
      <c r="J1366">
        <v>0</v>
      </c>
    </row>
    <row r="1367" spans="1:10" x14ac:dyDescent="0.25">
      <c r="A1367" t="s">
        <v>98</v>
      </c>
      <c r="B1367">
        <v>7172030012001100</v>
      </c>
      <c r="C1367">
        <v>99</v>
      </c>
      <c r="D1367">
        <v>68</v>
      </c>
      <c r="E1367">
        <v>19</v>
      </c>
      <c r="F1367">
        <v>4</v>
      </c>
      <c r="G1367">
        <v>2</v>
      </c>
      <c r="H1367">
        <v>0</v>
      </c>
      <c r="I1367">
        <v>6</v>
      </c>
      <c r="J1367">
        <v>0</v>
      </c>
    </row>
    <row r="1368" spans="1:10" x14ac:dyDescent="0.25">
      <c r="A1368" t="s">
        <v>98</v>
      </c>
      <c r="B1368">
        <v>7172030012001300</v>
      </c>
      <c r="C1368">
        <v>61</v>
      </c>
      <c r="D1368">
        <v>10</v>
      </c>
      <c r="E1368">
        <v>0</v>
      </c>
      <c r="F1368">
        <v>51</v>
      </c>
      <c r="G1368">
        <v>0</v>
      </c>
      <c r="H1368">
        <v>0</v>
      </c>
      <c r="I1368">
        <v>0</v>
      </c>
      <c r="J1368">
        <v>0</v>
      </c>
    </row>
    <row r="1369" spans="1:10" x14ac:dyDescent="0.25">
      <c r="A1369" t="s">
        <v>98</v>
      </c>
      <c r="B1369">
        <v>7172030012001500</v>
      </c>
      <c r="C1369">
        <v>51</v>
      </c>
      <c r="D1369">
        <v>41</v>
      </c>
      <c r="E1369">
        <v>0</v>
      </c>
      <c r="F1369">
        <v>9</v>
      </c>
      <c r="G1369">
        <v>0</v>
      </c>
      <c r="H1369">
        <v>1</v>
      </c>
      <c r="I1369">
        <v>0</v>
      </c>
      <c r="J1369">
        <v>0</v>
      </c>
    </row>
    <row r="1370" spans="1:10" x14ac:dyDescent="0.25">
      <c r="A1370" t="s">
        <v>107</v>
      </c>
      <c r="B1370">
        <v>7172030017000400</v>
      </c>
      <c r="C1370">
        <v>124</v>
      </c>
      <c r="D1370">
        <v>60</v>
      </c>
      <c r="E1370">
        <v>4</v>
      </c>
      <c r="F1370">
        <v>55</v>
      </c>
      <c r="G1370">
        <v>0</v>
      </c>
      <c r="H1370">
        <v>0</v>
      </c>
      <c r="I1370">
        <v>5</v>
      </c>
      <c r="J1370">
        <v>0</v>
      </c>
    </row>
    <row r="1371" spans="1:10" x14ac:dyDescent="0.25">
      <c r="A1371" t="s">
        <v>107</v>
      </c>
      <c r="B1371">
        <v>7172030017000700</v>
      </c>
      <c r="C1371">
        <v>113</v>
      </c>
      <c r="D1371">
        <v>88</v>
      </c>
      <c r="E1371">
        <v>4</v>
      </c>
      <c r="F1371">
        <v>20</v>
      </c>
      <c r="G1371">
        <v>1</v>
      </c>
      <c r="H1371">
        <v>0</v>
      </c>
      <c r="I1371">
        <v>0</v>
      </c>
      <c r="J1371">
        <v>0</v>
      </c>
    </row>
    <row r="1372" spans="1:10" x14ac:dyDescent="0.25">
      <c r="A1372" t="s">
        <v>107</v>
      </c>
      <c r="B1372">
        <v>7172030017000600</v>
      </c>
      <c r="C1372">
        <v>97</v>
      </c>
      <c r="D1372">
        <v>33</v>
      </c>
      <c r="E1372">
        <v>1</v>
      </c>
      <c r="F1372">
        <v>56</v>
      </c>
      <c r="G1372">
        <v>0</v>
      </c>
      <c r="H1372">
        <v>0</v>
      </c>
      <c r="I1372">
        <v>7</v>
      </c>
      <c r="J1372">
        <v>0</v>
      </c>
    </row>
    <row r="1373" spans="1:10" x14ac:dyDescent="0.25">
      <c r="A1373" t="s">
        <v>107</v>
      </c>
      <c r="B1373">
        <v>7172030017001000</v>
      </c>
      <c r="C1373">
        <v>56</v>
      </c>
      <c r="D1373">
        <v>0</v>
      </c>
      <c r="E1373">
        <v>0</v>
      </c>
      <c r="F1373">
        <v>56</v>
      </c>
      <c r="G1373">
        <v>0</v>
      </c>
      <c r="H1373">
        <v>0</v>
      </c>
      <c r="I1373">
        <v>0</v>
      </c>
      <c r="J1373">
        <v>0</v>
      </c>
    </row>
    <row r="1374" spans="1:10" x14ac:dyDescent="0.25">
      <c r="A1374" t="s">
        <v>107</v>
      </c>
      <c r="B1374">
        <v>7172030017000800</v>
      </c>
      <c r="C1374">
        <v>48</v>
      </c>
      <c r="D1374">
        <v>35</v>
      </c>
      <c r="E1374">
        <v>2</v>
      </c>
      <c r="F1374">
        <v>10</v>
      </c>
      <c r="G1374">
        <v>1</v>
      </c>
      <c r="H1374">
        <v>0</v>
      </c>
      <c r="I1374">
        <v>0</v>
      </c>
      <c r="J1374">
        <v>0</v>
      </c>
    </row>
    <row r="1375" spans="1:10" x14ac:dyDescent="0.25">
      <c r="A1375" t="s">
        <v>107</v>
      </c>
      <c r="B1375">
        <v>7172030017000900</v>
      </c>
      <c r="C1375">
        <v>48</v>
      </c>
      <c r="D1375">
        <v>3</v>
      </c>
      <c r="E1375">
        <v>0</v>
      </c>
      <c r="F1375">
        <v>45</v>
      </c>
      <c r="G1375">
        <v>0</v>
      </c>
      <c r="H1375">
        <v>0</v>
      </c>
      <c r="I1375">
        <v>0</v>
      </c>
      <c r="J1375">
        <v>0</v>
      </c>
    </row>
    <row r="1376" spans="1:10" x14ac:dyDescent="0.25">
      <c r="A1376" t="s">
        <v>107</v>
      </c>
      <c r="B1376">
        <v>7172030017001200</v>
      </c>
      <c r="C1376">
        <v>41</v>
      </c>
      <c r="D1376">
        <v>5</v>
      </c>
      <c r="E1376">
        <v>0</v>
      </c>
      <c r="F1376">
        <v>36</v>
      </c>
      <c r="G1376">
        <v>0</v>
      </c>
      <c r="H1376">
        <v>0</v>
      </c>
      <c r="I1376">
        <v>0</v>
      </c>
      <c r="J1376">
        <v>0</v>
      </c>
    </row>
    <row r="1377" spans="1:10" x14ac:dyDescent="0.25">
      <c r="A1377" t="s">
        <v>107</v>
      </c>
      <c r="B1377">
        <v>7172030017001300</v>
      </c>
      <c r="C1377">
        <v>41</v>
      </c>
      <c r="D1377">
        <v>35</v>
      </c>
      <c r="E1377">
        <v>5</v>
      </c>
      <c r="F1377">
        <v>1</v>
      </c>
      <c r="G1377">
        <v>0</v>
      </c>
      <c r="H1377">
        <v>0</v>
      </c>
      <c r="I1377">
        <v>0</v>
      </c>
      <c r="J1377">
        <v>0</v>
      </c>
    </row>
    <row r="1378" spans="1:10" x14ac:dyDescent="0.25">
      <c r="A1378" t="s">
        <v>242</v>
      </c>
      <c r="B1378">
        <v>7172030013001300</v>
      </c>
      <c r="C1378">
        <v>135</v>
      </c>
      <c r="D1378">
        <v>114</v>
      </c>
      <c r="E1378">
        <v>0</v>
      </c>
      <c r="F1378">
        <v>14</v>
      </c>
      <c r="G1378">
        <v>0</v>
      </c>
      <c r="H1378">
        <v>0</v>
      </c>
      <c r="I1378">
        <v>7</v>
      </c>
      <c r="J1378">
        <v>0</v>
      </c>
    </row>
    <row r="1379" spans="1:10" x14ac:dyDescent="0.25">
      <c r="A1379" t="s">
        <v>242</v>
      </c>
      <c r="B1379">
        <v>7172030013001500</v>
      </c>
      <c r="C1379">
        <v>133</v>
      </c>
      <c r="D1379">
        <v>40</v>
      </c>
      <c r="E1379">
        <v>0</v>
      </c>
      <c r="F1379">
        <v>78</v>
      </c>
      <c r="G1379">
        <v>0</v>
      </c>
      <c r="H1379">
        <v>0</v>
      </c>
      <c r="I1379">
        <v>15</v>
      </c>
      <c r="J1379">
        <v>0</v>
      </c>
    </row>
    <row r="1380" spans="1:10" x14ac:dyDescent="0.25">
      <c r="A1380" t="s">
        <v>242</v>
      </c>
      <c r="B1380">
        <v>7172030013001600</v>
      </c>
      <c r="C1380">
        <v>95</v>
      </c>
      <c r="D1380">
        <v>20</v>
      </c>
      <c r="E1380">
        <v>0</v>
      </c>
      <c r="F1380">
        <v>75</v>
      </c>
      <c r="G1380">
        <v>0</v>
      </c>
      <c r="H1380">
        <v>0</v>
      </c>
      <c r="I1380">
        <v>0</v>
      </c>
      <c r="J1380">
        <v>0</v>
      </c>
    </row>
    <row r="1381" spans="1:10" x14ac:dyDescent="0.25">
      <c r="A1381" t="s">
        <v>242</v>
      </c>
      <c r="B1381">
        <v>7172030014000100</v>
      </c>
      <c r="C1381">
        <v>84</v>
      </c>
      <c r="D1381">
        <v>19</v>
      </c>
      <c r="E1381">
        <v>0</v>
      </c>
      <c r="F1381">
        <v>14</v>
      </c>
      <c r="G1381">
        <v>0</v>
      </c>
      <c r="H1381">
        <v>0</v>
      </c>
      <c r="I1381">
        <v>51</v>
      </c>
      <c r="J1381">
        <v>0</v>
      </c>
    </row>
    <row r="1382" spans="1:10" x14ac:dyDescent="0.25">
      <c r="A1382" t="s">
        <v>242</v>
      </c>
      <c r="B1382">
        <v>7172030013001400</v>
      </c>
      <c r="C1382">
        <v>70</v>
      </c>
      <c r="D1382">
        <v>9</v>
      </c>
      <c r="E1382">
        <v>0</v>
      </c>
      <c r="F1382">
        <v>61</v>
      </c>
      <c r="G1382">
        <v>0</v>
      </c>
      <c r="H1382">
        <v>0</v>
      </c>
      <c r="I1382">
        <v>0</v>
      </c>
      <c r="J1382">
        <v>0</v>
      </c>
    </row>
    <row r="1383" spans="1:10" x14ac:dyDescent="0.25">
      <c r="A1383" t="s">
        <v>242</v>
      </c>
      <c r="B1383">
        <v>7172030013001100</v>
      </c>
      <c r="C1383">
        <v>58</v>
      </c>
      <c r="D1383">
        <v>5</v>
      </c>
      <c r="E1383">
        <v>0</v>
      </c>
      <c r="F1383">
        <v>53</v>
      </c>
      <c r="G1383">
        <v>0</v>
      </c>
      <c r="H1383">
        <v>0</v>
      </c>
      <c r="I1383">
        <v>0</v>
      </c>
      <c r="J1383">
        <v>0</v>
      </c>
    </row>
    <row r="1384" spans="1:10" x14ac:dyDescent="0.25">
      <c r="A1384" t="s">
        <v>242</v>
      </c>
      <c r="B1384">
        <v>7172030014000200</v>
      </c>
      <c r="C1384">
        <v>58</v>
      </c>
      <c r="D1384">
        <v>57</v>
      </c>
      <c r="E1384">
        <v>0</v>
      </c>
      <c r="F1384">
        <v>1</v>
      </c>
      <c r="G1384">
        <v>0</v>
      </c>
      <c r="H1384">
        <v>0</v>
      </c>
      <c r="I1384">
        <v>0</v>
      </c>
      <c r="J1384">
        <v>0</v>
      </c>
    </row>
    <row r="1385" spans="1:10" x14ac:dyDescent="0.25">
      <c r="A1385" t="s">
        <v>106</v>
      </c>
      <c r="B1385">
        <v>7172030015001500</v>
      </c>
      <c r="C1385">
        <v>223</v>
      </c>
      <c r="D1385">
        <v>218</v>
      </c>
      <c r="E1385">
        <v>1</v>
      </c>
      <c r="F1385">
        <v>0</v>
      </c>
      <c r="G1385">
        <v>2</v>
      </c>
      <c r="H1385">
        <v>0</v>
      </c>
      <c r="I1385">
        <v>2</v>
      </c>
      <c r="J1385">
        <v>0</v>
      </c>
    </row>
    <row r="1386" spans="1:10" x14ac:dyDescent="0.25">
      <c r="A1386" t="s">
        <v>106</v>
      </c>
      <c r="B1386">
        <v>7172030015001702</v>
      </c>
      <c r="C1386">
        <v>213</v>
      </c>
      <c r="D1386">
        <v>0</v>
      </c>
      <c r="E1386">
        <v>17</v>
      </c>
      <c r="F1386">
        <v>191</v>
      </c>
      <c r="G1386">
        <v>0</v>
      </c>
      <c r="H1386">
        <v>0</v>
      </c>
      <c r="I1386">
        <v>5</v>
      </c>
      <c r="J1386">
        <v>0</v>
      </c>
    </row>
    <row r="1387" spans="1:10" x14ac:dyDescent="0.25">
      <c r="A1387" t="s">
        <v>106</v>
      </c>
      <c r="B1387">
        <v>7172030015001600</v>
      </c>
      <c r="C1387">
        <v>110</v>
      </c>
      <c r="D1387">
        <v>1</v>
      </c>
      <c r="E1387">
        <v>1</v>
      </c>
      <c r="F1387">
        <v>61</v>
      </c>
      <c r="G1387">
        <v>0</v>
      </c>
      <c r="H1387">
        <v>0</v>
      </c>
      <c r="I1387">
        <v>47</v>
      </c>
      <c r="J1387">
        <v>0</v>
      </c>
    </row>
    <row r="1388" spans="1:10" x14ac:dyDescent="0.25">
      <c r="A1388" t="s">
        <v>106</v>
      </c>
      <c r="B1388">
        <v>7172030015001400</v>
      </c>
      <c r="C1388">
        <v>56</v>
      </c>
      <c r="D1388">
        <v>56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</row>
    <row r="1389" spans="1:10" x14ac:dyDescent="0.25">
      <c r="A1389" t="s">
        <v>102</v>
      </c>
      <c r="B1389">
        <v>7172030014000500</v>
      </c>
      <c r="C1389">
        <v>129</v>
      </c>
      <c r="D1389">
        <v>60</v>
      </c>
      <c r="E1389">
        <v>21</v>
      </c>
      <c r="F1389">
        <v>35</v>
      </c>
      <c r="G1389">
        <v>0</v>
      </c>
      <c r="H1389">
        <v>0</v>
      </c>
      <c r="I1389">
        <v>13</v>
      </c>
      <c r="J1389">
        <v>0</v>
      </c>
    </row>
    <row r="1390" spans="1:10" x14ac:dyDescent="0.25">
      <c r="A1390" t="s">
        <v>102</v>
      </c>
      <c r="B1390">
        <v>7172030014000900</v>
      </c>
      <c r="C1390">
        <v>109</v>
      </c>
      <c r="D1390">
        <v>25</v>
      </c>
      <c r="E1390">
        <v>3</v>
      </c>
      <c r="F1390">
        <v>78</v>
      </c>
      <c r="G1390">
        <v>0</v>
      </c>
      <c r="H1390">
        <v>0</v>
      </c>
      <c r="I1390">
        <v>3</v>
      </c>
      <c r="J1390">
        <v>0</v>
      </c>
    </row>
    <row r="1391" spans="1:10" x14ac:dyDescent="0.25">
      <c r="A1391" t="s">
        <v>102</v>
      </c>
      <c r="B1391">
        <v>7172030014000300</v>
      </c>
      <c r="C1391">
        <v>96</v>
      </c>
      <c r="D1391">
        <v>95</v>
      </c>
      <c r="E1391">
        <v>0</v>
      </c>
      <c r="F1391">
        <v>1</v>
      </c>
      <c r="G1391">
        <v>0</v>
      </c>
      <c r="H1391">
        <v>0</v>
      </c>
      <c r="I1391">
        <v>0</v>
      </c>
      <c r="J1391">
        <v>0</v>
      </c>
    </row>
    <row r="1392" spans="1:10" x14ac:dyDescent="0.25">
      <c r="A1392" t="s">
        <v>102</v>
      </c>
      <c r="B1392">
        <v>7172030014000600</v>
      </c>
      <c r="C1392">
        <v>93</v>
      </c>
      <c r="D1392">
        <v>0</v>
      </c>
      <c r="E1392">
        <v>0</v>
      </c>
      <c r="F1392">
        <v>93</v>
      </c>
      <c r="G1392">
        <v>0</v>
      </c>
      <c r="H1392">
        <v>0</v>
      </c>
      <c r="I1392">
        <v>0</v>
      </c>
      <c r="J1392">
        <v>0</v>
      </c>
    </row>
    <row r="1393" spans="1:10" x14ac:dyDescent="0.25">
      <c r="A1393" t="s">
        <v>102</v>
      </c>
      <c r="B1393">
        <v>7172030014000700</v>
      </c>
      <c r="C1393">
        <v>90</v>
      </c>
      <c r="D1393">
        <v>4</v>
      </c>
      <c r="E1393">
        <v>0</v>
      </c>
      <c r="F1393">
        <v>84</v>
      </c>
      <c r="G1393">
        <v>0</v>
      </c>
      <c r="H1393">
        <v>0</v>
      </c>
      <c r="I1393">
        <v>2</v>
      </c>
      <c r="J1393">
        <v>0</v>
      </c>
    </row>
    <row r="1394" spans="1:10" x14ac:dyDescent="0.25">
      <c r="A1394" t="s">
        <v>102</v>
      </c>
      <c r="B1394">
        <v>7172030014000800</v>
      </c>
      <c r="C1394">
        <v>79</v>
      </c>
      <c r="D1394">
        <v>17</v>
      </c>
      <c r="E1394">
        <v>4</v>
      </c>
      <c r="F1394">
        <v>6</v>
      </c>
      <c r="G1394">
        <v>0</v>
      </c>
      <c r="H1394">
        <v>0</v>
      </c>
      <c r="I1394">
        <v>52</v>
      </c>
      <c r="J1394">
        <v>0</v>
      </c>
    </row>
    <row r="1395" spans="1:10" x14ac:dyDescent="0.25">
      <c r="A1395" t="s">
        <v>102</v>
      </c>
      <c r="B1395">
        <v>7172030014000400</v>
      </c>
      <c r="C1395">
        <v>62</v>
      </c>
      <c r="D1395">
        <v>59</v>
      </c>
      <c r="E1395">
        <v>2</v>
      </c>
      <c r="F1395">
        <v>0</v>
      </c>
      <c r="G1395">
        <v>0</v>
      </c>
      <c r="H1395">
        <v>0</v>
      </c>
      <c r="I1395">
        <v>1</v>
      </c>
      <c r="J1395">
        <v>0</v>
      </c>
    </row>
    <row r="1396" spans="1:10" x14ac:dyDescent="0.25">
      <c r="A1396" t="s">
        <v>108</v>
      </c>
      <c r="B1396">
        <v>7172030017001900</v>
      </c>
      <c r="C1396">
        <v>133</v>
      </c>
      <c r="D1396">
        <v>69</v>
      </c>
      <c r="E1396">
        <v>7</v>
      </c>
      <c r="F1396">
        <v>51</v>
      </c>
      <c r="G1396">
        <v>0</v>
      </c>
      <c r="H1396">
        <v>0</v>
      </c>
      <c r="I1396">
        <v>6</v>
      </c>
      <c r="J1396">
        <v>0</v>
      </c>
    </row>
    <row r="1397" spans="1:10" x14ac:dyDescent="0.25">
      <c r="A1397" t="s">
        <v>108</v>
      </c>
      <c r="B1397">
        <v>7172030017002001</v>
      </c>
      <c r="C1397">
        <v>118</v>
      </c>
      <c r="D1397">
        <v>32</v>
      </c>
      <c r="E1397">
        <v>7</v>
      </c>
      <c r="F1397">
        <v>62</v>
      </c>
      <c r="G1397">
        <v>0</v>
      </c>
      <c r="H1397">
        <v>0</v>
      </c>
      <c r="I1397">
        <v>17</v>
      </c>
      <c r="J1397">
        <v>0</v>
      </c>
    </row>
    <row r="1398" spans="1:10" x14ac:dyDescent="0.25">
      <c r="A1398" t="s">
        <v>108</v>
      </c>
      <c r="B1398">
        <v>7172030017002002</v>
      </c>
      <c r="C1398">
        <v>110</v>
      </c>
      <c r="D1398">
        <v>30</v>
      </c>
      <c r="E1398">
        <v>10</v>
      </c>
      <c r="F1398">
        <v>50</v>
      </c>
      <c r="G1398">
        <v>0</v>
      </c>
      <c r="H1398">
        <v>0</v>
      </c>
      <c r="I1398">
        <v>20</v>
      </c>
      <c r="J1398">
        <v>0</v>
      </c>
    </row>
    <row r="1399" spans="1:10" x14ac:dyDescent="0.25">
      <c r="A1399" t="s">
        <v>108</v>
      </c>
      <c r="B1399">
        <v>7172030017001700</v>
      </c>
      <c r="C1399">
        <v>102</v>
      </c>
      <c r="D1399">
        <v>11</v>
      </c>
      <c r="E1399">
        <v>2</v>
      </c>
      <c r="F1399">
        <v>69</v>
      </c>
      <c r="G1399">
        <v>0</v>
      </c>
      <c r="H1399">
        <v>0</v>
      </c>
      <c r="I1399">
        <v>20</v>
      </c>
      <c r="J1399">
        <v>0</v>
      </c>
    </row>
    <row r="1400" spans="1:10" x14ac:dyDescent="0.25">
      <c r="A1400" t="s">
        <v>108</v>
      </c>
      <c r="B1400">
        <v>7172030017001800</v>
      </c>
      <c r="C1400">
        <v>102</v>
      </c>
      <c r="D1400">
        <v>25</v>
      </c>
      <c r="E1400">
        <v>5</v>
      </c>
      <c r="F1400">
        <v>59</v>
      </c>
      <c r="G1400">
        <v>0</v>
      </c>
      <c r="H1400">
        <v>0</v>
      </c>
      <c r="I1400">
        <v>13</v>
      </c>
      <c r="J1400">
        <v>0</v>
      </c>
    </row>
    <row r="1401" spans="1:10" x14ac:dyDescent="0.25">
      <c r="A1401" t="s">
        <v>108</v>
      </c>
      <c r="B1401">
        <v>7172030017001400</v>
      </c>
      <c r="C1401">
        <v>88</v>
      </c>
      <c r="D1401">
        <v>72</v>
      </c>
      <c r="E1401">
        <v>7</v>
      </c>
      <c r="F1401">
        <v>0</v>
      </c>
      <c r="G1401">
        <v>0</v>
      </c>
      <c r="H1401">
        <v>0</v>
      </c>
      <c r="I1401">
        <v>9</v>
      </c>
      <c r="J1401">
        <v>0</v>
      </c>
    </row>
    <row r="1402" spans="1:10" x14ac:dyDescent="0.25">
      <c r="A1402" t="s">
        <v>108</v>
      </c>
      <c r="B1402">
        <v>7172030017001600</v>
      </c>
      <c r="C1402">
        <v>69</v>
      </c>
      <c r="D1402">
        <v>30</v>
      </c>
      <c r="E1402">
        <v>3</v>
      </c>
      <c r="F1402">
        <v>26</v>
      </c>
      <c r="G1402">
        <v>0</v>
      </c>
      <c r="H1402">
        <v>1</v>
      </c>
      <c r="I1402">
        <v>9</v>
      </c>
      <c r="J1402">
        <v>0</v>
      </c>
    </row>
    <row r="1403" spans="1:10" x14ac:dyDescent="0.25">
      <c r="A1403" t="s">
        <v>110</v>
      </c>
      <c r="B1403">
        <v>7172031002000100</v>
      </c>
      <c r="C1403">
        <v>231</v>
      </c>
      <c r="D1403">
        <v>207</v>
      </c>
      <c r="E1403">
        <v>7</v>
      </c>
      <c r="F1403">
        <v>3</v>
      </c>
      <c r="G1403">
        <v>1</v>
      </c>
      <c r="H1403">
        <v>0</v>
      </c>
      <c r="I1403">
        <v>13</v>
      </c>
      <c r="J1403">
        <v>0</v>
      </c>
    </row>
    <row r="1404" spans="1:10" x14ac:dyDescent="0.25">
      <c r="A1404" t="s">
        <v>110</v>
      </c>
      <c r="B1404">
        <v>7172031002000200</v>
      </c>
      <c r="C1404">
        <v>197</v>
      </c>
      <c r="D1404">
        <v>181</v>
      </c>
      <c r="E1404">
        <v>7</v>
      </c>
      <c r="F1404">
        <v>3</v>
      </c>
      <c r="G1404">
        <v>0</v>
      </c>
      <c r="H1404">
        <v>0</v>
      </c>
      <c r="I1404">
        <v>6</v>
      </c>
      <c r="J1404">
        <v>0</v>
      </c>
    </row>
    <row r="1405" spans="1:10" x14ac:dyDescent="0.25">
      <c r="A1405" t="s">
        <v>110</v>
      </c>
      <c r="B1405">
        <v>7172031002000300</v>
      </c>
      <c r="C1405">
        <v>146</v>
      </c>
      <c r="D1405">
        <v>124</v>
      </c>
      <c r="E1405">
        <v>5</v>
      </c>
      <c r="F1405">
        <v>7</v>
      </c>
      <c r="G1405">
        <v>1</v>
      </c>
      <c r="H1405">
        <v>0</v>
      </c>
      <c r="I1405">
        <v>9</v>
      </c>
      <c r="J1405">
        <v>0</v>
      </c>
    </row>
    <row r="1406" spans="1:10" x14ac:dyDescent="0.25">
      <c r="A1406" t="s">
        <v>110</v>
      </c>
      <c r="B1406">
        <v>7172031001001500</v>
      </c>
      <c r="C1406">
        <v>95</v>
      </c>
      <c r="D1406">
        <v>87</v>
      </c>
      <c r="E1406">
        <v>1</v>
      </c>
      <c r="F1406">
        <v>0</v>
      </c>
      <c r="G1406">
        <v>2</v>
      </c>
      <c r="H1406">
        <v>0</v>
      </c>
      <c r="I1406">
        <v>5</v>
      </c>
      <c r="J1406">
        <v>0</v>
      </c>
    </row>
    <row r="1407" spans="1:10" x14ac:dyDescent="0.25">
      <c r="A1407" t="s">
        <v>111</v>
      </c>
      <c r="B1407">
        <v>7172031002000500</v>
      </c>
      <c r="C1407">
        <v>137</v>
      </c>
      <c r="D1407">
        <v>98</v>
      </c>
      <c r="E1407">
        <v>16</v>
      </c>
      <c r="F1407">
        <v>15</v>
      </c>
      <c r="G1407">
        <v>7</v>
      </c>
      <c r="H1407">
        <v>0</v>
      </c>
      <c r="I1407">
        <v>1</v>
      </c>
      <c r="J1407">
        <v>0</v>
      </c>
    </row>
    <row r="1408" spans="1:10" x14ac:dyDescent="0.25">
      <c r="A1408" t="s">
        <v>111</v>
      </c>
      <c r="B1408">
        <v>7172031002001101</v>
      </c>
      <c r="C1408">
        <v>122</v>
      </c>
      <c r="D1408">
        <v>42</v>
      </c>
      <c r="E1408">
        <v>10</v>
      </c>
      <c r="F1408">
        <v>41</v>
      </c>
      <c r="G1408">
        <v>16</v>
      </c>
      <c r="H1408">
        <v>0</v>
      </c>
      <c r="I1408">
        <v>13</v>
      </c>
      <c r="J1408">
        <v>0</v>
      </c>
    </row>
    <row r="1409" spans="1:10" x14ac:dyDescent="0.25">
      <c r="A1409" t="s">
        <v>111</v>
      </c>
      <c r="B1409">
        <v>7172031002000400</v>
      </c>
      <c r="C1409">
        <v>104</v>
      </c>
      <c r="D1409">
        <v>103</v>
      </c>
      <c r="E1409">
        <v>1</v>
      </c>
      <c r="F1409">
        <v>0</v>
      </c>
      <c r="G1409">
        <v>0</v>
      </c>
      <c r="H1409">
        <v>0</v>
      </c>
      <c r="I1409">
        <v>0</v>
      </c>
      <c r="J1409">
        <v>0</v>
      </c>
    </row>
    <row r="1410" spans="1:10" x14ac:dyDescent="0.25">
      <c r="A1410" t="s">
        <v>111</v>
      </c>
      <c r="B1410">
        <v>7172031002000700</v>
      </c>
      <c r="C1410">
        <v>72</v>
      </c>
      <c r="D1410">
        <v>5</v>
      </c>
      <c r="E1410">
        <v>13</v>
      </c>
      <c r="F1410">
        <v>48</v>
      </c>
      <c r="G1410">
        <v>0</v>
      </c>
      <c r="H1410">
        <v>0</v>
      </c>
      <c r="I1410">
        <v>6</v>
      </c>
      <c r="J1410">
        <v>0</v>
      </c>
    </row>
    <row r="1411" spans="1:10" x14ac:dyDescent="0.25">
      <c r="A1411" t="s">
        <v>111</v>
      </c>
      <c r="B1411">
        <v>7172031002001500</v>
      </c>
      <c r="C1411">
        <v>59</v>
      </c>
      <c r="D1411">
        <v>0</v>
      </c>
      <c r="E1411">
        <v>0</v>
      </c>
      <c r="F1411">
        <v>59</v>
      </c>
      <c r="G1411">
        <v>0</v>
      </c>
      <c r="H1411">
        <v>0</v>
      </c>
      <c r="I1411">
        <v>0</v>
      </c>
      <c r="J1411">
        <v>0</v>
      </c>
    </row>
    <row r="1412" spans="1:10" x14ac:dyDescent="0.25">
      <c r="A1412" t="s">
        <v>111</v>
      </c>
      <c r="B1412">
        <v>7172031003000200</v>
      </c>
      <c r="C1412">
        <v>56</v>
      </c>
      <c r="D1412">
        <v>20</v>
      </c>
      <c r="E1412">
        <v>0</v>
      </c>
      <c r="F1412">
        <v>36</v>
      </c>
      <c r="G1412">
        <v>0</v>
      </c>
      <c r="H1412">
        <v>0</v>
      </c>
      <c r="I1412">
        <v>0</v>
      </c>
      <c r="J1412">
        <v>0</v>
      </c>
    </row>
    <row r="1413" spans="1:10" x14ac:dyDescent="0.25">
      <c r="A1413" t="s">
        <v>111</v>
      </c>
      <c r="B1413">
        <v>7172031002001400</v>
      </c>
      <c r="C1413">
        <v>55</v>
      </c>
      <c r="D1413">
        <v>0</v>
      </c>
      <c r="E1413">
        <v>0</v>
      </c>
      <c r="F1413">
        <v>55</v>
      </c>
      <c r="G1413">
        <v>0</v>
      </c>
      <c r="H1413">
        <v>0</v>
      </c>
      <c r="I1413">
        <v>0</v>
      </c>
      <c r="J1413">
        <v>0</v>
      </c>
    </row>
    <row r="1414" spans="1:10" x14ac:dyDescent="0.25">
      <c r="A1414" t="s">
        <v>111</v>
      </c>
      <c r="B1414">
        <v>7172031002000600</v>
      </c>
      <c r="C1414">
        <v>49</v>
      </c>
      <c r="D1414">
        <v>0</v>
      </c>
      <c r="E1414">
        <v>0</v>
      </c>
      <c r="F1414">
        <v>49</v>
      </c>
      <c r="G1414">
        <v>0</v>
      </c>
      <c r="H1414">
        <v>0</v>
      </c>
      <c r="I1414">
        <v>0</v>
      </c>
      <c r="J1414">
        <v>0</v>
      </c>
    </row>
    <row r="1415" spans="1:10" x14ac:dyDescent="0.25">
      <c r="A1415" t="s">
        <v>112</v>
      </c>
      <c r="B1415">
        <v>7172031002001102</v>
      </c>
      <c r="C1415">
        <v>182</v>
      </c>
      <c r="D1415">
        <v>154</v>
      </c>
      <c r="E1415">
        <v>25</v>
      </c>
      <c r="F1415">
        <v>3</v>
      </c>
      <c r="G1415">
        <v>0</v>
      </c>
      <c r="H1415">
        <v>0</v>
      </c>
      <c r="I1415">
        <v>0</v>
      </c>
      <c r="J1415">
        <v>0</v>
      </c>
    </row>
    <row r="1416" spans="1:10" x14ac:dyDescent="0.25">
      <c r="A1416" t="s">
        <v>112</v>
      </c>
      <c r="B1416">
        <v>7172031002001000</v>
      </c>
      <c r="C1416">
        <v>137</v>
      </c>
      <c r="D1416">
        <v>135</v>
      </c>
      <c r="E1416">
        <v>2</v>
      </c>
      <c r="F1416">
        <v>0</v>
      </c>
      <c r="G1416">
        <v>0</v>
      </c>
      <c r="H1416">
        <v>0</v>
      </c>
      <c r="I1416">
        <v>0</v>
      </c>
      <c r="J1416">
        <v>0</v>
      </c>
    </row>
    <row r="1417" spans="1:10" x14ac:dyDescent="0.25">
      <c r="A1417" t="s">
        <v>112</v>
      </c>
      <c r="B1417">
        <v>7172031002000800</v>
      </c>
      <c r="C1417">
        <v>94</v>
      </c>
      <c r="D1417">
        <v>19</v>
      </c>
      <c r="E1417">
        <v>36</v>
      </c>
      <c r="F1417">
        <v>39</v>
      </c>
      <c r="G1417">
        <v>0</v>
      </c>
      <c r="H1417">
        <v>0</v>
      </c>
      <c r="I1417">
        <v>0</v>
      </c>
      <c r="J1417">
        <v>0</v>
      </c>
    </row>
    <row r="1418" spans="1:10" x14ac:dyDescent="0.25">
      <c r="A1418" t="s">
        <v>112</v>
      </c>
      <c r="B1418">
        <v>7172031002001300</v>
      </c>
      <c r="C1418">
        <v>88</v>
      </c>
      <c r="D1418">
        <v>53</v>
      </c>
      <c r="E1418">
        <v>23</v>
      </c>
      <c r="F1418">
        <v>12</v>
      </c>
      <c r="G1418">
        <v>0</v>
      </c>
      <c r="H1418">
        <v>0</v>
      </c>
      <c r="I1418">
        <v>0</v>
      </c>
      <c r="J1418">
        <v>0</v>
      </c>
    </row>
    <row r="1419" spans="1:10" x14ac:dyDescent="0.25">
      <c r="A1419" t="s">
        <v>112</v>
      </c>
      <c r="B1419">
        <v>7172031008001400</v>
      </c>
      <c r="C1419">
        <v>77</v>
      </c>
      <c r="D1419">
        <v>0</v>
      </c>
      <c r="E1419">
        <v>0</v>
      </c>
      <c r="F1419">
        <v>77</v>
      </c>
      <c r="G1419">
        <v>0</v>
      </c>
      <c r="H1419">
        <v>0</v>
      </c>
      <c r="I1419">
        <v>0</v>
      </c>
      <c r="J1419">
        <v>0</v>
      </c>
    </row>
    <row r="1420" spans="1:10" x14ac:dyDescent="0.25">
      <c r="A1420" t="s">
        <v>112</v>
      </c>
      <c r="B1420">
        <v>7172031008000800</v>
      </c>
      <c r="C1420">
        <v>57</v>
      </c>
      <c r="D1420">
        <v>57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</row>
    <row r="1421" spans="1:10" x14ac:dyDescent="0.25">
      <c r="A1421" t="s">
        <v>112</v>
      </c>
      <c r="B1421">
        <v>7172031002000900</v>
      </c>
      <c r="C1421">
        <v>48</v>
      </c>
      <c r="D1421">
        <v>1</v>
      </c>
      <c r="E1421">
        <v>1</v>
      </c>
      <c r="F1421">
        <v>46</v>
      </c>
      <c r="G1421">
        <v>0</v>
      </c>
      <c r="H1421">
        <v>0</v>
      </c>
      <c r="I1421">
        <v>0</v>
      </c>
      <c r="J1421">
        <v>0</v>
      </c>
    </row>
    <row r="1422" spans="1:10" x14ac:dyDescent="0.25">
      <c r="A1422" t="s">
        <v>112</v>
      </c>
      <c r="B1422">
        <v>7172031008001500</v>
      </c>
      <c r="C1422">
        <v>30</v>
      </c>
      <c r="D1422">
        <v>30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0</v>
      </c>
    </row>
    <row r="1423" spans="1:10" x14ac:dyDescent="0.25">
      <c r="A1423" t="s">
        <v>115</v>
      </c>
      <c r="B1423">
        <v>7172031003002000</v>
      </c>
      <c r="C1423">
        <v>198</v>
      </c>
      <c r="D1423">
        <v>189</v>
      </c>
      <c r="E1423">
        <v>3</v>
      </c>
      <c r="F1423">
        <v>6</v>
      </c>
      <c r="G1423">
        <v>0</v>
      </c>
      <c r="H1423">
        <v>0</v>
      </c>
      <c r="I1423">
        <v>0</v>
      </c>
      <c r="J1423">
        <v>0</v>
      </c>
    </row>
    <row r="1424" spans="1:10" x14ac:dyDescent="0.25">
      <c r="A1424" t="s">
        <v>115</v>
      </c>
      <c r="B1424">
        <v>7172031003002100</v>
      </c>
      <c r="C1424">
        <v>139</v>
      </c>
      <c r="D1424">
        <v>50</v>
      </c>
      <c r="E1424">
        <v>4</v>
      </c>
      <c r="F1424">
        <v>85</v>
      </c>
      <c r="G1424">
        <v>0</v>
      </c>
      <c r="H1424">
        <v>0</v>
      </c>
      <c r="I1424">
        <v>0</v>
      </c>
      <c r="J1424">
        <v>0</v>
      </c>
    </row>
    <row r="1425" spans="1:10" x14ac:dyDescent="0.25">
      <c r="A1425" t="s">
        <v>115</v>
      </c>
      <c r="B1425">
        <v>7172031003001700</v>
      </c>
      <c r="C1425">
        <v>138</v>
      </c>
      <c r="D1425">
        <v>39</v>
      </c>
      <c r="E1425">
        <v>0</v>
      </c>
      <c r="F1425">
        <v>99</v>
      </c>
      <c r="G1425">
        <v>0</v>
      </c>
      <c r="H1425">
        <v>0</v>
      </c>
      <c r="I1425">
        <v>0</v>
      </c>
      <c r="J1425">
        <v>0</v>
      </c>
    </row>
    <row r="1426" spans="1:10" x14ac:dyDescent="0.25">
      <c r="A1426" t="s">
        <v>115</v>
      </c>
      <c r="B1426">
        <v>7172031003001900</v>
      </c>
      <c r="C1426">
        <v>71</v>
      </c>
      <c r="D1426">
        <v>68</v>
      </c>
      <c r="E1426">
        <v>1</v>
      </c>
      <c r="F1426">
        <v>2</v>
      </c>
      <c r="G1426">
        <v>0</v>
      </c>
      <c r="H1426">
        <v>0</v>
      </c>
      <c r="I1426">
        <v>0</v>
      </c>
      <c r="J1426">
        <v>0</v>
      </c>
    </row>
    <row r="1427" spans="1:10" x14ac:dyDescent="0.25">
      <c r="A1427" t="s">
        <v>115</v>
      </c>
      <c r="B1427">
        <v>7172031003001400</v>
      </c>
      <c r="C1427">
        <v>56</v>
      </c>
      <c r="D1427">
        <v>24</v>
      </c>
      <c r="E1427">
        <v>9</v>
      </c>
      <c r="F1427">
        <v>22</v>
      </c>
      <c r="G1427">
        <v>1</v>
      </c>
      <c r="H1427">
        <v>0</v>
      </c>
      <c r="I1427">
        <v>0</v>
      </c>
      <c r="J1427">
        <v>0</v>
      </c>
    </row>
    <row r="1428" spans="1:10" x14ac:dyDescent="0.25">
      <c r="A1428" t="s">
        <v>117</v>
      </c>
      <c r="B1428">
        <v>7172031004000800</v>
      </c>
      <c r="C1428">
        <v>133</v>
      </c>
      <c r="D1428">
        <v>57</v>
      </c>
      <c r="E1428">
        <v>20</v>
      </c>
      <c r="F1428">
        <v>55</v>
      </c>
      <c r="G1428">
        <v>0</v>
      </c>
      <c r="H1428">
        <v>0</v>
      </c>
      <c r="I1428">
        <v>1</v>
      </c>
      <c r="J1428">
        <v>0</v>
      </c>
    </row>
    <row r="1429" spans="1:10" x14ac:dyDescent="0.25">
      <c r="A1429" t="s">
        <v>117</v>
      </c>
      <c r="B1429">
        <v>7172031004000900</v>
      </c>
      <c r="C1429">
        <v>79</v>
      </c>
      <c r="D1429">
        <v>76</v>
      </c>
      <c r="E1429">
        <v>3</v>
      </c>
      <c r="F1429">
        <v>0</v>
      </c>
      <c r="G1429">
        <v>0</v>
      </c>
      <c r="H1429">
        <v>0</v>
      </c>
      <c r="I1429">
        <v>0</v>
      </c>
      <c r="J1429">
        <v>0</v>
      </c>
    </row>
    <row r="1430" spans="1:10" x14ac:dyDescent="0.25">
      <c r="A1430" t="s">
        <v>117</v>
      </c>
      <c r="B1430">
        <v>7172031004000200</v>
      </c>
      <c r="C1430">
        <v>56</v>
      </c>
      <c r="D1430">
        <v>15</v>
      </c>
      <c r="E1430">
        <v>5</v>
      </c>
      <c r="F1430">
        <v>36</v>
      </c>
      <c r="G1430">
        <v>0</v>
      </c>
      <c r="H1430">
        <v>0</v>
      </c>
      <c r="I1430">
        <v>0</v>
      </c>
      <c r="J1430">
        <v>0</v>
      </c>
    </row>
    <row r="1431" spans="1:10" x14ac:dyDescent="0.25">
      <c r="A1431" t="s">
        <v>117</v>
      </c>
      <c r="B1431">
        <v>7172031004000100</v>
      </c>
      <c r="C1431">
        <v>55</v>
      </c>
      <c r="D1431">
        <v>22</v>
      </c>
      <c r="E1431">
        <v>7</v>
      </c>
      <c r="F1431">
        <v>26</v>
      </c>
      <c r="G1431">
        <v>0</v>
      </c>
      <c r="H1431">
        <v>0</v>
      </c>
      <c r="I1431">
        <v>0</v>
      </c>
      <c r="J1431">
        <v>0</v>
      </c>
    </row>
    <row r="1432" spans="1:10" x14ac:dyDescent="0.25">
      <c r="A1432" t="s">
        <v>117</v>
      </c>
      <c r="B1432">
        <v>7172031004001000</v>
      </c>
      <c r="C1432">
        <v>52</v>
      </c>
      <c r="D1432">
        <v>41</v>
      </c>
      <c r="E1432">
        <v>10</v>
      </c>
      <c r="F1432">
        <v>1</v>
      </c>
      <c r="G1432">
        <v>0</v>
      </c>
      <c r="H1432">
        <v>0</v>
      </c>
      <c r="I1432">
        <v>0</v>
      </c>
      <c r="J1432">
        <v>0</v>
      </c>
    </row>
    <row r="1433" spans="1:10" x14ac:dyDescent="0.25">
      <c r="A1433" t="s">
        <v>117</v>
      </c>
      <c r="B1433">
        <v>7172031004000300</v>
      </c>
      <c r="C1433">
        <v>51</v>
      </c>
      <c r="D1433">
        <v>15</v>
      </c>
      <c r="E1433">
        <v>0</v>
      </c>
      <c r="F1433">
        <v>36</v>
      </c>
      <c r="G1433">
        <v>0</v>
      </c>
      <c r="H1433">
        <v>0</v>
      </c>
      <c r="I1433">
        <v>0</v>
      </c>
      <c r="J1433">
        <v>0</v>
      </c>
    </row>
    <row r="1434" spans="1:10" x14ac:dyDescent="0.25">
      <c r="A1434" t="s">
        <v>117</v>
      </c>
      <c r="B1434">
        <v>7172031004000500</v>
      </c>
      <c r="C1434">
        <v>48</v>
      </c>
      <c r="D1434">
        <v>46</v>
      </c>
      <c r="E1434">
        <v>0</v>
      </c>
      <c r="F1434">
        <v>1</v>
      </c>
      <c r="G1434">
        <v>0</v>
      </c>
      <c r="H1434">
        <v>1</v>
      </c>
      <c r="I1434">
        <v>0</v>
      </c>
      <c r="J1434">
        <v>0</v>
      </c>
    </row>
    <row r="1435" spans="1:10" x14ac:dyDescent="0.25">
      <c r="A1435" t="s">
        <v>117</v>
      </c>
      <c r="B1435">
        <v>7172031004001100</v>
      </c>
      <c r="C1435">
        <v>48</v>
      </c>
      <c r="D1435">
        <v>8</v>
      </c>
      <c r="E1435">
        <v>0</v>
      </c>
      <c r="F1435">
        <v>40</v>
      </c>
      <c r="G1435">
        <v>0</v>
      </c>
      <c r="H1435">
        <v>0</v>
      </c>
      <c r="I1435">
        <v>0</v>
      </c>
      <c r="J1435">
        <v>0</v>
      </c>
    </row>
    <row r="1436" spans="1:10" x14ac:dyDescent="0.25">
      <c r="A1436" t="s">
        <v>117</v>
      </c>
      <c r="B1436">
        <v>7172031004000700</v>
      </c>
      <c r="C1436">
        <v>45</v>
      </c>
      <c r="D1436">
        <v>10</v>
      </c>
      <c r="E1436">
        <v>0</v>
      </c>
      <c r="F1436">
        <v>35</v>
      </c>
      <c r="G1436">
        <v>0</v>
      </c>
      <c r="H1436">
        <v>0</v>
      </c>
      <c r="I1436">
        <v>0</v>
      </c>
      <c r="J1436">
        <v>0</v>
      </c>
    </row>
    <row r="1437" spans="1:10" x14ac:dyDescent="0.25">
      <c r="A1437" t="s">
        <v>117</v>
      </c>
      <c r="B1437">
        <v>7172031004000600</v>
      </c>
      <c r="C1437">
        <v>42</v>
      </c>
      <c r="D1437">
        <v>18</v>
      </c>
      <c r="E1437">
        <v>22</v>
      </c>
      <c r="F1437">
        <v>2</v>
      </c>
      <c r="G1437">
        <v>0</v>
      </c>
      <c r="H1437">
        <v>0</v>
      </c>
      <c r="I1437">
        <v>0</v>
      </c>
      <c r="J1437">
        <v>0</v>
      </c>
    </row>
    <row r="1438" spans="1:10" x14ac:dyDescent="0.25">
      <c r="A1438" t="s">
        <v>117</v>
      </c>
      <c r="B1438">
        <v>7172031004000400</v>
      </c>
      <c r="C1438">
        <v>28</v>
      </c>
      <c r="D1438">
        <v>12</v>
      </c>
      <c r="E1438">
        <v>0</v>
      </c>
      <c r="F1438">
        <v>16</v>
      </c>
      <c r="G1438">
        <v>0</v>
      </c>
      <c r="H1438">
        <v>0</v>
      </c>
      <c r="I1438">
        <v>0</v>
      </c>
      <c r="J1438">
        <v>0</v>
      </c>
    </row>
    <row r="1439" spans="1:10" x14ac:dyDescent="0.25">
      <c r="A1439" t="s">
        <v>243</v>
      </c>
      <c r="B1439">
        <v>7172031003001800</v>
      </c>
      <c r="C1439">
        <v>150</v>
      </c>
      <c r="D1439">
        <v>134</v>
      </c>
      <c r="E1439">
        <v>4</v>
      </c>
      <c r="F1439">
        <v>12</v>
      </c>
      <c r="G1439">
        <v>0</v>
      </c>
      <c r="H1439">
        <v>0</v>
      </c>
      <c r="I1439">
        <v>0</v>
      </c>
      <c r="J1439">
        <v>0</v>
      </c>
    </row>
    <row r="1440" spans="1:10" x14ac:dyDescent="0.25">
      <c r="A1440" t="s">
        <v>243</v>
      </c>
      <c r="B1440">
        <v>7172031003002700</v>
      </c>
      <c r="C1440">
        <v>140</v>
      </c>
      <c r="D1440">
        <v>89</v>
      </c>
      <c r="E1440">
        <v>24</v>
      </c>
      <c r="F1440">
        <v>27</v>
      </c>
      <c r="G1440">
        <v>0</v>
      </c>
      <c r="H1440">
        <v>0</v>
      </c>
      <c r="I1440">
        <v>0</v>
      </c>
      <c r="J1440">
        <v>0</v>
      </c>
    </row>
    <row r="1441" spans="1:10" x14ac:dyDescent="0.25">
      <c r="A1441" t="s">
        <v>243</v>
      </c>
      <c r="B1441">
        <v>7172031003002500</v>
      </c>
      <c r="C1441">
        <v>112</v>
      </c>
      <c r="D1441">
        <v>96</v>
      </c>
      <c r="E1441">
        <v>3</v>
      </c>
      <c r="F1441">
        <v>13</v>
      </c>
      <c r="G1441">
        <v>0</v>
      </c>
      <c r="H1441">
        <v>0</v>
      </c>
      <c r="I1441">
        <v>0</v>
      </c>
      <c r="J1441">
        <v>0</v>
      </c>
    </row>
    <row r="1442" spans="1:10" x14ac:dyDescent="0.25">
      <c r="A1442" t="s">
        <v>243</v>
      </c>
      <c r="B1442">
        <v>7172031003002600</v>
      </c>
      <c r="C1442">
        <v>81</v>
      </c>
      <c r="D1442">
        <v>70</v>
      </c>
      <c r="E1442">
        <v>8</v>
      </c>
      <c r="F1442">
        <v>2</v>
      </c>
      <c r="G1442">
        <v>1</v>
      </c>
      <c r="H1442">
        <v>0</v>
      </c>
      <c r="I1442">
        <v>0</v>
      </c>
      <c r="J1442">
        <v>0</v>
      </c>
    </row>
    <row r="1443" spans="1:10" x14ac:dyDescent="0.25">
      <c r="A1443" t="s">
        <v>243</v>
      </c>
      <c r="B1443">
        <v>7172031003002300</v>
      </c>
      <c r="C1443">
        <v>77</v>
      </c>
      <c r="D1443">
        <v>0</v>
      </c>
      <c r="E1443">
        <v>0</v>
      </c>
      <c r="F1443">
        <v>76</v>
      </c>
      <c r="G1443">
        <v>1</v>
      </c>
      <c r="H1443">
        <v>0</v>
      </c>
      <c r="I1443">
        <v>0</v>
      </c>
      <c r="J1443">
        <v>0</v>
      </c>
    </row>
    <row r="1444" spans="1:10" x14ac:dyDescent="0.25">
      <c r="A1444" t="s">
        <v>243</v>
      </c>
      <c r="B1444">
        <v>7172031003002400</v>
      </c>
      <c r="C1444">
        <v>62</v>
      </c>
      <c r="D1444">
        <v>51</v>
      </c>
      <c r="E1444">
        <v>0</v>
      </c>
      <c r="F1444">
        <v>11</v>
      </c>
      <c r="G1444">
        <v>0</v>
      </c>
      <c r="H1444">
        <v>0</v>
      </c>
      <c r="I1444">
        <v>0</v>
      </c>
      <c r="J1444">
        <v>0</v>
      </c>
    </row>
    <row r="1445" spans="1:10" x14ac:dyDescent="0.25">
      <c r="A1445" t="s">
        <v>243</v>
      </c>
      <c r="B1445">
        <v>7172031003002200</v>
      </c>
      <c r="C1445">
        <v>60</v>
      </c>
      <c r="D1445">
        <v>1</v>
      </c>
      <c r="E1445">
        <v>0</v>
      </c>
      <c r="F1445">
        <v>59</v>
      </c>
      <c r="G1445">
        <v>0</v>
      </c>
      <c r="H1445">
        <v>0</v>
      </c>
      <c r="I1445">
        <v>0</v>
      </c>
      <c r="J1445">
        <v>0</v>
      </c>
    </row>
    <row r="1446" spans="1:10" x14ac:dyDescent="0.25">
      <c r="A1446" t="s">
        <v>120</v>
      </c>
      <c r="B1446">
        <v>7172031006000101</v>
      </c>
      <c r="C1446">
        <v>229</v>
      </c>
      <c r="D1446">
        <v>221</v>
      </c>
      <c r="E1446">
        <v>4</v>
      </c>
      <c r="F1446">
        <v>3</v>
      </c>
      <c r="G1446">
        <v>0</v>
      </c>
      <c r="H1446">
        <v>0</v>
      </c>
      <c r="I1446">
        <v>1</v>
      </c>
      <c r="J1446">
        <v>0</v>
      </c>
    </row>
    <row r="1447" spans="1:10" x14ac:dyDescent="0.25">
      <c r="A1447" t="s">
        <v>120</v>
      </c>
      <c r="B1447">
        <v>7172031006000200</v>
      </c>
      <c r="C1447">
        <v>136</v>
      </c>
      <c r="D1447">
        <v>4</v>
      </c>
      <c r="E1447">
        <v>60</v>
      </c>
      <c r="F1447">
        <v>71</v>
      </c>
      <c r="G1447">
        <v>0</v>
      </c>
      <c r="H1447">
        <v>0</v>
      </c>
      <c r="I1447">
        <v>1</v>
      </c>
      <c r="J1447">
        <v>0</v>
      </c>
    </row>
    <row r="1448" spans="1:10" x14ac:dyDescent="0.25">
      <c r="A1448" t="s">
        <v>120</v>
      </c>
      <c r="B1448">
        <v>7172031006000300</v>
      </c>
      <c r="C1448">
        <v>134</v>
      </c>
      <c r="D1448">
        <v>16</v>
      </c>
      <c r="E1448">
        <v>1</v>
      </c>
      <c r="F1448">
        <v>117</v>
      </c>
      <c r="G1448">
        <v>0</v>
      </c>
      <c r="H1448">
        <v>0</v>
      </c>
      <c r="I1448">
        <v>0</v>
      </c>
      <c r="J1448">
        <v>0</v>
      </c>
    </row>
    <row r="1449" spans="1:10" x14ac:dyDescent="0.25">
      <c r="A1449" t="s">
        <v>120</v>
      </c>
      <c r="B1449">
        <v>7172031006000400</v>
      </c>
      <c r="C1449">
        <v>123</v>
      </c>
      <c r="D1449">
        <v>0</v>
      </c>
      <c r="E1449">
        <v>0</v>
      </c>
      <c r="F1449">
        <v>123</v>
      </c>
      <c r="G1449">
        <v>0</v>
      </c>
      <c r="H1449">
        <v>0</v>
      </c>
      <c r="I1449">
        <v>0</v>
      </c>
      <c r="J1449">
        <v>0</v>
      </c>
    </row>
    <row r="1450" spans="1:10" x14ac:dyDescent="0.25">
      <c r="A1450" t="s">
        <v>120</v>
      </c>
      <c r="B1450">
        <v>7172031006000102</v>
      </c>
      <c r="C1450">
        <v>95</v>
      </c>
      <c r="D1450">
        <v>78</v>
      </c>
      <c r="E1450">
        <v>10</v>
      </c>
      <c r="F1450">
        <v>3</v>
      </c>
      <c r="G1450">
        <v>0</v>
      </c>
      <c r="H1450">
        <v>0</v>
      </c>
      <c r="I1450">
        <v>4</v>
      </c>
      <c r="J1450">
        <v>0</v>
      </c>
    </row>
    <row r="1451" spans="1:10" x14ac:dyDescent="0.25">
      <c r="A1451" t="s">
        <v>127</v>
      </c>
      <c r="B1451">
        <v>7172031007001600</v>
      </c>
      <c r="C1451">
        <v>137</v>
      </c>
      <c r="D1451">
        <v>82</v>
      </c>
      <c r="E1451">
        <v>4</v>
      </c>
      <c r="F1451">
        <v>49</v>
      </c>
      <c r="G1451">
        <v>2</v>
      </c>
      <c r="H1451">
        <v>0</v>
      </c>
      <c r="I1451">
        <v>0</v>
      </c>
      <c r="J1451">
        <v>0</v>
      </c>
    </row>
    <row r="1452" spans="1:10" x14ac:dyDescent="0.25">
      <c r="A1452" t="s">
        <v>127</v>
      </c>
      <c r="B1452">
        <v>7172031007001800</v>
      </c>
      <c r="C1452">
        <v>117</v>
      </c>
      <c r="D1452">
        <v>18</v>
      </c>
      <c r="E1452">
        <v>0</v>
      </c>
      <c r="F1452">
        <v>99</v>
      </c>
      <c r="G1452">
        <v>0</v>
      </c>
      <c r="H1452">
        <v>0</v>
      </c>
      <c r="I1452">
        <v>0</v>
      </c>
      <c r="J1452">
        <v>0</v>
      </c>
    </row>
    <row r="1453" spans="1:10" x14ac:dyDescent="0.25">
      <c r="A1453" t="s">
        <v>127</v>
      </c>
      <c r="B1453">
        <v>7172031007001200</v>
      </c>
      <c r="C1453">
        <v>106</v>
      </c>
      <c r="D1453">
        <v>84</v>
      </c>
      <c r="E1453">
        <v>3</v>
      </c>
      <c r="F1453">
        <v>9</v>
      </c>
      <c r="G1453">
        <v>9</v>
      </c>
      <c r="H1453">
        <v>1</v>
      </c>
      <c r="I1453">
        <v>0</v>
      </c>
      <c r="J1453">
        <v>0</v>
      </c>
    </row>
    <row r="1454" spans="1:10" x14ac:dyDescent="0.25">
      <c r="A1454" t="s">
        <v>127</v>
      </c>
      <c r="B1454">
        <v>7172031007001000</v>
      </c>
      <c r="C1454">
        <v>102</v>
      </c>
      <c r="D1454">
        <v>91</v>
      </c>
      <c r="E1454">
        <v>1</v>
      </c>
      <c r="F1454">
        <v>4</v>
      </c>
      <c r="G1454">
        <v>5</v>
      </c>
      <c r="H1454">
        <v>1</v>
      </c>
      <c r="I1454">
        <v>0</v>
      </c>
      <c r="J1454">
        <v>0</v>
      </c>
    </row>
    <row r="1455" spans="1:10" x14ac:dyDescent="0.25">
      <c r="A1455" t="s">
        <v>127</v>
      </c>
      <c r="B1455">
        <v>7172031007001700</v>
      </c>
      <c r="C1455">
        <v>99</v>
      </c>
      <c r="D1455">
        <v>72</v>
      </c>
      <c r="E1455">
        <v>1</v>
      </c>
      <c r="F1455">
        <v>21</v>
      </c>
      <c r="G1455">
        <v>5</v>
      </c>
      <c r="H1455">
        <v>0</v>
      </c>
      <c r="I1455">
        <v>0</v>
      </c>
      <c r="J1455">
        <v>0</v>
      </c>
    </row>
    <row r="1456" spans="1:10" x14ac:dyDescent="0.25">
      <c r="A1456" t="s">
        <v>127</v>
      </c>
      <c r="B1456">
        <v>7172031007002000</v>
      </c>
      <c r="C1456">
        <v>82</v>
      </c>
      <c r="D1456">
        <v>12</v>
      </c>
      <c r="E1456">
        <v>0</v>
      </c>
      <c r="F1456">
        <v>56</v>
      </c>
      <c r="G1456">
        <v>0</v>
      </c>
      <c r="H1456">
        <v>0</v>
      </c>
      <c r="I1456">
        <v>14</v>
      </c>
      <c r="J1456">
        <v>0</v>
      </c>
    </row>
    <row r="1457" spans="1:10" x14ac:dyDescent="0.25">
      <c r="A1457" t="s">
        <v>122</v>
      </c>
      <c r="B1457">
        <v>7172031006000900</v>
      </c>
      <c r="C1457">
        <v>204</v>
      </c>
      <c r="D1457">
        <v>148</v>
      </c>
      <c r="E1457">
        <v>16</v>
      </c>
      <c r="F1457">
        <v>36</v>
      </c>
      <c r="G1457">
        <v>3</v>
      </c>
      <c r="H1457">
        <v>0</v>
      </c>
      <c r="I1457">
        <v>1</v>
      </c>
      <c r="J1457">
        <v>0</v>
      </c>
    </row>
    <row r="1458" spans="1:10" x14ac:dyDescent="0.25">
      <c r="A1458" t="s">
        <v>122</v>
      </c>
      <c r="B1458">
        <v>7172031006001200</v>
      </c>
      <c r="C1458">
        <v>136</v>
      </c>
      <c r="D1458">
        <v>0</v>
      </c>
      <c r="E1458">
        <v>0</v>
      </c>
      <c r="F1458">
        <v>136</v>
      </c>
      <c r="G1458">
        <v>0</v>
      </c>
      <c r="H1458">
        <v>0</v>
      </c>
      <c r="I1458">
        <v>0</v>
      </c>
      <c r="J1458">
        <v>0</v>
      </c>
    </row>
    <row r="1459" spans="1:10" x14ac:dyDescent="0.25">
      <c r="A1459" t="s">
        <v>122</v>
      </c>
      <c r="B1459">
        <v>7172031006001000</v>
      </c>
      <c r="C1459">
        <v>117</v>
      </c>
      <c r="D1459">
        <v>1</v>
      </c>
      <c r="E1459">
        <v>29</v>
      </c>
      <c r="F1459">
        <v>46</v>
      </c>
      <c r="G1459">
        <v>0</v>
      </c>
      <c r="H1459">
        <v>0</v>
      </c>
      <c r="I1459">
        <v>41</v>
      </c>
      <c r="J1459">
        <v>0</v>
      </c>
    </row>
    <row r="1460" spans="1:10" x14ac:dyDescent="0.25">
      <c r="A1460" t="s">
        <v>122</v>
      </c>
      <c r="B1460">
        <v>7172031006001300</v>
      </c>
      <c r="C1460">
        <v>116</v>
      </c>
      <c r="D1460">
        <v>111</v>
      </c>
      <c r="E1460">
        <v>5</v>
      </c>
      <c r="F1460">
        <v>0</v>
      </c>
      <c r="G1460">
        <v>0</v>
      </c>
      <c r="H1460">
        <v>0</v>
      </c>
      <c r="I1460">
        <v>0</v>
      </c>
      <c r="J1460">
        <v>0</v>
      </c>
    </row>
    <row r="1461" spans="1:10" x14ac:dyDescent="0.25">
      <c r="A1461" t="s">
        <v>122</v>
      </c>
      <c r="B1461">
        <v>7172031006000700</v>
      </c>
      <c r="C1461">
        <v>72</v>
      </c>
      <c r="D1461">
        <v>3</v>
      </c>
      <c r="E1461">
        <v>0</v>
      </c>
      <c r="F1461">
        <v>69</v>
      </c>
      <c r="G1461">
        <v>0</v>
      </c>
      <c r="H1461">
        <v>0</v>
      </c>
      <c r="I1461">
        <v>0</v>
      </c>
      <c r="J1461">
        <v>0</v>
      </c>
    </row>
    <row r="1462" spans="1:10" x14ac:dyDescent="0.25">
      <c r="A1462" t="s">
        <v>124</v>
      </c>
      <c r="B1462">
        <v>7172031006001400</v>
      </c>
      <c r="C1462">
        <v>178</v>
      </c>
      <c r="D1462">
        <v>155</v>
      </c>
      <c r="E1462">
        <v>16</v>
      </c>
      <c r="F1462">
        <v>0</v>
      </c>
      <c r="G1462">
        <v>6</v>
      </c>
      <c r="H1462">
        <v>0</v>
      </c>
      <c r="I1462">
        <v>1</v>
      </c>
      <c r="J1462">
        <v>0</v>
      </c>
    </row>
    <row r="1463" spans="1:10" x14ac:dyDescent="0.25">
      <c r="A1463" t="s">
        <v>124</v>
      </c>
      <c r="B1463">
        <v>7172031006001500</v>
      </c>
      <c r="C1463">
        <v>155</v>
      </c>
      <c r="D1463">
        <v>52</v>
      </c>
      <c r="E1463">
        <v>36</v>
      </c>
      <c r="F1463">
        <v>59</v>
      </c>
      <c r="G1463">
        <v>0</v>
      </c>
      <c r="H1463">
        <v>0</v>
      </c>
      <c r="I1463">
        <v>8</v>
      </c>
      <c r="J1463">
        <v>0</v>
      </c>
    </row>
    <row r="1464" spans="1:10" x14ac:dyDescent="0.25">
      <c r="A1464" t="s">
        <v>124</v>
      </c>
      <c r="B1464">
        <v>7172031006001700</v>
      </c>
      <c r="C1464">
        <v>139</v>
      </c>
      <c r="D1464">
        <v>111</v>
      </c>
      <c r="E1464">
        <v>5</v>
      </c>
      <c r="F1464">
        <v>7</v>
      </c>
      <c r="G1464">
        <v>16</v>
      </c>
      <c r="H1464">
        <v>0</v>
      </c>
      <c r="I1464">
        <v>0</v>
      </c>
      <c r="J1464">
        <v>0</v>
      </c>
    </row>
    <row r="1465" spans="1:10" x14ac:dyDescent="0.25">
      <c r="A1465" t="s">
        <v>124</v>
      </c>
      <c r="B1465">
        <v>7172031006001600</v>
      </c>
      <c r="C1465">
        <v>101</v>
      </c>
      <c r="D1465">
        <v>73</v>
      </c>
      <c r="E1465">
        <v>17</v>
      </c>
      <c r="F1465">
        <v>9</v>
      </c>
      <c r="G1465">
        <v>2</v>
      </c>
      <c r="H1465">
        <v>0</v>
      </c>
      <c r="I1465">
        <v>0</v>
      </c>
      <c r="J1465">
        <v>0</v>
      </c>
    </row>
    <row r="1466" spans="1:10" x14ac:dyDescent="0.25">
      <c r="A1466" t="s">
        <v>124</v>
      </c>
      <c r="B1466">
        <v>7172031006001800</v>
      </c>
      <c r="C1466">
        <v>91</v>
      </c>
      <c r="D1466">
        <v>0</v>
      </c>
      <c r="E1466">
        <v>1</v>
      </c>
      <c r="F1466">
        <v>90</v>
      </c>
      <c r="G1466">
        <v>0</v>
      </c>
      <c r="H1466">
        <v>0</v>
      </c>
      <c r="I1466">
        <v>0</v>
      </c>
      <c r="J1466">
        <v>0</v>
      </c>
    </row>
    <row r="1467" spans="1:10" x14ac:dyDescent="0.25">
      <c r="A1467" t="s">
        <v>129</v>
      </c>
      <c r="B1467">
        <v>7172031008000300</v>
      </c>
      <c r="C1467">
        <v>93</v>
      </c>
      <c r="D1467">
        <v>92</v>
      </c>
      <c r="E1467">
        <v>0</v>
      </c>
      <c r="F1467">
        <v>0</v>
      </c>
      <c r="G1467">
        <v>1</v>
      </c>
      <c r="H1467">
        <v>0</v>
      </c>
      <c r="I1467">
        <v>0</v>
      </c>
      <c r="J1467">
        <v>0</v>
      </c>
    </row>
    <row r="1468" spans="1:10" x14ac:dyDescent="0.25">
      <c r="A1468" t="s">
        <v>129</v>
      </c>
      <c r="B1468">
        <v>7172031008000900</v>
      </c>
      <c r="C1468">
        <v>93</v>
      </c>
      <c r="D1468">
        <v>86</v>
      </c>
      <c r="E1468">
        <v>4</v>
      </c>
      <c r="F1468">
        <v>3</v>
      </c>
      <c r="G1468">
        <v>0</v>
      </c>
      <c r="H1468">
        <v>0</v>
      </c>
      <c r="I1468">
        <v>0</v>
      </c>
      <c r="J1468">
        <v>0</v>
      </c>
    </row>
    <row r="1469" spans="1:10" x14ac:dyDescent="0.25">
      <c r="A1469" t="s">
        <v>129</v>
      </c>
      <c r="B1469">
        <v>7172031008001200</v>
      </c>
      <c r="C1469">
        <v>92</v>
      </c>
      <c r="D1469">
        <v>15</v>
      </c>
      <c r="E1469">
        <v>14</v>
      </c>
      <c r="F1469">
        <v>63</v>
      </c>
      <c r="G1469">
        <v>0</v>
      </c>
      <c r="H1469">
        <v>0</v>
      </c>
      <c r="I1469">
        <v>0</v>
      </c>
      <c r="J1469">
        <v>0</v>
      </c>
    </row>
    <row r="1470" spans="1:10" x14ac:dyDescent="0.25">
      <c r="A1470" t="s">
        <v>129</v>
      </c>
      <c r="B1470">
        <v>7172031008001000</v>
      </c>
      <c r="C1470">
        <v>86</v>
      </c>
      <c r="D1470">
        <v>0</v>
      </c>
      <c r="E1470">
        <v>0</v>
      </c>
      <c r="F1470">
        <v>86</v>
      </c>
      <c r="G1470">
        <v>0</v>
      </c>
      <c r="H1470">
        <v>0</v>
      </c>
      <c r="I1470">
        <v>0</v>
      </c>
      <c r="J1470">
        <v>0</v>
      </c>
    </row>
    <row r="1471" spans="1:10" x14ac:dyDescent="0.25">
      <c r="A1471" t="s">
        <v>129</v>
      </c>
      <c r="B1471">
        <v>7172031008001300</v>
      </c>
      <c r="C1471">
        <v>73</v>
      </c>
      <c r="D1471">
        <v>0</v>
      </c>
      <c r="E1471">
        <v>0</v>
      </c>
      <c r="F1471">
        <v>73</v>
      </c>
      <c r="G1471">
        <v>0</v>
      </c>
      <c r="H1471">
        <v>0</v>
      </c>
      <c r="I1471">
        <v>0</v>
      </c>
      <c r="J1471">
        <v>0</v>
      </c>
    </row>
    <row r="1472" spans="1:10" x14ac:dyDescent="0.25">
      <c r="A1472" t="s">
        <v>129</v>
      </c>
      <c r="B1472">
        <v>7172031008001100</v>
      </c>
      <c r="C1472">
        <v>57</v>
      </c>
      <c r="D1472">
        <v>0</v>
      </c>
      <c r="E1472">
        <v>0</v>
      </c>
      <c r="F1472">
        <v>57</v>
      </c>
      <c r="G1472">
        <v>0</v>
      </c>
      <c r="H1472">
        <v>0</v>
      </c>
      <c r="I1472">
        <v>0</v>
      </c>
      <c r="J1472">
        <v>0</v>
      </c>
    </row>
    <row r="1473" spans="1:10" x14ac:dyDescent="0.25">
      <c r="A1473" t="s">
        <v>129</v>
      </c>
      <c r="B1473">
        <v>7172031008000500</v>
      </c>
      <c r="C1473">
        <v>50</v>
      </c>
      <c r="D1473">
        <v>47</v>
      </c>
      <c r="E1473">
        <v>1</v>
      </c>
      <c r="F1473">
        <v>1</v>
      </c>
      <c r="G1473">
        <v>0</v>
      </c>
      <c r="H1473">
        <v>1</v>
      </c>
      <c r="I1473">
        <v>0</v>
      </c>
      <c r="J1473">
        <v>0</v>
      </c>
    </row>
    <row r="1474" spans="1:10" x14ac:dyDescent="0.25">
      <c r="A1474" t="s">
        <v>129</v>
      </c>
      <c r="B1474">
        <v>7172031008000600</v>
      </c>
      <c r="C1474">
        <v>46</v>
      </c>
      <c r="D1474">
        <v>44</v>
      </c>
      <c r="E1474">
        <v>1</v>
      </c>
      <c r="F1474">
        <v>0</v>
      </c>
      <c r="G1474">
        <v>1</v>
      </c>
      <c r="H1474">
        <v>0</v>
      </c>
      <c r="I1474">
        <v>0</v>
      </c>
      <c r="J1474">
        <v>0</v>
      </c>
    </row>
    <row r="1475" spans="1:10" x14ac:dyDescent="0.25">
      <c r="A1475" t="s">
        <v>129</v>
      </c>
      <c r="B1475">
        <v>7172031008000700</v>
      </c>
      <c r="C1475">
        <v>26</v>
      </c>
      <c r="D1475">
        <v>26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</row>
    <row r="1476" spans="1:10" x14ac:dyDescent="0.25">
      <c r="A1476" t="s">
        <v>129</v>
      </c>
      <c r="B1476">
        <v>7172031008500100</v>
      </c>
      <c r="C1476">
        <v>21</v>
      </c>
      <c r="D1476">
        <v>20</v>
      </c>
      <c r="E1476">
        <v>1</v>
      </c>
      <c r="F1476">
        <v>0</v>
      </c>
      <c r="G1476">
        <v>0</v>
      </c>
      <c r="H1476">
        <v>0</v>
      </c>
      <c r="I1476">
        <v>0</v>
      </c>
      <c r="J1476">
        <v>0</v>
      </c>
    </row>
    <row r="1477" spans="1:10" x14ac:dyDescent="0.25">
      <c r="A1477" t="s">
        <v>130</v>
      </c>
      <c r="B1477">
        <v>7172040009000500</v>
      </c>
      <c r="C1477">
        <v>98</v>
      </c>
      <c r="D1477">
        <v>55</v>
      </c>
      <c r="E1477">
        <v>9</v>
      </c>
      <c r="F1477">
        <v>14</v>
      </c>
      <c r="G1477">
        <v>0</v>
      </c>
      <c r="H1477">
        <v>0</v>
      </c>
      <c r="I1477">
        <v>20</v>
      </c>
      <c r="J1477">
        <v>0</v>
      </c>
    </row>
    <row r="1478" spans="1:10" x14ac:dyDescent="0.25">
      <c r="A1478" t="s">
        <v>130</v>
      </c>
      <c r="B1478">
        <v>7172040009000200</v>
      </c>
      <c r="C1478">
        <v>85</v>
      </c>
      <c r="D1478">
        <v>0</v>
      </c>
      <c r="E1478">
        <v>0</v>
      </c>
      <c r="F1478">
        <v>85</v>
      </c>
      <c r="G1478">
        <v>0</v>
      </c>
      <c r="H1478">
        <v>0</v>
      </c>
      <c r="I1478">
        <v>0</v>
      </c>
      <c r="J1478">
        <v>0</v>
      </c>
    </row>
    <row r="1479" spans="1:10" x14ac:dyDescent="0.25">
      <c r="A1479" t="s">
        <v>130</v>
      </c>
      <c r="B1479">
        <v>7172040009000600</v>
      </c>
      <c r="C1479">
        <v>84</v>
      </c>
      <c r="D1479">
        <v>68</v>
      </c>
      <c r="E1479">
        <v>5</v>
      </c>
      <c r="F1479">
        <v>6</v>
      </c>
      <c r="G1479">
        <v>2</v>
      </c>
      <c r="H1479">
        <v>0</v>
      </c>
      <c r="I1479">
        <v>3</v>
      </c>
      <c r="J1479">
        <v>0</v>
      </c>
    </row>
    <row r="1480" spans="1:10" x14ac:dyDescent="0.25">
      <c r="A1480" t="s">
        <v>130</v>
      </c>
      <c r="B1480">
        <v>7172040001000200</v>
      </c>
      <c r="C1480">
        <v>72</v>
      </c>
      <c r="D1480">
        <v>7</v>
      </c>
      <c r="E1480">
        <v>0</v>
      </c>
      <c r="F1480">
        <v>31</v>
      </c>
      <c r="G1480">
        <v>0</v>
      </c>
      <c r="H1480">
        <v>0</v>
      </c>
      <c r="I1480">
        <v>34</v>
      </c>
      <c r="J1480">
        <v>0</v>
      </c>
    </row>
    <row r="1481" spans="1:10" x14ac:dyDescent="0.25">
      <c r="A1481" t="s">
        <v>130</v>
      </c>
      <c r="B1481">
        <v>7172040009000100</v>
      </c>
      <c r="C1481">
        <v>69</v>
      </c>
      <c r="D1481">
        <v>2</v>
      </c>
      <c r="E1481">
        <v>0</v>
      </c>
      <c r="F1481">
        <v>62</v>
      </c>
      <c r="G1481">
        <v>0</v>
      </c>
      <c r="H1481">
        <v>0</v>
      </c>
      <c r="I1481">
        <v>5</v>
      </c>
      <c r="J1481">
        <v>0</v>
      </c>
    </row>
    <row r="1482" spans="1:10" x14ac:dyDescent="0.25">
      <c r="A1482" t="s">
        <v>130</v>
      </c>
      <c r="B1482">
        <v>7172040009000300</v>
      </c>
      <c r="C1482">
        <v>67</v>
      </c>
      <c r="D1482">
        <v>5</v>
      </c>
      <c r="E1482">
        <v>3</v>
      </c>
      <c r="F1482">
        <v>45</v>
      </c>
      <c r="G1482">
        <v>0</v>
      </c>
      <c r="H1482">
        <v>0</v>
      </c>
      <c r="I1482">
        <v>14</v>
      </c>
      <c r="J1482">
        <v>0</v>
      </c>
    </row>
    <row r="1483" spans="1:10" x14ac:dyDescent="0.25">
      <c r="A1483" t="s">
        <v>130</v>
      </c>
      <c r="B1483">
        <v>7172040001000100</v>
      </c>
      <c r="C1483">
        <v>59</v>
      </c>
      <c r="D1483">
        <v>12</v>
      </c>
      <c r="E1483">
        <v>0</v>
      </c>
      <c r="F1483">
        <v>22</v>
      </c>
      <c r="G1483">
        <v>8</v>
      </c>
      <c r="H1483">
        <v>0</v>
      </c>
      <c r="I1483">
        <v>17</v>
      </c>
      <c r="J1483">
        <v>0</v>
      </c>
    </row>
    <row r="1484" spans="1:10" x14ac:dyDescent="0.25">
      <c r="A1484" t="s">
        <v>130</v>
      </c>
      <c r="B1484">
        <v>7172040009000400</v>
      </c>
      <c r="C1484">
        <v>59</v>
      </c>
      <c r="D1484">
        <v>15</v>
      </c>
      <c r="E1484">
        <v>5</v>
      </c>
      <c r="F1484">
        <v>39</v>
      </c>
      <c r="G1484">
        <v>0</v>
      </c>
      <c r="H1484">
        <v>0</v>
      </c>
      <c r="I1484">
        <v>0</v>
      </c>
      <c r="J1484">
        <v>0</v>
      </c>
    </row>
    <row r="1485" spans="1:10" x14ac:dyDescent="0.25">
      <c r="A1485" t="s">
        <v>130</v>
      </c>
      <c r="B1485">
        <v>7172040001000300</v>
      </c>
      <c r="C1485">
        <v>38</v>
      </c>
      <c r="D1485">
        <v>8</v>
      </c>
      <c r="E1485">
        <v>0</v>
      </c>
      <c r="F1485">
        <v>26</v>
      </c>
      <c r="G1485">
        <v>0</v>
      </c>
      <c r="H1485">
        <v>0</v>
      </c>
      <c r="I1485">
        <v>4</v>
      </c>
      <c r="J1485">
        <v>0</v>
      </c>
    </row>
    <row r="1486" spans="1:10" x14ac:dyDescent="0.25">
      <c r="A1486" t="s">
        <v>132</v>
      </c>
      <c r="B1486">
        <v>7172040003000601</v>
      </c>
      <c r="C1486">
        <v>198</v>
      </c>
      <c r="D1486">
        <v>182</v>
      </c>
      <c r="E1486">
        <v>15</v>
      </c>
      <c r="F1486">
        <v>1</v>
      </c>
      <c r="G1486">
        <v>0</v>
      </c>
      <c r="H1486">
        <v>0</v>
      </c>
      <c r="I1486">
        <v>0</v>
      </c>
      <c r="J1486">
        <v>0</v>
      </c>
    </row>
    <row r="1487" spans="1:10" x14ac:dyDescent="0.25">
      <c r="A1487" t="s">
        <v>132</v>
      </c>
      <c r="B1487">
        <v>7172040003000500</v>
      </c>
      <c r="C1487">
        <v>170</v>
      </c>
      <c r="D1487">
        <v>42</v>
      </c>
      <c r="E1487">
        <v>12</v>
      </c>
      <c r="F1487">
        <v>116</v>
      </c>
      <c r="G1487">
        <v>0</v>
      </c>
      <c r="H1487">
        <v>0</v>
      </c>
      <c r="I1487">
        <v>0</v>
      </c>
      <c r="J1487">
        <v>0</v>
      </c>
    </row>
    <row r="1488" spans="1:10" x14ac:dyDescent="0.25">
      <c r="A1488" t="s">
        <v>132</v>
      </c>
      <c r="B1488">
        <v>7172040005001900</v>
      </c>
      <c r="C1488">
        <v>119</v>
      </c>
      <c r="D1488">
        <v>93</v>
      </c>
      <c r="E1488">
        <v>2</v>
      </c>
      <c r="F1488">
        <v>22</v>
      </c>
      <c r="G1488">
        <v>0</v>
      </c>
      <c r="H1488">
        <v>0</v>
      </c>
      <c r="I1488">
        <v>2</v>
      </c>
      <c r="J1488">
        <v>0</v>
      </c>
    </row>
    <row r="1489" spans="1:10" x14ac:dyDescent="0.25">
      <c r="A1489" t="s">
        <v>132</v>
      </c>
      <c r="B1489">
        <v>7172040003000101</v>
      </c>
      <c r="C1489">
        <v>96</v>
      </c>
      <c r="D1489">
        <v>0</v>
      </c>
      <c r="E1489">
        <v>0</v>
      </c>
      <c r="F1489">
        <v>96</v>
      </c>
      <c r="G1489">
        <v>0</v>
      </c>
      <c r="H1489">
        <v>0</v>
      </c>
      <c r="I1489">
        <v>0</v>
      </c>
      <c r="J1489">
        <v>0</v>
      </c>
    </row>
    <row r="1490" spans="1:10" x14ac:dyDescent="0.25">
      <c r="A1490" t="s">
        <v>132</v>
      </c>
      <c r="B1490">
        <v>7172040005002002</v>
      </c>
      <c r="C1490">
        <v>70</v>
      </c>
      <c r="D1490">
        <v>38</v>
      </c>
      <c r="E1490">
        <v>11</v>
      </c>
      <c r="F1490">
        <v>21</v>
      </c>
      <c r="G1490">
        <v>0</v>
      </c>
      <c r="H1490">
        <v>0</v>
      </c>
      <c r="I1490">
        <v>0</v>
      </c>
      <c r="J1490">
        <v>0</v>
      </c>
    </row>
    <row r="1491" spans="1:10" x14ac:dyDescent="0.25">
      <c r="A1491" t="s">
        <v>133</v>
      </c>
      <c r="B1491">
        <v>7172040003000300</v>
      </c>
      <c r="C1491">
        <v>169</v>
      </c>
      <c r="D1491">
        <v>75</v>
      </c>
      <c r="E1491">
        <v>0</v>
      </c>
      <c r="F1491">
        <v>92</v>
      </c>
      <c r="G1491">
        <v>0</v>
      </c>
      <c r="H1491">
        <v>2</v>
      </c>
      <c r="I1491">
        <v>0</v>
      </c>
      <c r="J1491">
        <v>0</v>
      </c>
    </row>
    <row r="1492" spans="1:10" x14ac:dyDescent="0.25">
      <c r="A1492" t="s">
        <v>133</v>
      </c>
      <c r="B1492">
        <v>7172040003000102</v>
      </c>
      <c r="C1492">
        <v>141</v>
      </c>
      <c r="D1492">
        <v>65</v>
      </c>
      <c r="E1492">
        <v>0</v>
      </c>
      <c r="F1492">
        <v>76</v>
      </c>
      <c r="G1492">
        <v>0</v>
      </c>
      <c r="H1492">
        <v>0</v>
      </c>
      <c r="I1492">
        <v>0</v>
      </c>
      <c r="J1492">
        <v>0</v>
      </c>
    </row>
    <row r="1493" spans="1:10" x14ac:dyDescent="0.25">
      <c r="A1493" t="s">
        <v>133</v>
      </c>
      <c r="B1493">
        <v>7172040003000602</v>
      </c>
      <c r="C1493">
        <v>99</v>
      </c>
      <c r="D1493">
        <v>96</v>
      </c>
      <c r="E1493">
        <v>1</v>
      </c>
      <c r="F1493">
        <v>1</v>
      </c>
      <c r="G1493">
        <v>0</v>
      </c>
      <c r="H1493">
        <v>0</v>
      </c>
      <c r="I1493">
        <v>0</v>
      </c>
      <c r="J1493">
        <v>1</v>
      </c>
    </row>
    <row r="1494" spans="1:10" x14ac:dyDescent="0.25">
      <c r="A1494" t="s">
        <v>133</v>
      </c>
      <c r="B1494">
        <v>7172040003000700</v>
      </c>
      <c r="C1494">
        <v>82</v>
      </c>
      <c r="D1494">
        <v>75</v>
      </c>
      <c r="E1494">
        <v>1</v>
      </c>
      <c r="F1494">
        <v>6</v>
      </c>
      <c r="G1494">
        <v>0</v>
      </c>
      <c r="H1494">
        <v>0</v>
      </c>
      <c r="I1494">
        <v>0</v>
      </c>
      <c r="J1494">
        <v>0</v>
      </c>
    </row>
    <row r="1495" spans="1:10" x14ac:dyDescent="0.25">
      <c r="A1495" t="s">
        <v>133</v>
      </c>
      <c r="B1495">
        <v>7172040003000400</v>
      </c>
      <c r="C1495">
        <v>76</v>
      </c>
      <c r="D1495">
        <v>15</v>
      </c>
      <c r="E1495">
        <v>0</v>
      </c>
      <c r="F1495">
        <v>61</v>
      </c>
      <c r="G1495">
        <v>0</v>
      </c>
      <c r="H1495">
        <v>0</v>
      </c>
      <c r="I1495">
        <v>0</v>
      </c>
      <c r="J1495">
        <v>0</v>
      </c>
    </row>
    <row r="1496" spans="1:10" x14ac:dyDescent="0.25">
      <c r="A1496" t="s">
        <v>133</v>
      </c>
      <c r="B1496">
        <v>7172040005000600</v>
      </c>
      <c r="C1496">
        <v>42</v>
      </c>
      <c r="D1496">
        <v>2</v>
      </c>
      <c r="E1496">
        <v>0</v>
      </c>
      <c r="F1496">
        <v>40</v>
      </c>
      <c r="G1496">
        <v>0</v>
      </c>
      <c r="H1496">
        <v>0</v>
      </c>
      <c r="I1496">
        <v>0</v>
      </c>
      <c r="J1496">
        <v>0</v>
      </c>
    </row>
    <row r="1497" spans="1:10" x14ac:dyDescent="0.25">
      <c r="A1497" t="s">
        <v>133</v>
      </c>
      <c r="B1497">
        <v>7172040005001600</v>
      </c>
      <c r="C1497">
        <v>35</v>
      </c>
      <c r="D1497">
        <v>0</v>
      </c>
      <c r="E1497">
        <v>0</v>
      </c>
      <c r="F1497">
        <v>21</v>
      </c>
      <c r="G1497">
        <v>0</v>
      </c>
      <c r="H1497">
        <v>0</v>
      </c>
      <c r="I1497">
        <v>14</v>
      </c>
      <c r="J1497">
        <v>0</v>
      </c>
    </row>
    <row r="1498" spans="1:10" x14ac:dyDescent="0.25">
      <c r="A1498" t="s">
        <v>136</v>
      </c>
      <c r="B1498">
        <v>7172040004000600</v>
      </c>
      <c r="C1498">
        <v>132</v>
      </c>
      <c r="D1498">
        <v>0</v>
      </c>
      <c r="E1498">
        <v>0</v>
      </c>
      <c r="F1498">
        <v>132</v>
      </c>
      <c r="G1498">
        <v>0</v>
      </c>
      <c r="H1498">
        <v>0</v>
      </c>
      <c r="I1498">
        <v>0</v>
      </c>
      <c r="J1498">
        <v>0</v>
      </c>
    </row>
    <row r="1499" spans="1:10" x14ac:dyDescent="0.25">
      <c r="A1499" t="s">
        <v>136</v>
      </c>
      <c r="B1499">
        <v>7172040004000500</v>
      </c>
      <c r="C1499">
        <v>96</v>
      </c>
      <c r="D1499">
        <v>44</v>
      </c>
      <c r="E1499">
        <v>16</v>
      </c>
      <c r="F1499">
        <v>30</v>
      </c>
      <c r="G1499">
        <v>0</v>
      </c>
      <c r="H1499">
        <v>0</v>
      </c>
      <c r="I1499">
        <v>6</v>
      </c>
      <c r="J1499">
        <v>0</v>
      </c>
    </row>
    <row r="1500" spans="1:10" x14ac:dyDescent="0.25">
      <c r="A1500" t="s">
        <v>136</v>
      </c>
      <c r="B1500">
        <v>7172040004000200</v>
      </c>
      <c r="C1500">
        <v>64</v>
      </c>
      <c r="D1500">
        <v>9</v>
      </c>
      <c r="E1500">
        <v>0</v>
      </c>
      <c r="F1500">
        <v>55</v>
      </c>
      <c r="G1500">
        <v>0</v>
      </c>
      <c r="H1500">
        <v>0</v>
      </c>
      <c r="I1500">
        <v>0</v>
      </c>
      <c r="J1500">
        <v>0</v>
      </c>
    </row>
    <row r="1501" spans="1:10" x14ac:dyDescent="0.25">
      <c r="A1501" t="s">
        <v>136</v>
      </c>
      <c r="B1501">
        <v>7172040008000200</v>
      </c>
      <c r="C1501">
        <v>58</v>
      </c>
      <c r="D1501">
        <v>55</v>
      </c>
      <c r="E1501">
        <v>1</v>
      </c>
      <c r="F1501">
        <v>2</v>
      </c>
      <c r="G1501">
        <v>0</v>
      </c>
      <c r="H1501">
        <v>0</v>
      </c>
      <c r="I1501">
        <v>0</v>
      </c>
      <c r="J1501">
        <v>0</v>
      </c>
    </row>
    <row r="1502" spans="1:10" x14ac:dyDescent="0.25">
      <c r="A1502" t="s">
        <v>136</v>
      </c>
      <c r="B1502">
        <v>7172040004000100</v>
      </c>
      <c r="C1502">
        <v>54</v>
      </c>
      <c r="D1502">
        <v>11</v>
      </c>
      <c r="E1502">
        <v>0</v>
      </c>
      <c r="F1502">
        <v>43</v>
      </c>
      <c r="G1502">
        <v>0</v>
      </c>
      <c r="H1502">
        <v>0</v>
      </c>
      <c r="I1502">
        <v>0</v>
      </c>
      <c r="J1502">
        <v>0</v>
      </c>
    </row>
    <row r="1503" spans="1:10" x14ac:dyDescent="0.25">
      <c r="A1503" t="s">
        <v>136</v>
      </c>
      <c r="B1503">
        <v>7172040008000300</v>
      </c>
      <c r="C1503">
        <v>52</v>
      </c>
      <c r="D1503">
        <v>49</v>
      </c>
      <c r="E1503">
        <v>2</v>
      </c>
      <c r="F1503">
        <v>1</v>
      </c>
      <c r="G1503">
        <v>0</v>
      </c>
      <c r="H1503">
        <v>0</v>
      </c>
      <c r="I1503">
        <v>0</v>
      </c>
      <c r="J1503">
        <v>0</v>
      </c>
    </row>
    <row r="1504" spans="1:10" x14ac:dyDescent="0.25">
      <c r="A1504" t="s">
        <v>136</v>
      </c>
      <c r="B1504">
        <v>7172040004000300</v>
      </c>
      <c r="C1504">
        <v>47</v>
      </c>
      <c r="D1504">
        <v>9</v>
      </c>
      <c r="E1504">
        <v>0</v>
      </c>
      <c r="F1504">
        <v>38</v>
      </c>
      <c r="G1504">
        <v>0</v>
      </c>
      <c r="H1504">
        <v>0</v>
      </c>
      <c r="I1504">
        <v>0</v>
      </c>
      <c r="J1504">
        <v>0</v>
      </c>
    </row>
    <row r="1505" spans="1:10" x14ac:dyDescent="0.25">
      <c r="A1505" t="s">
        <v>136</v>
      </c>
      <c r="B1505">
        <v>7172040004000400</v>
      </c>
      <c r="C1505">
        <v>42</v>
      </c>
      <c r="D1505">
        <v>12</v>
      </c>
      <c r="E1505">
        <v>5</v>
      </c>
      <c r="F1505">
        <v>24</v>
      </c>
      <c r="G1505">
        <v>0</v>
      </c>
      <c r="H1505">
        <v>0</v>
      </c>
      <c r="I1505">
        <v>1</v>
      </c>
      <c r="J1505">
        <v>0</v>
      </c>
    </row>
    <row r="1506" spans="1:10" x14ac:dyDescent="0.25">
      <c r="A1506" t="s">
        <v>136</v>
      </c>
      <c r="B1506">
        <v>7172040008000400</v>
      </c>
      <c r="C1506">
        <v>42</v>
      </c>
      <c r="D1506">
        <v>42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</row>
    <row r="1507" spans="1:10" x14ac:dyDescent="0.25">
      <c r="A1507" t="s">
        <v>136</v>
      </c>
      <c r="B1507">
        <v>7172040008000100</v>
      </c>
      <c r="C1507">
        <v>39</v>
      </c>
      <c r="D1507">
        <v>39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</row>
    <row r="1508" spans="1:10" x14ac:dyDescent="0.25">
      <c r="A1508" t="s">
        <v>140</v>
      </c>
      <c r="B1508">
        <v>7172040012000200</v>
      </c>
      <c r="C1508">
        <v>105</v>
      </c>
      <c r="D1508">
        <v>89</v>
      </c>
      <c r="E1508">
        <v>0</v>
      </c>
      <c r="F1508">
        <v>0</v>
      </c>
      <c r="G1508">
        <v>4</v>
      </c>
      <c r="H1508">
        <v>1</v>
      </c>
      <c r="I1508">
        <v>11</v>
      </c>
      <c r="J1508">
        <v>0</v>
      </c>
    </row>
    <row r="1509" spans="1:10" x14ac:dyDescent="0.25">
      <c r="A1509" t="s">
        <v>140</v>
      </c>
      <c r="B1509">
        <v>7172040012000300</v>
      </c>
      <c r="C1509">
        <v>104</v>
      </c>
      <c r="D1509">
        <v>89</v>
      </c>
      <c r="E1509">
        <v>0</v>
      </c>
      <c r="F1509">
        <v>0</v>
      </c>
      <c r="G1509">
        <v>0</v>
      </c>
      <c r="H1509">
        <v>1</v>
      </c>
      <c r="I1509">
        <v>14</v>
      </c>
      <c r="J1509">
        <v>0</v>
      </c>
    </row>
    <row r="1510" spans="1:10" x14ac:dyDescent="0.25">
      <c r="A1510" t="s">
        <v>140</v>
      </c>
      <c r="B1510">
        <v>7172040012000400</v>
      </c>
      <c r="C1510">
        <v>87</v>
      </c>
      <c r="D1510">
        <v>72</v>
      </c>
      <c r="E1510">
        <v>0</v>
      </c>
      <c r="F1510">
        <v>0</v>
      </c>
      <c r="G1510">
        <v>0</v>
      </c>
      <c r="H1510">
        <v>5</v>
      </c>
      <c r="I1510">
        <v>10</v>
      </c>
      <c r="J1510">
        <v>0</v>
      </c>
    </row>
    <row r="1511" spans="1:10" x14ac:dyDescent="0.25">
      <c r="A1511" t="s">
        <v>140</v>
      </c>
      <c r="B1511">
        <v>7172040012000100</v>
      </c>
      <c r="C1511">
        <v>81</v>
      </c>
      <c r="D1511">
        <v>21</v>
      </c>
      <c r="E1511">
        <v>2</v>
      </c>
      <c r="F1511">
        <v>21</v>
      </c>
      <c r="G1511">
        <v>0</v>
      </c>
      <c r="H1511">
        <v>0</v>
      </c>
      <c r="I1511">
        <v>37</v>
      </c>
      <c r="J1511">
        <v>0</v>
      </c>
    </row>
    <row r="1512" spans="1:10" x14ac:dyDescent="0.25">
      <c r="A1512" t="s">
        <v>140</v>
      </c>
      <c r="B1512">
        <v>7172040010000500</v>
      </c>
      <c r="C1512">
        <v>58</v>
      </c>
      <c r="D1512">
        <v>0</v>
      </c>
      <c r="E1512">
        <v>0</v>
      </c>
      <c r="F1512">
        <v>58</v>
      </c>
      <c r="G1512">
        <v>0</v>
      </c>
      <c r="H1512">
        <v>0</v>
      </c>
      <c r="I1512">
        <v>0</v>
      </c>
      <c r="J1512">
        <v>0</v>
      </c>
    </row>
    <row r="1513" spans="1:10" x14ac:dyDescent="0.25">
      <c r="A1513" t="s">
        <v>140</v>
      </c>
      <c r="B1513">
        <v>7172040010000600</v>
      </c>
      <c r="C1513">
        <v>56</v>
      </c>
      <c r="D1513">
        <v>0</v>
      </c>
      <c r="E1513">
        <v>0</v>
      </c>
      <c r="F1513">
        <v>56</v>
      </c>
      <c r="G1513">
        <v>0</v>
      </c>
      <c r="H1513">
        <v>0</v>
      </c>
      <c r="I1513">
        <v>0</v>
      </c>
      <c r="J1513">
        <v>0</v>
      </c>
    </row>
    <row r="1514" spans="1:10" x14ac:dyDescent="0.25">
      <c r="A1514" t="s">
        <v>140</v>
      </c>
      <c r="B1514">
        <v>7172040012000500</v>
      </c>
      <c r="C1514">
        <v>46</v>
      </c>
      <c r="D1514">
        <v>34</v>
      </c>
      <c r="E1514">
        <v>0</v>
      </c>
      <c r="F1514">
        <v>1</v>
      </c>
      <c r="G1514">
        <v>0</v>
      </c>
      <c r="H1514">
        <v>0</v>
      </c>
      <c r="I1514">
        <v>11</v>
      </c>
      <c r="J1514">
        <v>0</v>
      </c>
    </row>
    <row r="1515" spans="1:10" x14ac:dyDescent="0.25">
      <c r="A1515" t="s">
        <v>140</v>
      </c>
      <c r="B1515">
        <v>7172040010000800</v>
      </c>
      <c r="C1515">
        <v>40</v>
      </c>
      <c r="D1515">
        <v>0</v>
      </c>
      <c r="E1515">
        <v>0</v>
      </c>
      <c r="F1515">
        <v>40</v>
      </c>
      <c r="G1515">
        <v>0</v>
      </c>
      <c r="H1515">
        <v>0</v>
      </c>
      <c r="I1515">
        <v>0</v>
      </c>
      <c r="J1515">
        <v>0</v>
      </c>
    </row>
    <row r="1516" spans="1:10" x14ac:dyDescent="0.25">
      <c r="A1516" t="s">
        <v>140</v>
      </c>
      <c r="B1516">
        <v>7172040010000700</v>
      </c>
      <c r="C1516">
        <v>32</v>
      </c>
      <c r="D1516">
        <v>0</v>
      </c>
      <c r="E1516">
        <v>0</v>
      </c>
      <c r="F1516">
        <v>32</v>
      </c>
      <c r="G1516">
        <v>0</v>
      </c>
      <c r="H1516">
        <v>0</v>
      </c>
      <c r="I1516">
        <v>0</v>
      </c>
      <c r="J1516">
        <v>0</v>
      </c>
    </row>
    <row r="1517" spans="1:10" x14ac:dyDescent="0.25">
      <c r="A1517" t="s">
        <v>140</v>
      </c>
      <c r="B1517">
        <v>7172040010000400</v>
      </c>
      <c r="C1517">
        <v>30</v>
      </c>
      <c r="D1517">
        <v>0</v>
      </c>
      <c r="E1517">
        <v>0</v>
      </c>
      <c r="F1517">
        <v>30</v>
      </c>
      <c r="G1517">
        <v>0</v>
      </c>
      <c r="H1517">
        <v>0</v>
      </c>
      <c r="I1517">
        <v>0</v>
      </c>
      <c r="J1517">
        <v>0</v>
      </c>
    </row>
    <row r="1518" spans="1:10" x14ac:dyDescent="0.25">
      <c r="A1518" t="s">
        <v>140</v>
      </c>
      <c r="B1518">
        <v>7172040012000600</v>
      </c>
      <c r="C1518">
        <v>30</v>
      </c>
      <c r="D1518">
        <v>6</v>
      </c>
      <c r="E1518">
        <v>0</v>
      </c>
      <c r="F1518">
        <v>21</v>
      </c>
      <c r="G1518">
        <v>0</v>
      </c>
      <c r="H1518">
        <v>0</v>
      </c>
      <c r="I1518">
        <v>3</v>
      </c>
      <c r="J1518">
        <v>0</v>
      </c>
    </row>
    <row r="1519" spans="1:10" x14ac:dyDescent="0.25">
      <c r="A1519" t="s">
        <v>139</v>
      </c>
      <c r="B1519">
        <v>7172040006000100</v>
      </c>
      <c r="C1519">
        <v>92</v>
      </c>
      <c r="D1519">
        <v>88</v>
      </c>
      <c r="E1519">
        <v>4</v>
      </c>
      <c r="F1519">
        <v>0</v>
      </c>
      <c r="G1519">
        <v>0</v>
      </c>
      <c r="H1519">
        <v>0</v>
      </c>
      <c r="I1519">
        <v>0</v>
      </c>
      <c r="J1519">
        <v>0</v>
      </c>
    </row>
    <row r="1520" spans="1:10" x14ac:dyDescent="0.25">
      <c r="A1520" t="s">
        <v>139</v>
      </c>
      <c r="B1520">
        <v>7172040006000600</v>
      </c>
      <c r="C1520">
        <v>87</v>
      </c>
      <c r="D1520">
        <v>39</v>
      </c>
      <c r="E1520">
        <v>8</v>
      </c>
      <c r="F1520">
        <v>4</v>
      </c>
      <c r="G1520">
        <v>1</v>
      </c>
      <c r="H1520">
        <v>0</v>
      </c>
      <c r="I1520">
        <v>35</v>
      </c>
      <c r="J1520">
        <v>0</v>
      </c>
    </row>
    <row r="1521" spans="1:10" x14ac:dyDescent="0.25">
      <c r="A1521" t="s">
        <v>139</v>
      </c>
      <c r="B1521">
        <v>7172040006000500</v>
      </c>
      <c r="C1521">
        <v>83</v>
      </c>
      <c r="D1521">
        <v>9</v>
      </c>
      <c r="E1521">
        <v>0</v>
      </c>
      <c r="F1521">
        <v>74</v>
      </c>
      <c r="G1521">
        <v>0</v>
      </c>
      <c r="H1521">
        <v>0</v>
      </c>
      <c r="I1521">
        <v>0</v>
      </c>
      <c r="J1521">
        <v>0</v>
      </c>
    </row>
    <row r="1522" spans="1:10" x14ac:dyDescent="0.25">
      <c r="A1522" t="s">
        <v>139</v>
      </c>
      <c r="B1522">
        <v>7172040006000200</v>
      </c>
      <c r="C1522">
        <v>80</v>
      </c>
      <c r="D1522">
        <v>74</v>
      </c>
      <c r="E1522">
        <v>2</v>
      </c>
      <c r="F1522">
        <v>3</v>
      </c>
      <c r="G1522">
        <v>1</v>
      </c>
      <c r="H1522">
        <v>0</v>
      </c>
      <c r="I1522">
        <v>0</v>
      </c>
      <c r="J1522">
        <v>0</v>
      </c>
    </row>
    <row r="1523" spans="1:10" x14ac:dyDescent="0.25">
      <c r="A1523" t="s">
        <v>139</v>
      </c>
      <c r="B1523">
        <v>7172040006000300</v>
      </c>
      <c r="C1523">
        <v>61</v>
      </c>
      <c r="D1523">
        <v>16</v>
      </c>
      <c r="E1523">
        <v>0</v>
      </c>
      <c r="F1523">
        <v>36</v>
      </c>
      <c r="G1523">
        <v>1</v>
      </c>
      <c r="H1523">
        <v>0</v>
      </c>
      <c r="I1523">
        <v>8</v>
      </c>
      <c r="J1523">
        <v>0</v>
      </c>
    </row>
    <row r="1524" spans="1:10" x14ac:dyDescent="0.25">
      <c r="A1524" t="s">
        <v>139</v>
      </c>
      <c r="B1524">
        <v>7172040006000400</v>
      </c>
      <c r="C1524">
        <v>56</v>
      </c>
      <c r="D1524">
        <v>6</v>
      </c>
      <c r="E1524">
        <v>0</v>
      </c>
      <c r="F1524">
        <v>50</v>
      </c>
      <c r="G1524">
        <v>0</v>
      </c>
      <c r="H1524">
        <v>0</v>
      </c>
      <c r="I1524">
        <v>0</v>
      </c>
      <c r="J1524">
        <v>0</v>
      </c>
    </row>
    <row r="1525" spans="1:10" x14ac:dyDescent="0.25">
      <c r="A1525" t="s">
        <v>139</v>
      </c>
      <c r="B1525">
        <v>7172040010000100</v>
      </c>
      <c r="C1525">
        <v>41</v>
      </c>
      <c r="D1525">
        <v>0</v>
      </c>
      <c r="E1525">
        <v>0</v>
      </c>
      <c r="F1525">
        <v>38</v>
      </c>
      <c r="G1525">
        <v>0</v>
      </c>
      <c r="H1525">
        <v>0</v>
      </c>
      <c r="I1525">
        <v>3</v>
      </c>
      <c r="J1525">
        <v>0</v>
      </c>
    </row>
    <row r="1526" spans="1:10" x14ac:dyDescent="0.25">
      <c r="A1526" t="s">
        <v>139</v>
      </c>
      <c r="B1526">
        <v>7172040010000200</v>
      </c>
      <c r="C1526">
        <v>34</v>
      </c>
      <c r="D1526">
        <v>0</v>
      </c>
      <c r="E1526">
        <v>0</v>
      </c>
      <c r="F1526">
        <v>32</v>
      </c>
      <c r="G1526">
        <v>0</v>
      </c>
      <c r="H1526">
        <v>0</v>
      </c>
      <c r="I1526">
        <v>2</v>
      </c>
      <c r="J1526">
        <v>0</v>
      </c>
    </row>
    <row r="1527" spans="1:10" x14ac:dyDescent="0.25">
      <c r="A1527" t="s">
        <v>139</v>
      </c>
      <c r="B1527">
        <v>7172040010000300</v>
      </c>
      <c r="C1527">
        <v>29</v>
      </c>
      <c r="D1527">
        <v>0</v>
      </c>
      <c r="E1527">
        <v>0</v>
      </c>
      <c r="F1527">
        <v>24</v>
      </c>
      <c r="G1527">
        <v>0</v>
      </c>
      <c r="H1527">
        <v>0</v>
      </c>
      <c r="I1527">
        <v>5</v>
      </c>
      <c r="J1527">
        <v>0</v>
      </c>
    </row>
    <row r="1528" spans="1:10" x14ac:dyDescent="0.25">
      <c r="A1528" t="s">
        <v>10</v>
      </c>
      <c r="B1528">
        <v>7172010009002700</v>
      </c>
      <c r="C1528">
        <v>104</v>
      </c>
      <c r="D1528">
        <v>95</v>
      </c>
      <c r="E1528">
        <v>3</v>
      </c>
      <c r="F1528">
        <v>3</v>
      </c>
      <c r="G1528">
        <v>0</v>
      </c>
      <c r="H1528">
        <v>0</v>
      </c>
      <c r="I1528">
        <v>3</v>
      </c>
      <c r="J1528">
        <v>0</v>
      </c>
    </row>
    <row r="1529" spans="1:10" x14ac:dyDescent="0.25">
      <c r="A1529" t="s">
        <v>10</v>
      </c>
      <c r="B1529">
        <v>7172010009002800</v>
      </c>
      <c r="C1529">
        <v>103</v>
      </c>
      <c r="D1529">
        <v>101</v>
      </c>
      <c r="E1529">
        <v>1</v>
      </c>
      <c r="F1529">
        <v>0</v>
      </c>
      <c r="G1529">
        <v>1</v>
      </c>
      <c r="H1529">
        <v>0</v>
      </c>
      <c r="I1529">
        <v>0</v>
      </c>
      <c r="J1529">
        <v>0</v>
      </c>
    </row>
    <row r="1530" spans="1:10" x14ac:dyDescent="0.25">
      <c r="A1530" t="s">
        <v>10</v>
      </c>
      <c r="B1530">
        <v>7172010009002600</v>
      </c>
      <c r="C1530">
        <v>93</v>
      </c>
      <c r="D1530">
        <v>86</v>
      </c>
      <c r="E1530">
        <v>0</v>
      </c>
      <c r="F1530">
        <v>2</v>
      </c>
      <c r="G1530">
        <v>0</v>
      </c>
      <c r="H1530">
        <v>0</v>
      </c>
      <c r="I1530">
        <v>5</v>
      </c>
      <c r="J1530">
        <v>0</v>
      </c>
    </row>
    <row r="1531" spans="1:10" x14ac:dyDescent="0.25">
      <c r="A1531" t="s">
        <v>10</v>
      </c>
      <c r="B1531">
        <v>7172010009002500</v>
      </c>
      <c r="C1531">
        <v>90</v>
      </c>
      <c r="D1531">
        <v>2</v>
      </c>
      <c r="E1531">
        <v>2</v>
      </c>
      <c r="F1531">
        <v>7</v>
      </c>
      <c r="G1531">
        <v>0</v>
      </c>
      <c r="H1531">
        <v>0</v>
      </c>
      <c r="I1531">
        <v>79</v>
      </c>
      <c r="J1531">
        <v>0</v>
      </c>
    </row>
    <row r="1532" spans="1:10" x14ac:dyDescent="0.25">
      <c r="A1532" t="s">
        <v>10</v>
      </c>
      <c r="B1532">
        <v>7172010009002100</v>
      </c>
      <c r="C1532">
        <v>69</v>
      </c>
      <c r="D1532">
        <v>0</v>
      </c>
      <c r="E1532">
        <v>0</v>
      </c>
      <c r="F1532">
        <v>69</v>
      </c>
      <c r="G1532">
        <v>0</v>
      </c>
      <c r="H1532">
        <v>0</v>
      </c>
      <c r="I1532">
        <v>0</v>
      </c>
      <c r="J1532">
        <v>0</v>
      </c>
    </row>
    <row r="1533" spans="1:10" x14ac:dyDescent="0.25">
      <c r="A1533" t="s">
        <v>10</v>
      </c>
      <c r="B1533">
        <v>7172010009002200</v>
      </c>
      <c r="C1533">
        <v>57</v>
      </c>
      <c r="D1533">
        <v>0</v>
      </c>
      <c r="E1533">
        <v>0</v>
      </c>
      <c r="F1533">
        <v>57</v>
      </c>
      <c r="G1533">
        <v>0</v>
      </c>
      <c r="H1533">
        <v>0</v>
      </c>
      <c r="I1533">
        <v>0</v>
      </c>
      <c r="J1533">
        <v>0</v>
      </c>
    </row>
    <row r="1534" spans="1:10" x14ac:dyDescent="0.25">
      <c r="A1534" t="s">
        <v>10</v>
      </c>
      <c r="B1534">
        <v>7172010009002300</v>
      </c>
      <c r="C1534">
        <v>53</v>
      </c>
      <c r="D1534">
        <v>0</v>
      </c>
      <c r="E1534">
        <v>0</v>
      </c>
      <c r="F1534">
        <v>53</v>
      </c>
      <c r="G1534">
        <v>0</v>
      </c>
      <c r="H1534">
        <v>0</v>
      </c>
      <c r="I1534">
        <v>0</v>
      </c>
      <c r="J1534">
        <v>0</v>
      </c>
    </row>
    <row r="1535" spans="1:10" x14ac:dyDescent="0.25">
      <c r="A1535" t="s">
        <v>10</v>
      </c>
      <c r="B1535">
        <v>7172010009002400</v>
      </c>
      <c r="C1535">
        <v>51</v>
      </c>
      <c r="D1535">
        <v>0</v>
      </c>
      <c r="E1535">
        <v>1</v>
      </c>
      <c r="F1535">
        <v>12</v>
      </c>
      <c r="G1535">
        <v>0</v>
      </c>
      <c r="H1535">
        <v>0</v>
      </c>
      <c r="I1535">
        <v>38</v>
      </c>
      <c r="J1535">
        <v>0</v>
      </c>
    </row>
    <row r="1536" spans="1:10" x14ac:dyDescent="0.25">
      <c r="A1536" t="s">
        <v>65</v>
      </c>
      <c r="B1536">
        <v>7172012005000900</v>
      </c>
      <c r="C1536">
        <v>136</v>
      </c>
      <c r="D1536">
        <v>0</v>
      </c>
      <c r="E1536">
        <v>3</v>
      </c>
      <c r="F1536">
        <v>122</v>
      </c>
      <c r="G1536">
        <v>0</v>
      </c>
      <c r="H1536">
        <v>0</v>
      </c>
      <c r="I1536">
        <v>11</v>
      </c>
      <c r="J1536">
        <v>0</v>
      </c>
    </row>
    <row r="1537" spans="1:10" x14ac:dyDescent="0.25">
      <c r="A1537" t="s">
        <v>65</v>
      </c>
      <c r="B1537">
        <v>7172012004002600</v>
      </c>
      <c r="C1537">
        <v>131</v>
      </c>
      <c r="D1537">
        <v>131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</row>
    <row r="1538" spans="1:10" x14ac:dyDescent="0.25">
      <c r="A1538" t="s">
        <v>65</v>
      </c>
      <c r="B1538">
        <v>7172012005001000</v>
      </c>
      <c r="C1538">
        <v>126</v>
      </c>
      <c r="D1538">
        <v>101</v>
      </c>
      <c r="E1538">
        <v>7</v>
      </c>
      <c r="F1538">
        <v>6</v>
      </c>
      <c r="G1538">
        <v>1</v>
      </c>
      <c r="H1538">
        <v>0</v>
      </c>
      <c r="I1538">
        <v>11</v>
      </c>
      <c r="J1538">
        <v>0</v>
      </c>
    </row>
    <row r="1539" spans="1:10" x14ac:dyDescent="0.25">
      <c r="A1539" t="s">
        <v>65</v>
      </c>
      <c r="B1539">
        <v>7172012004002403</v>
      </c>
      <c r="C1539">
        <v>92</v>
      </c>
      <c r="D1539">
        <v>90</v>
      </c>
      <c r="E1539">
        <v>2</v>
      </c>
      <c r="F1539">
        <v>0</v>
      </c>
      <c r="G1539">
        <v>0</v>
      </c>
      <c r="H1539">
        <v>0</v>
      </c>
      <c r="I1539">
        <v>0</v>
      </c>
      <c r="J1539">
        <v>0</v>
      </c>
    </row>
    <row r="1540" spans="1:10" x14ac:dyDescent="0.25">
      <c r="A1540" t="s">
        <v>65</v>
      </c>
      <c r="B1540">
        <v>7172012005000100</v>
      </c>
      <c r="C1540">
        <v>88</v>
      </c>
      <c r="D1540">
        <v>0</v>
      </c>
      <c r="E1540">
        <v>0</v>
      </c>
      <c r="F1540">
        <v>88</v>
      </c>
      <c r="G1540">
        <v>0</v>
      </c>
      <c r="H1540">
        <v>0</v>
      </c>
      <c r="I1540">
        <v>0</v>
      </c>
      <c r="J1540">
        <v>0</v>
      </c>
    </row>
    <row r="1541" spans="1:10" x14ac:dyDescent="0.25">
      <c r="A1541" t="s">
        <v>65</v>
      </c>
      <c r="B1541">
        <v>7172012005001100</v>
      </c>
      <c r="C1541">
        <v>68</v>
      </c>
      <c r="D1541">
        <v>0</v>
      </c>
      <c r="E1541">
        <v>0</v>
      </c>
      <c r="F1541">
        <v>68</v>
      </c>
      <c r="G1541">
        <v>0</v>
      </c>
      <c r="H1541">
        <v>0</v>
      </c>
      <c r="I1541">
        <v>0</v>
      </c>
      <c r="J1541">
        <v>0</v>
      </c>
    </row>
    <row r="1542" spans="1:10" x14ac:dyDescent="0.25">
      <c r="A1542" t="s">
        <v>65</v>
      </c>
      <c r="B1542">
        <v>7172012005000200</v>
      </c>
      <c r="C1542">
        <v>53</v>
      </c>
      <c r="D1542">
        <v>52</v>
      </c>
      <c r="E1542">
        <v>1</v>
      </c>
      <c r="F1542">
        <v>0</v>
      </c>
      <c r="G1542">
        <v>0</v>
      </c>
      <c r="H1542">
        <v>0</v>
      </c>
      <c r="I1542">
        <v>0</v>
      </c>
      <c r="J1542">
        <v>0</v>
      </c>
    </row>
    <row r="1543" spans="1:10" x14ac:dyDescent="0.25">
      <c r="A1543" t="s">
        <v>384</v>
      </c>
      <c r="B1543">
        <v>7172040003001502</v>
      </c>
      <c r="C1543">
        <v>264</v>
      </c>
      <c r="D1543">
        <v>260</v>
      </c>
      <c r="E1543">
        <v>3</v>
      </c>
      <c r="F1543">
        <v>0</v>
      </c>
      <c r="G1543">
        <v>0</v>
      </c>
      <c r="H1543">
        <v>0</v>
      </c>
      <c r="I1543">
        <v>1</v>
      </c>
      <c r="J1543">
        <v>0</v>
      </c>
    </row>
    <row r="1544" spans="1:10" x14ac:dyDescent="0.25">
      <c r="A1544" t="s">
        <v>384</v>
      </c>
      <c r="B1544">
        <v>7172040003001501</v>
      </c>
      <c r="C1544">
        <v>205</v>
      </c>
      <c r="D1544">
        <v>55</v>
      </c>
      <c r="E1544">
        <v>7</v>
      </c>
      <c r="F1544">
        <v>143</v>
      </c>
      <c r="G1544">
        <v>0</v>
      </c>
      <c r="H1544">
        <v>0</v>
      </c>
      <c r="I1544">
        <v>0</v>
      </c>
      <c r="J1544">
        <v>0</v>
      </c>
    </row>
    <row r="1545" spans="1:10" x14ac:dyDescent="0.25">
      <c r="A1545" t="s">
        <v>384</v>
      </c>
      <c r="B1545">
        <v>7172040003001301</v>
      </c>
      <c r="C1545">
        <v>136</v>
      </c>
      <c r="D1545">
        <v>0</v>
      </c>
      <c r="E1545">
        <v>0</v>
      </c>
      <c r="F1545">
        <v>136</v>
      </c>
      <c r="G1545">
        <v>0</v>
      </c>
      <c r="H1545">
        <v>0</v>
      </c>
      <c r="I1545">
        <v>0</v>
      </c>
      <c r="J1545">
        <v>0</v>
      </c>
    </row>
    <row r="1546" spans="1:10" x14ac:dyDescent="0.25">
      <c r="A1546" t="s">
        <v>384</v>
      </c>
      <c r="B1546">
        <v>7172040003001400</v>
      </c>
      <c r="C1546">
        <v>112</v>
      </c>
      <c r="D1546">
        <v>79</v>
      </c>
      <c r="E1546">
        <v>0</v>
      </c>
      <c r="F1546">
        <v>26</v>
      </c>
      <c r="G1546">
        <v>0</v>
      </c>
      <c r="H1546">
        <v>0</v>
      </c>
      <c r="I1546">
        <v>7</v>
      </c>
      <c r="J1546">
        <v>0</v>
      </c>
    </row>
    <row r="1547" spans="1:10" x14ac:dyDescent="0.25">
      <c r="A1547" t="s">
        <v>384</v>
      </c>
      <c r="B1547">
        <v>7172040003000800</v>
      </c>
      <c r="C1547">
        <v>88</v>
      </c>
      <c r="D1547">
        <v>82</v>
      </c>
      <c r="E1547">
        <v>6</v>
      </c>
      <c r="F1547">
        <v>0</v>
      </c>
      <c r="G1547">
        <v>0</v>
      </c>
      <c r="H1547">
        <v>0</v>
      </c>
      <c r="I1547">
        <v>0</v>
      </c>
      <c r="J1547">
        <v>0</v>
      </c>
    </row>
    <row r="1548" spans="1:10" x14ac:dyDescent="0.25">
      <c r="A1548" t="s">
        <v>384</v>
      </c>
      <c r="B1548">
        <v>7172040003001302</v>
      </c>
      <c r="C1548">
        <v>52</v>
      </c>
      <c r="D1548">
        <v>0</v>
      </c>
      <c r="E1548">
        <v>0</v>
      </c>
      <c r="F1548">
        <v>52</v>
      </c>
      <c r="G1548">
        <v>0</v>
      </c>
      <c r="H1548">
        <v>0</v>
      </c>
      <c r="I1548">
        <v>0</v>
      </c>
      <c r="J1548">
        <v>0</v>
      </c>
    </row>
    <row r="1549" spans="1:10" x14ac:dyDescent="0.25">
      <c r="A1549" t="s">
        <v>36</v>
      </c>
      <c r="B1549">
        <v>7172011003002401</v>
      </c>
      <c r="C1549">
        <v>195</v>
      </c>
      <c r="D1549">
        <v>154</v>
      </c>
      <c r="E1549">
        <v>9</v>
      </c>
      <c r="F1549">
        <v>0</v>
      </c>
      <c r="G1549">
        <v>0</v>
      </c>
      <c r="H1549">
        <v>0</v>
      </c>
      <c r="I1549">
        <v>32</v>
      </c>
      <c r="J1549">
        <v>0</v>
      </c>
    </row>
    <row r="1550" spans="1:10" x14ac:dyDescent="0.25">
      <c r="A1550" t="s">
        <v>36</v>
      </c>
      <c r="B1550">
        <v>7172011003002100</v>
      </c>
      <c r="C1550">
        <v>170</v>
      </c>
      <c r="D1550">
        <v>50</v>
      </c>
      <c r="E1550">
        <v>44</v>
      </c>
      <c r="F1550">
        <v>12</v>
      </c>
      <c r="G1550">
        <v>0</v>
      </c>
      <c r="H1550">
        <v>0</v>
      </c>
      <c r="I1550">
        <v>64</v>
      </c>
      <c r="J1550">
        <v>0</v>
      </c>
    </row>
    <row r="1551" spans="1:10" x14ac:dyDescent="0.25">
      <c r="A1551" t="s">
        <v>36</v>
      </c>
      <c r="B1551">
        <v>7172011003002000</v>
      </c>
      <c r="C1551">
        <v>136</v>
      </c>
      <c r="D1551">
        <v>53</v>
      </c>
      <c r="E1551">
        <v>10</v>
      </c>
      <c r="F1551">
        <v>38</v>
      </c>
      <c r="G1551">
        <v>0</v>
      </c>
      <c r="H1551">
        <v>0</v>
      </c>
      <c r="I1551">
        <v>35</v>
      </c>
      <c r="J1551">
        <v>0</v>
      </c>
    </row>
    <row r="1552" spans="1:10" x14ac:dyDescent="0.25">
      <c r="A1552" t="s">
        <v>36</v>
      </c>
      <c r="B1552">
        <v>7172011003002300</v>
      </c>
      <c r="C1552">
        <v>114</v>
      </c>
      <c r="D1552">
        <v>0</v>
      </c>
      <c r="E1552">
        <v>0</v>
      </c>
      <c r="F1552">
        <v>114</v>
      </c>
      <c r="G1552">
        <v>0</v>
      </c>
      <c r="H1552">
        <v>0</v>
      </c>
      <c r="I1552">
        <v>0</v>
      </c>
      <c r="J1552">
        <v>0</v>
      </c>
    </row>
    <row r="1553" spans="1:10" x14ac:dyDescent="0.25">
      <c r="A1553" t="s">
        <v>36</v>
      </c>
      <c r="B1553">
        <v>7172011003002402</v>
      </c>
      <c r="C1553">
        <v>94</v>
      </c>
      <c r="D1553">
        <v>54</v>
      </c>
      <c r="E1553">
        <v>4</v>
      </c>
      <c r="F1553">
        <v>6</v>
      </c>
      <c r="G1553">
        <v>0</v>
      </c>
      <c r="H1553">
        <v>0</v>
      </c>
      <c r="I1553">
        <v>30</v>
      </c>
      <c r="J1553">
        <v>0</v>
      </c>
    </row>
    <row r="1554" spans="1:10" x14ac:dyDescent="0.25">
      <c r="A1554" t="s">
        <v>36</v>
      </c>
      <c r="B1554">
        <v>7172011003002200</v>
      </c>
      <c r="C1554">
        <v>55</v>
      </c>
      <c r="D1554">
        <v>0</v>
      </c>
      <c r="E1554">
        <v>0</v>
      </c>
      <c r="F1554">
        <v>55</v>
      </c>
      <c r="G1554">
        <v>0</v>
      </c>
      <c r="H1554">
        <v>0</v>
      </c>
      <c r="I1554">
        <v>0</v>
      </c>
      <c r="J1554">
        <v>0</v>
      </c>
    </row>
    <row r="1555" spans="1:10" x14ac:dyDescent="0.25">
      <c r="A1555" t="s">
        <v>236</v>
      </c>
      <c r="B1555">
        <v>7172030014001100</v>
      </c>
      <c r="C1555">
        <v>254</v>
      </c>
      <c r="D1555">
        <v>246</v>
      </c>
      <c r="E1555">
        <v>1</v>
      </c>
      <c r="F1555">
        <v>5</v>
      </c>
      <c r="G1555">
        <v>1</v>
      </c>
      <c r="H1555">
        <v>1</v>
      </c>
      <c r="I1555">
        <v>0</v>
      </c>
      <c r="J1555">
        <v>0</v>
      </c>
    </row>
    <row r="1556" spans="1:10" x14ac:dyDescent="0.25">
      <c r="A1556" t="s">
        <v>236</v>
      </c>
      <c r="B1556">
        <v>7172030014001000</v>
      </c>
      <c r="C1556">
        <v>154</v>
      </c>
      <c r="D1556">
        <v>143</v>
      </c>
      <c r="E1556">
        <v>3</v>
      </c>
      <c r="F1556">
        <v>8</v>
      </c>
      <c r="G1556">
        <v>0</v>
      </c>
      <c r="H1556">
        <v>0</v>
      </c>
      <c r="I1556">
        <v>0</v>
      </c>
      <c r="J1556">
        <v>0</v>
      </c>
    </row>
    <row r="1557" spans="1:10" x14ac:dyDescent="0.25">
      <c r="A1557" t="s">
        <v>236</v>
      </c>
      <c r="B1557">
        <v>7172030014001200</v>
      </c>
      <c r="C1557">
        <v>137</v>
      </c>
      <c r="D1557">
        <v>76</v>
      </c>
      <c r="E1557">
        <v>2</v>
      </c>
      <c r="F1557">
        <v>53</v>
      </c>
      <c r="G1557">
        <v>0</v>
      </c>
      <c r="H1557">
        <v>0</v>
      </c>
      <c r="I1557">
        <v>6</v>
      </c>
      <c r="J1557">
        <v>0</v>
      </c>
    </row>
    <row r="1558" spans="1:10" x14ac:dyDescent="0.25">
      <c r="A1558" t="s">
        <v>236</v>
      </c>
      <c r="B1558">
        <v>7172030015000200</v>
      </c>
      <c r="C1558">
        <v>64</v>
      </c>
      <c r="D1558">
        <v>0</v>
      </c>
      <c r="E1558">
        <v>0</v>
      </c>
      <c r="F1558">
        <v>64</v>
      </c>
      <c r="G1558">
        <v>0</v>
      </c>
      <c r="H1558">
        <v>0</v>
      </c>
      <c r="I1558">
        <v>0</v>
      </c>
      <c r="J1558">
        <v>0</v>
      </c>
    </row>
    <row r="1559" spans="1:10" x14ac:dyDescent="0.25">
      <c r="A1559" t="s">
        <v>236</v>
      </c>
      <c r="B1559">
        <v>7172030015000100</v>
      </c>
      <c r="C1559">
        <v>63</v>
      </c>
      <c r="D1559">
        <v>0</v>
      </c>
      <c r="E1559">
        <v>0</v>
      </c>
      <c r="F1559">
        <v>63</v>
      </c>
      <c r="G1559">
        <v>0</v>
      </c>
      <c r="H1559">
        <v>0</v>
      </c>
      <c r="I1559">
        <v>0</v>
      </c>
      <c r="J1559">
        <v>0</v>
      </c>
    </row>
    <row r="1560" spans="1:10" x14ac:dyDescent="0.25">
      <c r="A1560" t="s">
        <v>235</v>
      </c>
      <c r="B1560">
        <v>7172030015000800</v>
      </c>
      <c r="C1560">
        <v>182</v>
      </c>
      <c r="D1560">
        <v>19</v>
      </c>
      <c r="E1560">
        <v>3</v>
      </c>
      <c r="F1560">
        <v>117</v>
      </c>
      <c r="G1560">
        <v>0</v>
      </c>
      <c r="H1560">
        <v>0</v>
      </c>
      <c r="I1560">
        <v>43</v>
      </c>
      <c r="J1560">
        <v>0</v>
      </c>
    </row>
    <row r="1561" spans="1:10" x14ac:dyDescent="0.25">
      <c r="A1561" t="s">
        <v>235</v>
      </c>
      <c r="B1561">
        <v>7172030015000300</v>
      </c>
      <c r="C1561">
        <v>124</v>
      </c>
      <c r="D1561">
        <v>86</v>
      </c>
      <c r="E1561">
        <v>4</v>
      </c>
      <c r="F1561">
        <v>34</v>
      </c>
      <c r="G1561">
        <v>0</v>
      </c>
      <c r="H1561">
        <v>0</v>
      </c>
      <c r="I1561">
        <v>0</v>
      </c>
      <c r="J1561">
        <v>0</v>
      </c>
    </row>
    <row r="1562" spans="1:10" x14ac:dyDescent="0.25">
      <c r="A1562" t="s">
        <v>235</v>
      </c>
      <c r="B1562">
        <v>7172030015000400</v>
      </c>
      <c r="C1562">
        <v>86</v>
      </c>
      <c r="D1562">
        <v>49</v>
      </c>
      <c r="E1562">
        <v>2</v>
      </c>
      <c r="F1562">
        <v>35</v>
      </c>
      <c r="G1562">
        <v>0</v>
      </c>
      <c r="H1562">
        <v>0</v>
      </c>
      <c r="I1562">
        <v>0</v>
      </c>
      <c r="J1562">
        <v>0</v>
      </c>
    </row>
    <row r="1563" spans="1:10" x14ac:dyDescent="0.25">
      <c r="A1563" t="s">
        <v>235</v>
      </c>
      <c r="B1563">
        <v>7172030015001000</v>
      </c>
      <c r="C1563">
        <v>85</v>
      </c>
      <c r="D1563">
        <v>70</v>
      </c>
      <c r="E1563">
        <v>6</v>
      </c>
      <c r="F1563">
        <v>6</v>
      </c>
      <c r="G1563">
        <v>0</v>
      </c>
      <c r="H1563">
        <v>1</v>
      </c>
      <c r="I1563">
        <v>2</v>
      </c>
      <c r="J1563">
        <v>0</v>
      </c>
    </row>
    <row r="1564" spans="1:10" x14ac:dyDescent="0.25">
      <c r="A1564" t="s">
        <v>235</v>
      </c>
      <c r="B1564">
        <v>7172030015001100</v>
      </c>
      <c r="C1564">
        <v>62</v>
      </c>
      <c r="D1564">
        <v>46</v>
      </c>
      <c r="E1564">
        <v>3</v>
      </c>
      <c r="F1564">
        <v>11</v>
      </c>
      <c r="G1564">
        <v>0</v>
      </c>
      <c r="H1564">
        <v>0</v>
      </c>
      <c r="I1564">
        <v>2</v>
      </c>
      <c r="J1564">
        <v>0</v>
      </c>
    </row>
    <row r="1565" spans="1:10" x14ac:dyDescent="0.25">
      <c r="A1565" t="s">
        <v>235</v>
      </c>
      <c r="B1565">
        <v>7172030015000500</v>
      </c>
      <c r="C1565">
        <v>60</v>
      </c>
      <c r="D1565">
        <v>5</v>
      </c>
      <c r="E1565">
        <v>2</v>
      </c>
      <c r="F1565">
        <v>32</v>
      </c>
      <c r="G1565">
        <v>0</v>
      </c>
      <c r="H1565">
        <v>0</v>
      </c>
      <c r="I1565">
        <v>21</v>
      </c>
      <c r="J1565">
        <v>0</v>
      </c>
    </row>
    <row r="1566" spans="1:10" x14ac:dyDescent="0.25">
      <c r="A1566" t="s">
        <v>235</v>
      </c>
      <c r="B1566">
        <v>7172030015000700</v>
      </c>
      <c r="C1566">
        <v>57</v>
      </c>
      <c r="D1566">
        <v>38</v>
      </c>
      <c r="E1566">
        <v>3</v>
      </c>
      <c r="F1566">
        <v>10</v>
      </c>
      <c r="G1566">
        <v>0</v>
      </c>
      <c r="H1566">
        <v>0</v>
      </c>
      <c r="I1566">
        <v>6</v>
      </c>
      <c r="J1566">
        <v>0</v>
      </c>
    </row>
    <row r="1567" spans="1:10" x14ac:dyDescent="0.25">
      <c r="A1567" t="s">
        <v>235</v>
      </c>
      <c r="B1567">
        <v>7172030015000600</v>
      </c>
      <c r="C1567">
        <v>49</v>
      </c>
      <c r="D1567">
        <v>18</v>
      </c>
      <c r="E1567">
        <v>1</v>
      </c>
      <c r="F1567">
        <v>15</v>
      </c>
      <c r="G1567">
        <v>0</v>
      </c>
      <c r="H1567">
        <v>0</v>
      </c>
      <c r="I1567">
        <v>15</v>
      </c>
      <c r="J1567">
        <v>0</v>
      </c>
    </row>
    <row r="1568" spans="1:10" x14ac:dyDescent="0.25">
      <c r="A1568" t="s">
        <v>235</v>
      </c>
      <c r="B1568">
        <v>7172030015000900</v>
      </c>
      <c r="C1568">
        <v>30</v>
      </c>
      <c r="D1568">
        <v>5</v>
      </c>
      <c r="E1568">
        <v>1</v>
      </c>
      <c r="F1568">
        <v>12</v>
      </c>
      <c r="G1568">
        <v>0</v>
      </c>
      <c r="H1568">
        <v>0</v>
      </c>
      <c r="I1568">
        <v>12</v>
      </c>
      <c r="J1568">
        <v>0</v>
      </c>
    </row>
    <row r="1569" spans="1:10" x14ac:dyDescent="0.25">
      <c r="A1569" t="s">
        <v>105</v>
      </c>
      <c r="B1569">
        <v>7172030015001701</v>
      </c>
      <c r="C1569">
        <v>138</v>
      </c>
      <c r="D1569">
        <v>64</v>
      </c>
      <c r="E1569">
        <v>15</v>
      </c>
      <c r="F1569">
        <v>30</v>
      </c>
      <c r="G1569">
        <v>2</v>
      </c>
      <c r="H1569">
        <v>0</v>
      </c>
      <c r="I1569">
        <v>27</v>
      </c>
      <c r="J1569">
        <v>0</v>
      </c>
    </row>
    <row r="1570" spans="1:10" x14ac:dyDescent="0.25">
      <c r="A1570" t="s">
        <v>105</v>
      </c>
      <c r="B1570">
        <v>7172030015001800</v>
      </c>
      <c r="C1570">
        <v>121</v>
      </c>
      <c r="D1570">
        <v>0</v>
      </c>
      <c r="E1570">
        <v>2</v>
      </c>
      <c r="F1570">
        <v>117</v>
      </c>
      <c r="G1570">
        <v>0</v>
      </c>
      <c r="H1570">
        <v>0</v>
      </c>
      <c r="I1570">
        <v>2</v>
      </c>
      <c r="J1570">
        <v>0</v>
      </c>
    </row>
    <row r="1571" spans="1:10" x14ac:dyDescent="0.25">
      <c r="A1571" t="s">
        <v>105</v>
      </c>
      <c r="B1571">
        <v>7172030015001300</v>
      </c>
      <c r="C1571">
        <v>98</v>
      </c>
      <c r="D1571">
        <v>80</v>
      </c>
      <c r="E1571">
        <v>3</v>
      </c>
      <c r="F1571">
        <v>5</v>
      </c>
      <c r="G1571">
        <v>0</v>
      </c>
      <c r="H1571">
        <v>0</v>
      </c>
      <c r="I1571">
        <v>10</v>
      </c>
      <c r="J1571">
        <v>0</v>
      </c>
    </row>
    <row r="1572" spans="1:10" x14ac:dyDescent="0.25">
      <c r="A1572" t="s">
        <v>105</v>
      </c>
      <c r="B1572">
        <v>7172030015001200</v>
      </c>
      <c r="C1572">
        <v>67</v>
      </c>
      <c r="D1572">
        <v>67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</row>
    <row r="1573" spans="1:10" x14ac:dyDescent="0.25">
      <c r="A1573" t="s">
        <v>105</v>
      </c>
      <c r="B1573">
        <v>7172030015001703</v>
      </c>
      <c r="C1573">
        <v>54</v>
      </c>
      <c r="D1573">
        <v>0</v>
      </c>
      <c r="E1573">
        <v>9</v>
      </c>
      <c r="F1573">
        <v>22</v>
      </c>
      <c r="G1573">
        <v>0</v>
      </c>
      <c r="H1573">
        <v>0</v>
      </c>
      <c r="I1573">
        <v>23</v>
      </c>
      <c r="J1573">
        <v>0</v>
      </c>
    </row>
    <row r="1574" spans="1:10" x14ac:dyDescent="0.25">
      <c r="A1574" t="s">
        <v>97</v>
      </c>
      <c r="B1574">
        <v>7172030012000100</v>
      </c>
      <c r="C1574">
        <v>93</v>
      </c>
      <c r="D1574">
        <v>56</v>
      </c>
      <c r="E1574">
        <v>0</v>
      </c>
      <c r="F1574">
        <v>7</v>
      </c>
      <c r="G1574">
        <v>8</v>
      </c>
      <c r="H1574">
        <v>0</v>
      </c>
      <c r="I1574">
        <v>22</v>
      </c>
      <c r="J1574">
        <v>0</v>
      </c>
    </row>
    <row r="1575" spans="1:10" x14ac:dyDescent="0.25">
      <c r="A1575" t="s">
        <v>97</v>
      </c>
      <c r="B1575">
        <v>7172030012000300</v>
      </c>
      <c r="C1575">
        <v>91</v>
      </c>
      <c r="D1575">
        <v>81</v>
      </c>
      <c r="E1575">
        <v>2</v>
      </c>
      <c r="F1575">
        <v>0</v>
      </c>
      <c r="G1575">
        <v>5</v>
      </c>
      <c r="H1575">
        <v>0</v>
      </c>
      <c r="I1575">
        <v>3</v>
      </c>
      <c r="J1575">
        <v>0</v>
      </c>
    </row>
    <row r="1576" spans="1:10" x14ac:dyDescent="0.25">
      <c r="A1576" t="s">
        <v>97</v>
      </c>
      <c r="B1576">
        <v>7172030016000900</v>
      </c>
      <c r="C1576">
        <v>64</v>
      </c>
      <c r="D1576">
        <v>2</v>
      </c>
      <c r="E1576">
        <v>0</v>
      </c>
      <c r="F1576">
        <v>57</v>
      </c>
      <c r="G1576">
        <v>0</v>
      </c>
      <c r="H1576">
        <v>0</v>
      </c>
      <c r="I1576">
        <v>5</v>
      </c>
      <c r="J1576">
        <v>0</v>
      </c>
    </row>
    <row r="1577" spans="1:10" x14ac:dyDescent="0.25">
      <c r="A1577" t="s">
        <v>97</v>
      </c>
      <c r="B1577">
        <v>7172030016000600</v>
      </c>
      <c r="C1577">
        <v>62</v>
      </c>
      <c r="D1577">
        <v>4</v>
      </c>
      <c r="E1577">
        <v>0</v>
      </c>
      <c r="F1577">
        <v>56</v>
      </c>
      <c r="G1577">
        <v>0</v>
      </c>
      <c r="H1577">
        <v>0</v>
      </c>
      <c r="I1577">
        <v>2</v>
      </c>
      <c r="J1577">
        <v>0</v>
      </c>
    </row>
    <row r="1578" spans="1:10" x14ac:dyDescent="0.25">
      <c r="A1578" t="s">
        <v>97</v>
      </c>
      <c r="B1578">
        <v>7172030016000300</v>
      </c>
      <c r="C1578">
        <v>59</v>
      </c>
      <c r="D1578">
        <v>38</v>
      </c>
      <c r="E1578">
        <v>0</v>
      </c>
      <c r="F1578">
        <v>16</v>
      </c>
      <c r="G1578">
        <v>0</v>
      </c>
      <c r="H1578">
        <v>0</v>
      </c>
      <c r="I1578">
        <v>5</v>
      </c>
      <c r="J1578">
        <v>0</v>
      </c>
    </row>
    <row r="1579" spans="1:10" x14ac:dyDescent="0.25">
      <c r="A1579" t="s">
        <v>97</v>
      </c>
      <c r="B1579">
        <v>7172030016000400</v>
      </c>
      <c r="C1579">
        <v>57</v>
      </c>
      <c r="D1579">
        <v>8</v>
      </c>
      <c r="E1579">
        <v>0</v>
      </c>
      <c r="F1579">
        <v>49</v>
      </c>
      <c r="G1579">
        <v>0</v>
      </c>
      <c r="H1579">
        <v>0</v>
      </c>
      <c r="I1579">
        <v>0</v>
      </c>
      <c r="J1579">
        <v>0</v>
      </c>
    </row>
    <row r="1580" spans="1:10" x14ac:dyDescent="0.25">
      <c r="A1580" t="s">
        <v>97</v>
      </c>
      <c r="B1580">
        <v>7172030016000200</v>
      </c>
      <c r="C1580">
        <v>48</v>
      </c>
      <c r="D1580">
        <v>13</v>
      </c>
      <c r="E1580">
        <v>0</v>
      </c>
      <c r="F1580">
        <v>5</v>
      </c>
      <c r="G1580">
        <v>0</v>
      </c>
      <c r="H1580">
        <v>0</v>
      </c>
      <c r="I1580">
        <v>30</v>
      </c>
      <c r="J1580">
        <v>0</v>
      </c>
    </row>
    <row r="1581" spans="1:10" x14ac:dyDescent="0.25">
      <c r="A1581" t="s">
        <v>97</v>
      </c>
      <c r="B1581">
        <v>7172030016000800</v>
      </c>
      <c r="C1581">
        <v>47</v>
      </c>
      <c r="D1581">
        <v>6</v>
      </c>
      <c r="E1581">
        <v>0</v>
      </c>
      <c r="F1581">
        <v>40</v>
      </c>
      <c r="G1581">
        <v>0</v>
      </c>
      <c r="H1581">
        <v>0</v>
      </c>
      <c r="I1581">
        <v>1</v>
      </c>
      <c r="J1581">
        <v>0</v>
      </c>
    </row>
    <row r="1582" spans="1:10" x14ac:dyDescent="0.25">
      <c r="A1582" t="s">
        <v>97</v>
      </c>
      <c r="B1582">
        <v>7172030016000700</v>
      </c>
      <c r="C1582">
        <v>46</v>
      </c>
      <c r="D1582">
        <v>7</v>
      </c>
      <c r="E1582">
        <v>0</v>
      </c>
      <c r="F1582">
        <v>39</v>
      </c>
      <c r="G1582">
        <v>0</v>
      </c>
      <c r="H1582">
        <v>0</v>
      </c>
      <c r="I1582">
        <v>0</v>
      </c>
      <c r="J1582">
        <v>0</v>
      </c>
    </row>
    <row r="1583" spans="1:10" x14ac:dyDescent="0.25">
      <c r="A1583" t="s">
        <v>97</v>
      </c>
      <c r="B1583">
        <v>7172030016000100</v>
      </c>
      <c r="C1583">
        <v>33</v>
      </c>
      <c r="D1583">
        <v>2</v>
      </c>
      <c r="E1583">
        <v>0</v>
      </c>
      <c r="F1583">
        <v>28</v>
      </c>
      <c r="G1583">
        <v>0</v>
      </c>
      <c r="H1583">
        <v>0</v>
      </c>
      <c r="I1583">
        <v>3</v>
      </c>
      <c r="J1583">
        <v>0</v>
      </c>
    </row>
    <row r="1584" spans="1:10" x14ac:dyDescent="0.25">
      <c r="A1584" t="s">
        <v>97</v>
      </c>
      <c r="B1584">
        <v>7172030016000500</v>
      </c>
      <c r="C1584">
        <v>33</v>
      </c>
      <c r="D1584">
        <v>2</v>
      </c>
      <c r="E1584">
        <v>0</v>
      </c>
      <c r="F1584">
        <v>31</v>
      </c>
      <c r="G1584">
        <v>0</v>
      </c>
      <c r="H1584">
        <v>0</v>
      </c>
      <c r="I1584">
        <v>0</v>
      </c>
      <c r="J1584">
        <v>0</v>
      </c>
    </row>
    <row r="1585" spans="1:10" x14ac:dyDescent="0.25">
      <c r="A1585" t="s">
        <v>109</v>
      </c>
      <c r="B1585">
        <v>7172031001000700</v>
      </c>
      <c r="C1585">
        <v>99</v>
      </c>
      <c r="D1585">
        <v>60</v>
      </c>
      <c r="E1585">
        <v>14</v>
      </c>
      <c r="F1585">
        <v>25</v>
      </c>
      <c r="G1585">
        <v>0</v>
      </c>
      <c r="H1585">
        <v>0</v>
      </c>
      <c r="I1585">
        <v>0</v>
      </c>
      <c r="J1585">
        <v>0</v>
      </c>
    </row>
    <row r="1586" spans="1:10" x14ac:dyDescent="0.25">
      <c r="A1586" t="s">
        <v>109</v>
      </c>
      <c r="B1586">
        <v>7172031001000800</v>
      </c>
      <c r="C1586">
        <v>59</v>
      </c>
      <c r="D1586">
        <v>51</v>
      </c>
      <c r="E1586">
        <v>7</v>
      </c>
      <c r="F1586">
        <v>1</v>
      </c>
      <c r="G1586">
        <v>0</v>
      </c>
      <c r="H1586">
        <v>0</v>
      </c>
      <c r="I1586">
        <v>0</v>
      </c>
      <c r="J1586">
        <v>0</v>
      </c>
    </row>
    <row r="1587" spans="1:10" x14ac:dyDescent="0.25">
      <c r="A1587" t="s">
        <v>109</v>
      </c>
      <c r="B1587">
        <v>7172031001001200</v>
      </c>
      <c r="C1587">
        <v>58</v>
      </c>
      <c r="D1587">
        <v>0</v>
      </c>
      <c r="E1587">
        <v>0</v>
      </c>
      <c r="F1587">
        <v>58</v>
      </c>
      <c r="G1587">
        <v>0</v>
      </c>
      <c r="H1587">
        <v>0</v>
      </c>
      <c r="I1587">
        <v>0</v>
      </c>
      <c r="J1587">
        <v>0</v>
      </c>
    </row>
    <row r="1588" spans="1:10" x14ac:dyDescent="0.25">
      <c r="A1588" t="s">
        <v>109</v>
      </c>
      <c r="B1588">
        <v>7172031001001400</v>
      </c>
      <c r="C1588">
        <v>56</v>
      </c>
      <c r="D1588">
        <v>47</v>
      </c>
      <c r="E1588">
        <v>7</v>
      </c>
      <c r="F1588">
        <v>2</v>
      </c>
      <c r="G1588">
        <v>0</v>
      </c>
      <c r="H1588">
        <v>0</v>
      </c>
      <c r="I1588">
        <v>0</v>
      </c>
      <c r="J1588">
        <v>0</v>
      </c>
    </row>
    <row r="1589" spans="1:10" x14ac:dyDescent="0.25">
      <c r="A1589" t="s">
        <v>109</v>
      </c>
      <c r="B1589">
        <v>7172031001001100</v>
      </c>
      <c r="C1589">
        <v>50</v>
      </c>
      <c r="D1589">
        <v>1</v>
      </c>
      <c r="E1589">
        <v>1</v>
      </c>
      <c r="F1589">
        <v>48</v>
      </c>
      <c r="G1589">
        <v>0</v>
      </c>
      <c r="H1589">
        <v>0</v>
      </c>
      <c r="I1589">
        <v>0</v>
      </c>
      <c r="J1589">
        <v>0</v>
      </c>
    </row>
    <row r="1590" spans="1:10" x14ac:dyDescent="0.25">
      <c r="A1590" t="s">
        <v>109</v>
      </c>
      <c r="B1590">
        <v>7172031001000600</v>
      </c>
      <c r="C1590">
        <v>49</v>
      </c>
      <c r="D1590">
        <v>31</v>
      </c>
      <c r="E1590">
        <v>8</v>
      </c>
      <c r="F1590">
        <v>10</v>
      </c>
      <c r="G1590">
        <v>0</v>
      </c>
      <c r="H1590">
        <v>0</v>
      </c>
      <c r="I1590">
        <v>0</v>
      </c>
      <c r="J1590">
        <v>0</v>
      </c>
    </row>
    <row r="1591" spans="1:10" x14ac:dyDescent="0.25">
      <c r="A1591" t="s">
        <v>109</v>
      </c>
      <c r="B1591">
        <v>7172031001000400</v>
      </c>
      <c r="C1591">
        <v>47</v>
      </c>
      <c r="D1591">
        <v>23</v>
      </c>
      <c r="E1591">
        <v>10</v>
      </c>
      <c r="F1591">
        <v>11</v>
      </c>
      <c r="G1591">
        <v>0</v>
      </c>
      <c r="H1591">
        <v>0</v>
      </c>
      <c r="I1591">
        <v>3</v>
      </c>
      <c r="J1591">
        <v>0</v>
      </c>
    </row>
    <row r="1592" spans="1:10" x14ac:dyDescent="0.25">
      <c r="A1592" t="s">
        <v>109</v>
      </c>
      <c r="B1592">
        <v>7172031001001300</v>
      </c>
      <c r="C1592">
        <v>47</v>
      </c>
      <c r="D1592">
        <v>44</v>
      </c>
      <c r="E1592">
        <v>3</v>
      </c>
      <c r="F1592">
        <v>0</v>
      </c>
      <c r="G1592">
        <v>0</v>
      </c>
      <c r="H1592">
        <v>0</v>
      </c>
      <c r="I1592">
        <v>0</v>
      </c>
      <c r="J1592">
        <v>0</v>
      </c>
    </row>
    <row r="1593" spans="1:10" x14ac:dyDescent="0.25">
      <c r="A1593" t="s">
        <v>109</v>
      </c>
      <c r="B1593">
        <v>7172031001000500</v>
      </c>
      <c r="C1593">
        <v>45</v>
      </c>
      <c r="D1593">
        <v>22</v>
      </c>
      <c r="E1593">
        <v>6</v>
      </c>
      <c r="F1593">
        <v>17</v>
      </c>
      <c r="G1593">
        <v>0</v>
      </c>
      <c r="H1593">
        <v>0</v>
      </c>
      <c r="I1593">
        <v>0</v>
      </c>
      <c r="J1593">
        <v>0</v>
      </c>
    </row>
    <row r="1594" spans="1:10" x14ac:dyDescent="0.25">
      <c r="A1594" t="s">
        <v>109</v>
      </c>
      <c r="B1594">
        <v>7172031001000200</v>
      </c>
      <c r="C1594">
        <v>43</v>
      </c>
      <c r="D1594">
        <v>40</v>
      </c>
      <c r="E1594">
        <v>3</v>
      </c>
      <c r="F1594">
        <v>0</v>
      </c>
      <c r="G1594">
        <v>0</v>
      </c>
      <c r="H1594">
        <v>0</v>
      </c>
      <c r="I1594">
        <v>0</v>
      </c>
      <c r="J1594">
        <v>0</v>
      </c>
    </row>
    <row r="1595" spans="1:10" x14ac:dyDescent="0.25">
      <c r="A1595" t="s">
        <v>109</v>
      </c>
      <c r="B1595">
        <v>7172031001000300</v>
      </c>
      <c r="C1595">
        <v>41</v>
      </c>
      <c r="D1595">
        <v>24</v>
      </c>
      <c r="E1595">
        <v>12</v>
      </c>
      <c r="F1595">
        <v>3</v>
      </c>
      <c r="G1595">
        <v>0</v>
      </c>
      <c r="H1595">
        <v>0</v>
      </c>
      <c r="I1595">
        <v>2</v>
      </c>
      <c r="J1595">
        <v>0</v>
      </c>
    </row>
    <row r="1596" spans="1:10" x14ac:dyDescent="0.25">
      <c r="A1596" t="s">
        <v>109</v>
      </c>
      <c r="B1596">
        <v>7172031001001000</v>
      </c>
      <c r="C1596">
        <v>40</v>
      </c>
      <c r="D1596">
        <v>29</v>
      </c>
      <c r="E1596">
        <v>5</v>
      </c>
      <c r="F1596">
        <v>6</v>
      </c>
      <c r="G1596">
        <v>0</v>
      </c>
      <c r="H1596">
        <v>0</v>
      </c>
      <c r="I1596">
        <v>0</v>
      </c>
      <c r="J1596">
        <v>0</v>
      </c>
    </row>
    <row r="1597" spans="1:10" x14ac:dyDescent="0.25">
      <c r="A1597" t="s">
        <v>109</v>
      </c>
      <c r="B1597">
        <v>7172031001000900</v>
      </c>
      <c r="C1597">
        <v>34</v>
      </c>
      <c r="D1597">
        <v>30</v>
      </c>
      <c r="E1597">
        <v>2</v>
      </c>
      <c r="F1597">
        <v>1</v>
      </c>
      <c r="G1597">
        <v>1</v>
      </c>
      <c r="H1597">
        <v>0</v>
      </c>
      <c r="I1597">
        <v>0</v>
      </c>
      <c r="J1597">
        <v>0</v>
      </c>
    </row>
    <row r="1598" spans="1:10" x14ac:dyDescent="0.25">
      <c r="A1598" t="s">
        <v>109</v>
      </c>
      <c r="B1598">
        <v>7172031001000100</v>
      </c>
      <c r="C1598">
        <v>33</v>
      </c>
      <c r="D1598">
        <v>29</v>
      </c>
      <c r="E1598">
        <v>1</v>
      </c>
      <c r="F1598">
        <v>2</v>
      </c>
      <c r="G1598">
        <v>0</v>
      </c>
      <c r="H1598">
        <v>0</v>
      </c>
      <c r="I1598">
        <v>1</v>
      </c>
      <c r="J1598">
        <v>0</v>
      </c>
    </row>
    <row r="1599" spans="1:10" x14ac:dyDescent="0.25">
      <c r="A1599" t="s">
        <v>113</v>
      </c>
      <c r="B1599">
        <v>7172031005001800</v>
      </c>
      <c r="C1599">
        <v>155</v>
      </c>
      <c r="D1599">
        <v>149</v>
      </c>
      <c r="E1599">
        <v>1</v>
      </c>
      <c r="F1599">
        <v>4</v>
      </c>
      <c r="G1599">
        <v>0</v>
      </c>
      <c r="H1599">
        <v>1</v>
      </c>
      <c r="I1599">
        <v>0</v>
      </c>
      <c r="J1599">
        <v>0</v>
      </c>
    </row>
    <row r="1600" spans="1:10" x14ac:dyDescent="0.25">
      <c r="A1600" t="s">
        <v>113</v>
      </c>
      <c r="B1600">
        <v>7172031002001200</v>
      </c>
      <c r="C1600">
        <v>99</v>
      </c>
      <c r="D1600">
        <v>0</v>
      </c>
      <c r="E1600">
        <v>0</v>
      </c>
      <c r="F1600">
        <v>99</v>
      </c>
      <c r="G1600">
        <v>0</v>
      </c>
      <c r="H1600">
        <v>0</v>
      </c>
      <c r="I1600">
        <v>0</v>
      </c>
      <c r="J1600">
        <v>0</v>
      </c>
    </row>
    <row r="1601" spans="1:10" x14ac:dyDescent="0.25">
      <c r="A1601" t="s">
        <v>113</v>
      </c>
      <c r="B1601">
        <v>7172031005001500</v>
      </c>
      <c r="C1601">
        <v>82</v>
      </c>
      <c r="D1601">
        <v>80</v>
      </c>
      <c r="E1601">
        <v>2</v>
      </c>
      <c r="F1601">
        <v>0</v>
      </c>
      <c r="G1601">
        <v>0</v>
      </c>
      <c r="H1601">
        <v>0</v>
      </c>
      <c r="I1601">
        <v>0</v>
      </c>
      <c r="J1601">
        <v>0</v>
      </c>
    </row>
    <row r="1602" spans="1:10" x14ac:dyDescent="0.25">
      <c r="A1602" t="s">
        <v>113</v>
      </c>
      <c r="B1602">
        <v>7172031005000800</v>
      </c>
      <c r="C1602">
        <v>81</v>
      </c>
      <c r="D1602">
        <v>10</v>
      </c>
      <c r="E1602">
        <v>3</v>
      </c>
      <c r="F1602">
        <v>68</v>
      </c>
      <c r="G1602">
        <v>0</v>
      </c>
      <c r="H1602">
        <v>0</v>
      </c>
      <c r="I1602">
        <v>0</v>
      </c>
      <c r="J1602">
        <v>0</v>
      </c>
    </row>
    <row r="1603" spans="1:10" x14ac:dyDescent="0.25">
      <c r="A1603" t="s">
        <v>113</v>
      </c>
      <c r="B1603">
        <v>7172031005001600</v>
      </c>
      <c r="C1603">
        <v>78</v>
      </c>
      <c r="D1603">
        <v>74</v>
      </c>
      <c r="E1603">
        <v>4</v>
      </c>
      <c r="F1603">
        <v>0</v>
      </c>
      <c r="G1603">
        <v>0</v>
      </c>
      <c r="H1603">
        <v>0</v>
      </c>
      <c r="I1603">
        <v>0</v>
      </c>
      <c r="J1603">
        <v>0</v>
      </c>
    </row>
    <row r="1604" spans="1:10" x14ac:dyDescent="0.25">
      <c r="A1604" t="s">
        <v>113</v>
      </c>
      <c r="B1604">
        <v>7172031005001300</v>
      </c>
      <c r="C1604">
        <v>74</v>
      </c>
      <c r="D1604">
        <v>24</v>
      </c>
      <c r="E1604">
        <v>1</v>
      </c>
      <c r="F1604">
        <v>49</v>
      </c>
      <c r="G1604">
        <v>0</v>
      </c>
      <c r="H1604">
        <v>0</v>
      </c>
      <c r="I1604">
        <v>0</v>
      </c>
      <c r="J1604">
        <v>0</v>
      </c>
    </row>
    <row r="1605" spans="1:10" x14ac:dyDescent="0.25">
      <c r="A1605" t="s">
        <v>113</v>
      </c>
      <c r="B1605">
        <v>7172031005001400</v>
      </c>
      <c r="C1605">
        <v>69</v>
      </c>
      <c r="D1605">
        <v>67</v>
      </c>
      <c r="E1605">
        <v>0</v>
      </c>
      <c r="F1605">
        <v>2</v>
      </c>
      <c r="G1605">
        <v>0</v>
      </c>
      <c r="H1605">
        <v>0</v>
      </c>
      <c r="I1605">
        <v>0</v>
      </c>
      <c r="J1605">
        <v>0</v>
      </c>
    </row>
    <row r="1606" spans="1:10" x14ac:dyDescent="0.25">
      <c r="A1606" t="s">
        <v>113</v>
      </c>
      <c r="B1606">
        <v>7172031003000100</v>
      </c>
      <c r="C1606">
        <v>53</v>
      </c>
      <c r="D1606">
        <v>23</v>
      </c>
      <c r="E1606">
        <v>12</v>
      </c>
      <c r="F1606">
        <v>17</v>
      </c>
      <c r="G1606">
        <v>0</v>
      </c>
      <c r="H1606">
        <v>0</v>
      </c>
      <c r="I1606">
        <v>1</v>
      </c>
      <c r="J1606">
        <v>0</v>
      </c>
    </row>
    <row r="1607" spans="1:10" x14ac:dyDescent="0.25">
      <c r="A1607" t="s">
        <v>114</v>
      </c>
      <c r="B1607">
        <v>7172031003001300</v>
      </c>
      <c r="C1607">
        <v>85</v>
      </c>
      <c r="D1607">
        <v>84</v>
      </c>
      <c r="E1607">
        <v>1</v>
      </c>
      <c r="F1607">
        <v>0</v>
      </c>
      <c r="G1607">
        <v>0</v>
      </c>
      <c r="H1607">
        <v>0</v>
      </c>
      <c r="I1607">
        <v>0</v>
      </c>
      <c r="J1607">
        <v>0</v>
      </c>
    </row>
    <row r="1608" spans="1:10" x14ac:dyDescent="0.25">
      <c r="A1608" t="s">
        <v>114</v>
      </c>
      <c r="B1608">
        <v>7172031003001000</v>
      </c>
      <c r="C1608">
        <v>73</v>
      </c>
      <c r="D1608">
        <v>69</v>
      </c>
      <c r="E1608">
        <v>0</v>
      </c>
      <c r="F1608">
        <v>3</v>
      </c>
      <c r="G1608">
        <v>0</v>
      </c>
      <c r="H1608">
        <v>1</v>
      </c>
      <c r="I1608">
        <v>0</v>
      </c>
      <c r="J1608">
        <v>0</v>
      </c>
    </row>
    <row r="1609" spans="1:10" x14ac:dyDescent="0.25">
      <c r="A1609" t="s">
        <v>114</v>
      </c>
      <c r="B1609">
        <v>7172031003000500</v>
      </c>
      <c r="C1609">
        <v>67</v>
      </c>
      <c r="D1609">
        <v>16</v>
      </c>
      <c r="E1609">
        <v>0</v>
      </c>
      <c r="F1609">
        <v>51</v>
      </c>
      <c r="G1609">
        <v>0</v>
      </c>
      <c r="H1609">
        <v>0</v>
      </c>
      <c r="I1609">
        <v>0</v>
      </c>
      <c r="J1609">
        <v>0</v>
      </c>
    </row>
    <row r="1610" spans="1:10" x14ac:dyDescent="0.25">
      <c r="A1610" t="s">
        <v>114</v>
      </c>
      <c r="B1610">
        <v>7172031003001600</v>
      </c>
      <c r="C1610">
        <v>66</v>
      </c>
      <c r="D1610">
        <v>2</v>
      </c>
      <c r="E1610">
        <v>6</v>
      </c>
      <c r="F1610">
        <v>58</v>
      </c>
      <c r="G1610">
        <v>0</v>
      </c>
      <c r="H1610">
        <v>0</v>
      </c>
      <c r="I1610">
        <v>0</v>
      </c>
      <c r="J1610">
        <v>0</v>
      </c>
    </row>
    <row r="1611" spans="1:10" x14ac:dyDescent="0.25">
      <c r="A1611" t="s">
        <v>114</v>
      </c>
      <c r="B1611">
        <v>7172031003000900</v>
      </c>
      <c r="C1611">
        <v>59</v>
      </c>
      <c r="D1611">
        <v>59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</row>
    <row r="1612" spans="1:10" x14ac:dyDescent="0.25">
      <c r="A1612" t="s">
        <v>114</v>
      </c>
      <c r="B1612">
        <v>7172031003000800</v>
      </c>
      <c r="C1612">
        <v>57</v>
      </c>
      <c r="D1612">
        <v>16</v>
      </c>
      <c r="E1612">
        <v>0</v>
      </c>
      <c r="F1612">
        <v>41</v>
      </c>
      <c r="G1612">
        <v>0</v>
      </c>
      <c r="H1612">
        <v>0</v>
      </c>
      <c r="I1612">
        <v>0</v>
      </c>
      <c r="J1612">
        <v>0</v>
      </c>
    </row>
    <row r="1613" spans="1:10" x14ac:dyDescent="0.25">
      <c r="A1613" t="s">
        <v>114</v>
      </c>
      <c r="B1613">
        <v>7172031003001500</v>
      </c>
      <c r="C1613">
        <v>49</v>
      </c>
      <c r="D1613">
        <v>44</v>
      </c>
      <c r="E1613">
        <v>1</v>
      </c>
      <c r="F1613">
        <v>4</v>
      </c>
      <c r="G1613">
        <v>0</v>
      </c>
      <c r="H1613">
        <v>0</v>
      </c>
      <c r="I1613">
        <v>0</v>
      </c>
      <c r="J1613">
        <v>0</v>
      </c>
    </row>
    <row r="1614" spans="1:10" x14ac:dyDescent="0.25">
      <c r="A1614" t="s">
        <v>114</v>
      </c>
      <c r="B1614">
        <v>7172031003000600</v>
      </c>
      <c r="C1614">
        <v>43</v>
      </c>
      <c r="D1614">
        <v>11</v>
      </c>
      <c r="E1614">
        <v>0</v>
      </c>
      <c r="F1614">
        <v>32</v>
      </c>
      <c r="G1614">
        <v>0</v>
      </c>
      <c r="H1614">
        <v>0</v>
      </c>
      <c r="I1614">
        <v>0</v>
      </c>
      <c r="J1614">
        <v>0</v>
      </c>
    </row>
    <row r="1615" spans="1:10" x14ac:dyDescent="0.25">
      <c r="A1615" t="s">
        <v>114</v>
      </c>
      <c r="B1615">
        <v>7172031003000700</v>
      </c>
      <c r="C1615">
        <v>40</v>
      </c>
      <c r="D1615">
        <v>9</v>
      </c>
      <c r="E1615">
        <v>0</v>
      </c>
      <c r="F1615">
        <v>31</v>
      </c>
      <c r="G1615">
        <v>0</v>
      </c>
      <c r="H1615">
        <v>0</v>
      </c>
      <c r="I1615">
        <v>0</v>
      </c>
      <c r="J1615">
        <v>0</v>
      </c>
    </row>
    <row r="1616" spans="1:10" x14ac:dyDescent="0.25">
      <c r="A1616" t="s">
        <v>114</v>
      </c>
      <c r="B1616">
        <v>7172031003001100</v>
      </c>
      <c r="C1616">
        <v>40</v>
      </c>
      <c r="D1616">
        <v>36</v>
      </c>
      <c r="E1616">
        <v>2</v>
      </c>
      <c r="F1616">
        <v>2</v>
      </c>
      <c r="G1616">
        <v>0</v>
      </c>
      <c r="H1616">
        <v>0</v>
      </c>
      <c r="I1616">
        <v>0</v>
      </c>
      <c r="J1616">
        <v>0</v>
      </c>
    </row>
    <row r="1617" spans="1:10" x14ac:dyDescent="0.25">
      <c r="A1617" t="s">
        <v>114</v>
      </c>
      <c r="B1617">
        <v>7172031003000300</v>
      </c>
      <c r="C1617">
        <v>39</v>
      </c>
      <c r="D1617">
        <v>0</v>
      </c>
      <c r="E1617">
        <v>0</v>
      </c>
      <c r="F1617">
        <v>39</v>
      </c>
      <c r="G1617">
        <v>0</v>
      </c>
      <c r="H1617">
        <v>0</v>
      </c>
      <c r="I1617">
        <v>0</v>
      </c>
      <c r="J1617">
        <v>0</v>
      </c>
    </row>
    <row r="1618" spans="1:10" x14ac:dyDescent="0.25">
      <c r="A1618" t="s">
        <v>114</v>
      </c>
      <c r="B1618">
        <v>7172031003000400</v>
      </c>
      <c r="C1618">
        <v>38</v>
      </c>
      <c r="D1618">
        <v>16</v>
      </c>
      <c r="E1618">
        <v>1</v>
      </c>
      <c r="F1618">
        <v>21</v>
      </c>
      <c r="G1618">
        <v>0</v>
      </c>
      <c r="H1618">
        <v>0</v>
      </c>
      <c r="I1618">
        <v>0</v>
      </c>
      <c r="J1618">
        <v>0</v>
      </c>
    </row>
    <row r="1619" spans="1:10" x14ac:dyDescent="0.25">
      <c r="A1619" t="s">
        <v>114</v>
      </c>
      <c r="B1619">
        <v>7172031003001200</v>
      </c>
      <c r="C1619">
        <v>38</v>
      </c>
      <c r="D1619">
        <v>36</v>
      </c>
      <c r="E1619">
        <v>0</v>
      </c>
      <c r="F1619">
        <v>1</v>
      </c>
      <c r="G1619">
        <v>0</v>
      </c>
      <c r="H1619">
        <v>0</v>
      </c>
      <c r="I1619">
        <v>1</v>
      </c>
      <c r="J1619">
        <v>0</v>
      </c>
    </row>
    <row r="1620" spans="1:10" x14ac:dyDescent="0.25">
      <c r="A1620" t="s">
        <v>121</v>
      </c>
      <c r="B1620">
        <v>7172031006000500</v>
      </c>
      <c r="C1620">
        <v>221</v>
      </c>
      <c r="D1620">
        <v>62</v>
      </c>
      <c r="E1620">
        <v>55</v>
      </c>
      <c r="F1620">
        <v>103</v>
      </c>
      <c r="G1620">
        <v>0</v>
      </c>
      <c r="H1620">
        <v>0</v>
      </c>
      <c r="I1620">
        <v>1</v>
      </c>
      <c r="J1620">
        <v>0</v>
      </c>
    </row>
    <row r="1621" spans="1:10" x14ac:dyDescent="0.25">
      <c r="A1621" t="s">
        <v>121</v>
      </c>
      <c r="B1621">
        <v>7172031006001100</v>
      </c>
      <c r="C1621">
        <v>209</v>
      </c>
      <c r="D1621">
        <v>188</v>
      </c>
      <c r="E1621">
        <v>3</v>
      </c>
      <c r="F1621">
        <v>6</v>
      </c>
      <c r="G1621">
        <v>0</v>
      </c>
      <c r="H1621">
        <v>0</v>
      </c>
      <c r="I1621">
        <v>12</v>
      </c>
      <c r="J1621">
        <v>0</v>
      </c>
    </row>
    <row r="1622" spans="1:10" x14ac:dyDescent="0.25">
      <c r="A1622" t="s">
        <v>121</v>
      </c>
      <c r="B1622">
        <v>7172031006000600</v>
      </c>
      <c r="C1622">
        <v>127</v>
      </c>
      <c r="D1622">
        <v>108</v>
      </c>
      <c r="E1622">
        <v>6</v>
      </c>
      <c r="F1622">
        <v>9</v>
      </c>
      <c r="G1622">
        <v>0</v>
      </c>
      <c r="H1622">
        <v>0</v>
      </c>
      <c r="I1622">
        <v>4</v>
      </c>
      <c r="J1622">
        <v>0</v>
      </c>
    </row>
    <row r="1623" spans="1:10" x14ac:dyDescent="0.25">
      <c r="A1623" t="s">
        <v>121</v>
      </c>
      <c r="B1623">
        <v>7172031007002600</v>
      </c>
      <c r="C1623">
        <v>72</v>
      </c>
      <c r="D1623">
        <v>0</v>
      </c>
      <c r="E1623">
        <v>0</v>
      </c>
      <c r="F1623">
        <v>72</v>
      </c>
      <c r="G1623">
        <v>0</v>
      </c>
      <c r="H1623">
        <v>0</v>
      </c>
      <c r="I1623">
        <v>0</v>
      </c>
      <c r="J1623">
        <v>0</v>
      </c>
    </row>
    <row r="1624" spans="1:10" x14ac:dyDescent="0.25">
      <c r="A1624" t="s">
        <v>121</v>
      </c>
      <c r="B1624">
        <v>7172031007002900</v>
      </c>
      <c r="C1624">
        <v>61</v>
      </c>
      <c r="D1624">
        <v>0</v>
      </c>
      <c r="E1624">
        <v>0</v>
      </c>
      <c r="F1624">
        <v>61</v>
      </c>
      <c r="G1624">
        <v>0</v>
      </c>
      <c r="H1624">
        <v>0</v>
      </c>
      <c r="I1624">
        <v>0</v>
      </c>
      <c r="J1624">
        <v>0</v>
      </c>
    </row>
    <row r="1625" spans="1:10" x14ac:dyDescent="0.25">
      <c r="A1625" t="s">
        <v>125</v>
      </c>
      <c r="B1625">
        <v>7172031007000200</v>
      </c>
      <c r="C1625">
        <v>160</v>
      </c>
      <c r="D1625">
        <v>59</v>
      </c>
      <c r="E1625">
        <v>22</v>
      </c>
      <c r="F1625">
        <v>56</v>
      </c>
      <c r="G1625">
        <v>0</v>
      </c>
      <c r="H1625">
        <v>0</v>
      </c>
      <c r="I1625">
        <v>23</v>
      </c>
      <c r="J1625">
        <v>0</v>
      </c>
    </row>
    <row r="1626" spans="1:10" x14ac:dyDescent="0.25">
      <c r="A1626" t="s">
        <v>125</v>
      </c>
      <c r="B1626">
        <v>7172031007000100</v>
      </c>
      <c r="C1626">
        <v>154</v>
      </c>
      <c r="D1626">
        <v>0</v>
      </c>
      <c r="E1626">
        <v>0</v>
      </c>
      <c r="F1626">
        <v>154</v>
      </c>
      <c r="G1626">
        <v>0</v>
      </c>
      <c r="H1626">
        <v>0</v>
      </c>
      <c r="I1626">
        <v>0</v>
      </c>
      <c r="J1626">
        <v>0</v>
      </c>
    </row>
    <row r="1627" spans="1:10" x14ac:dyDescent="0.25">
      <c r="A1627" t="s">
        <v>125</v>
      </c>
      <c r="B1627">
        <v>7172031007000800</v>
      </c>
      <c r="C1627">
        <v>135</v>
      </c>
      <c r="D1627">
        <v>124</v>
      </c>
      <c r="E1627">
        <v>6</v>
      </c>
      <c r="F1627">
        <v>4</v>
      </c>
      <c r="G1627">
        <v>1</v>
      </c>
      <c r="H1627">
        <v>0</v>
      </c>
      <c r="I1627">
        <v>0</v>
      </c>
      <c r="J1627">
        <v>0</v>
      </c>
    </row>
    <row r="1628" spans="1:10" x14ac:dyDescent="0.25">
      <c r="A1628" t="s">
        <v>125</v>
      </c>
      <c r="B1628">
        <v>7172031007000400</v>
      </c>
      <c r="C1628">
        <v>107</v>
      </c>
      <c r="D1628">
        <v>68</v>
      </c>
      <c r="E1628">
        <v>14</v>
      </c>
      <c r="F1628">
        <v>21</v>
      </c>
      <c r="G1628">
        <v>3</v>
      </c>
      <c r="H1628">
        <v>0</v>
      </c>
      <c r="I1628">
        <v>1</v>
      </c>
      <c r="J1628">
        <v>0</v>
      </c>
    </row>
    <row r="1629" spans="1:10" x14ac:dyDescent="0.25">
      <c r="A1629" t="s">
        <v>125</v>
      </c>
      <c r="B1629">
        <v>7172031007000500</v>
      </c>
      <c r="C1629">
        <v>105</v>
      </c>
      <c r="D1629">
        <v>91</v>
      </c>
      <c r="E1629">
        <v>11</v>
      </c>
      <c r="F1629">
        <v>0</v>
      </c>
      <c r="G1629">
        <v>3</v>
      </c>
      <c r="H1629">
        <v>0</v>
      </c>
      <c r="I1629">
        <v>0</v>
      </c>
      <c r="J1629">
        <v>0</v>
      </c>
    </row>
    <row r="1630" spans="1:10" x14ac:dyDescent="0.25">
      <c r="A1630" t="s">
        <v>125</v>
      </c>
      <c r="B1630">
        <v>7172031007002500</v>
      </c>
      <c r="C1630">
        <v>87</v>
      </c>
      <c r="D1630">
        <v>86</v>
      </c>
      <c r="E1630">
        <v>1</v>
      </c>
      <c r="F1630">
        <v>0</v>
      </c>
      <c r="G1630">
        <v>0</v>
      </c>
      <c r="H1630">
        <v>0</v>
      </c>
      <c r="I1630">
        <v>0</v>
      </c>
      <c r="J1630">
        <v>0</v>
      </c>
    </row>
    <row r="1631" spans="1:10" x14ac:dyDescent="0.25">
      <c r="A1631" t="s">
        <v>125</v>
      </c>
      <c r="B1631">
        <v>7172031008000400</v>
      </c>
      <c r="C1631">
        <v>34</v>
      </c>
      <c r="D1631">
        <v>34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</row>
    <row r="1632" spans="1:10" x14ac:dyDescent="0.25">
      <c r="A1632" t="s">
        <v>123</v>
      </c>
      <c r="B1632">
        <v>7172031007002700</v>
      </c>
      <c r="C1632">
        <v>182</v>
      </c>
      <c r="D1632">
        <v>177</v>
      </c>
      <c r="E1632">
        <v>3</v>
      </c>
      <c r="F1632">
        <v>2</v>
      </c>
      <c r="G1632">
        <v>0</v>
      </c>
      <c r="H1632">
        <v>0</v>
      </c>
      <c r="I1632">
        <v>0</v>
      </c>
      <c r="J1632">
        <v>0</v>
      </c>
    </row>
    <row r="1633" spans="1:10" x14ac:dyDescent="0.25">
      <c r="A1633" t="s">
        <v>123</v>
      </c>
      <c r="B1633">
        <v>7172031006000800</v>
      </c>
      <c r="C1633">
        <v>130</v>
      </c>
      <c r="D1633">
        <v>31</v>
      </c>
      <c r="E1633">
        <v>0</v>
      </c>
      <c r="F1633">
        <v>99</v>
      </c>
      <c r="G1633">
        <v>0</v>
      </c>
      <c r="H1633">
        <v>0</v>
      </c>
      <c r="I1633">
        <v>0</v>
      </c>
      <c r="J1633">
        <v>0</v>
      </c>
    </row>
    <row r="1634" spans="1:10" x14ac:dyDescent="0.25">
      <c r="A1634" t="s">
        <v>123</v>
      </c>
      <c r="B1634">
        <v>7172031008000200</v>
      </c>
      <c r="C1634">
        <v>105</v>
      </c>
      <c r="D1634">
        <v>80</v>
      </c>
      <c r="E1634">
        <v>0</v>
      </c>
      <c r="F1634">
        <v>24</v>
      </c>
      <c r="G1634">
        <v>1</v>
      </c>
      <c r="H1634">
        <v>0</v>
      </c>
      <c r="I1634">
        <v>0</v>
      </c>
      <c r="J1634">
        <v>0</v>
      </c>
    </row>
    <row r="1635" spans="1:10" x14ac:dyDescent="0.25">
      <c r="A1635" t="s">
        <v>123</v>
      </c>
      <c r="B1635">
        <v>7172031007000300</v>
      </c>
      <c r="C1635">
        <v>99</v>
      </c>
      <c r="D1635">
        <v>7</v>
      </c>
      <c r="E1635">
        <v>0</v>
      </c>
      <c r="F1635">
        <v>92</v>
      </c>
      <c r="G1635">
        <v>0</v>
      </c>
      <c r="H1635">
        <v>0</v>
      </c>
      <c r="I1635">
        <v>0</v>
      </c>
      <c r="J1635">
        <v>0</v>
      </c>
    </row>
    <row r="1636" spans="1:10" x14ac:dyDescent="0.25">
      <c r="A1636" t="s">
        <v>123</v>
      </c>
      <c r="B1636">
        <v>7172031008000100</v>
      </c>
      <c r="C1636">
        <v>95</v>
      </c>
      <c r="D1636">
        <v>89</v>
      </c>
      <c r="E1636">
        <v>1</v>
      </c>
      <c r="F1636">
        <v>4</v>
      </c>
      <c r="G1636">
        <v>1</v>
      </c>
      <c r="H1636">
        <v>0</v>
      </c>
      <c r="I1636">
        <v>0</v>
      </c>
      <c r="J1636">
        <v>0</v>
      </c>
    </row>
    <row r="1637" spans="1:10" x14ac:dyDescent="0.25">
      <c r="A1637" t="s">
        <v>123</v>
      </c>
      <c r="B1637">
        <v>7172031007002800</v>
      </c>
      <c r="C1637">
        <v>52</v>
      </c>
      <c r="D1637">
        <v>20</v>
      </c>
      <c r="E1637">
        <v>0</v>
      </c>
      <c r="F1637">
        <v>32</v>
      </c>
      <c r="G1637">
        <v>0</v>
      </c>
      <c r="H1637">
        <v>0</v>
      </c>
      <c r="I1637">
        <v>0</v>
      </c>
      <c r="J1637">
        <v>0</v>
      </c>
    </row>
    <row r="1638" spans="1:10" x14ac:dyDescent="0.25">
      <c r="A1638" t="s">
        <v>126</v>
      </c>
      <c r="B1638">
        <v>7172031007000600</v>
      </c>
      <c r="C1638">
        <v>185</v>
      </c>
      <c r="D1638">
        <v>180</v>
      </c>
      <c r="E1638">
        <v>4</v>
      </c>
      <c r="F1638">
        <v>0</v>
      </c>
      <c r="G1638">
        <v>1</v>
      </c>
      <c r="H1638">
        <v>0</v>
      </c>
      <c r="I1638">
        <v>0</v>
      </c>
      <c r="J1638">
        <v>0</v>
      </c>
    </row>
    <row r="1639" spans="1:10" x14ac:dyDescent="0.25">
      <c r="A1639" t="s">
        <v>126</v>
      </c>
      <c r="B1639">
        <v>7172031007000700</v>
      </c>
      <c r="C1639">
        <v>125</v>
      </c>
      <c r="D1639">
        <v>102</v>
      </c>
      <c r="E1639">
        <v>11</v>
      </c>
      <c r="F1639">
        <v>11</v>
      </c>
      <c r="G1639">
        <v>0</v>
      </c>
      <c r="H1639">
        <v>1</v>
      </c>
      <c r="I1639">
        <v>0</v>
      </c>
      <c r="J1639">
        <v>0</v>
      </c>
    </row>
    <row r="1640" spans="1:10" x14ac:dyDescent="0.25">
      <c r="A1640" t="s">
        <v>126</v>
      </c>
      <c r="B1640">
        <v>7172031007000900</v>
      </c>
      <c r="C1640">
        <v>120</v>
      </c>
      <c r="D1640">
        <v>34</v>
      </c>
      <c r="E1640">
        <v>20</v>
      </c>
      <c r="F1640">
        <v>54</v>
      </c>
      <c r="G1640">
        <v>0</v>
      </c>
      <c r="H1640">
        <v>1</v>
      </c>
      <c r="I1640">
        <v>11</v>
      </c>
      <c r="J1640">
        <v>0</v>
      </c>
    </row>
    <row r="1641" spans="1:10" x14ac:dyDescent="0.25">
      <c r="A1641" t="s">
        <v>126</v>
      </c>
      <c r="B1641">
        <v>7172031007001400</v>
      </c>
      <c r="C1641">
        <v>117</v>
      </c>
      <c r="D1641">
        <v>0</v>
      </c>
      <c r="E1641">
        <v>0</v>
      </c>
      <c r="F1641">
        <v>117</v>
      </c>
      <c r="G1641">
        <v>0</v>
      </c>
      <c r="H1641">
        <v>0</v>
      </c>
      <c r="I1641">
        <v>0</v>
      </c>
      <c r="J1641">
        <v>0</v>
      </c>
    </row>
    <row r="1642" spans="1:10" x14ac:dyDescent="0.25">
      <c r="A1642" t="s">
        <v>126</v>
      </c>
      <c r="B1642">
        <v>7172031007001300</v>
      </c>
      <c r="C1642">
        <v>94</v>
      </c>
      <c r="D1642">
        <v>0</v>
      </c>
      <c r="E1642">
        <v>0</v>
      </c>
      <c r="F1642">
        <v>94</v>
      </c>
      <c r="G1642">
        <v>0</v>
      </c>
      <c r="H1642">
        <v>0</v>
      </c>
      <c r="I1642">
        <v>0</v>
      </c>
      <c r="J1642">
        <v>0</v>
      </c>
    </row>
    <row r="1643" spans="1:10" x14ac:dyDescent="0.25">
      <c r="A1643" t="s">
        <v>126</v>
      </c>
      <c r="B1643">
        <v>7172031007001100</v>
      </c>
      <c r="C1643">
        <v>54</v>
      </c>
      <c r="D1643">
        <v>2</v>
      </c>
      <c r="E1643">
        <v>0</v>
      </c>
      <c r="F1643">
        <v>52</v>
      </c>
      <c r="G1643">
        <v>0</v>
      </c>
      <c r="H1643">
        <v>0</v>
      </c>
      <c r="I1643">
        <v>0</v>
      </c>
      <c r="J1643">
        <v>0</v>
      </c>
    </row>
    <row r="1644" spans="1:10" x14ac:dyDescent="0.25">
      <c r="A1644" t="s">
        <v>128</v>
      </c>
      <c r="B1644">
        <v>7172031007001900</v>
      </c>
      <c r="C1644">
        <v>160</v>
      </c>
      <c r="D1644">
        <v>124</v>
      </c>
      <c r="E1644">
        <v>23</v>
      </c>
      <c r="F1644">
        <v>2</v>
      </c>
      <c r="G1644">
        <v>0</v>
      </c>
      <c r="H1644">
        <v>3</v>
      </c>
      <c r="I1644">
        <v>8</v>
      </c>
      <c r="J1644">
        <v>0</v>
      </c>
    </row>
    <row r="1645" spans="1:10" x14ac:dyDescent="0.25">
      <c r="A1645" t="s">
        <v>128</v>
      </c>
      <c r="B1645">
        <v>7172031007002200</v>
      </c>
      <c r="C1645">
        <v>120</v>
      </c>
      <c r="D1645">
        <v>42</v>
      </c>
      <c r="E1645">
        <v>0</v>
      </c>
      <c r="F1645">
        <v>77</v>
      </c>
      <c r="G1645">
        <v>0</v>
      </c>
      <c r="H1645">
        <v>1</v>
      </c>
      <c r="I1645">
        <v>0</v>
      </c>
      <c r="J1645">
        <v>0</v>
      </c>
    </row>
    <row r="1646" spans="1:10" x14ac:dyDescent="0.25">
      <c r="A1646" t="s">
        <v>128</v>
      </c>
      <c r="B1646">
        <v>7172031007002400</v>
      </c>
      <c r="C1646">
        <v>108</v>
      </c>
      <c r="D1646">
        <v>65</v>
      </c>
      <c r="E1646">
        <v>6</v>
      </c>
      <c r="F1646">
        <v>21</v>
      </c>
      <c r="G1646">
        <v>1</v>
      </c>
      <c r="H1646">
        <v>0</v>
      </c>
      <c r="I1646">
        <v>15</v>
      </c>
      <c r="J1646">
        <v>0</v>
      </c>
    </row>
    <row r="1647" spans="1:10" x14ac:dyDescent="0.25">
      <c r="A1647" t="s">
        <v>128</v>
      </c>
      <c r="B1647">
        <v>7172031007002100</v>
      </c>
      <c r="C1647">
        <v>103</v>
      </c>
      <c r="D1647">
        <v>33</v>
      </c>
      <c r="E1647">
        <v>3</v>
      </c>
      <c r="F1647">
        <v>67</v>
      </c>
      <c r="G1647">
        <v>0</v>
      </c>
      <c r="H1647">
        <v>0</v>
      </c>
      <c r="I1647">
        <v>0</v>
      </c>
      <c r="J1647">
        <v>0</v>
      </c>
    </row>
    <row r="1648" spans="1:10" x14ac:dyDescent="0.25">
      <c r="A1648" t="s">
        <v>128</v>
      </c>
      <c r="B1648">
        <v>7172031007001500</v>
      </c>
      <c r="C1648">
        <v>92</v>
      </c>
      <c r="D1648">
        <v>90</v>
      </c>
      <c r="E1648">
        <v>1</v>
      </c>
      <c r="F1648">
        <v>0</v>
      </c>
      <c r="G1648">
        <v>0</v>
      </c>
      <c r="H1648">
        <v>1</v>
      </c>
      <c r="I1648">
        <v>0</v>
      </c>
      <c r="J1648">
        <v>0</v>
      </c>
    </row>
    <row r="1649" spans="1:10" x14ac:dyDescent="0.25">
      <c r="A1649" t="s">
        <v>128</v>
      </c>
      <c r="B1649">
        <v>7172031007002300</v>
      </c>
      <c r="C1649">
        <v>72</v>
      </c>
      <c r="D1649">
        <v>13</v>
      </c>
      <c r="E1649">
        <v>0</v>
      </c>
      <c r="F1649">
        <v>59</v>
      </c>
      <c r="G1649">
        <v>0</v>
      </c>
      <c r="H1649">
        <v>0</v>
      </c>
      <c r="I1649">
        <v>0</v>
      </c>
      <c r="J1649">
        <v>0</v>
      </c>
    </row>
    <row r="1650" spans="1:10" x14ac:dyDescent="0.25">
      <c r="A1650" t="s">
        <v>131</v>
      </c>
      <c r="B1650">
        <v>7172040007000300</v>
      </c>
      <c r="C1650">
        <v>100</v>
      </c>
      <c r="D1650">
        <v>96</v>
      </c>
      <c r="E1650">
        <v>0</v>
      </c>
      <c r="F1650">
        <v>1</v>
      </c>
      <c r="G1650">
        <v>2</v>
      </c>
      <c r="H1650">
        <v>1</v>
      </c>
      <c r="I1650">
        <v>0</v>
      </c>
      <c r="J1650">
        <v>0</v>
      </c>
    </row>
    <row r="1651" spans="1:10" x14ac:dyDescent="0.25">
      <c r="A1651" t="s">
        <v>131</v>
      </c>
      <c r="B1651">
        <v>7172040007000100</v>
      </c>
      <c r="C1651">
        <v>81</v>
      </c>
      <c r="D1651">
        <v>46</v>
      </c>
      <c r="E1651">
        <v>5</v>
      </c>
      <c r="F1651">
        <v>23</v>
      </c>
      <c r="G1651">
        <v>0</v>
      </c>
      <c r="H1651">
        <v>0</v>
      </c>
      <c r="I1651">
        <v>7</v>
      </c>
      <c r="J1651">
        <v>0</v>
      </c>
    </row>
    <row r="1652" spans="1:10" x14ac:dyDescent="0.25">
      <c r="A1652" t="s">
        <v>131</v>
      </c>
      <c r="B1652">
        <v>7172040007000200</v>
      </c>
      <c r="C1652">
        <v>80</v>
      </c>
      <c r="D1652">
        <v>18</v>
      </c>
      <c r="E1652">
        <v>0</v>
      </c>
      <c r="F1652">
        <v>62</v>
      </c>
      <c r="G1652">
        <v>0</v>
      </c>
      <c r="H1652">
        <v>0</v>
      </c>
      <c r="I1652">
        <v>0</v>
      </c>
      <c r="J1652">
        <v>0</v>
      </c>
    </row>
    <row r="1653" spans="1:10" x14ac:dyDescent="0.25">
      <c r="A1653" t="s">
        <v>131</v>
      </c>
      <c r="B1653">
        <v>7172040001000900</v>
      </c>
      <c r="C1653">
        <v>75</v>
      </c>
      <c r="D1653">
        <v>14</v>
      </c>
      <c r="E1653">
        <v>0</v>
      </c>
      <c r="F1653">
        <v>61</v>
      </c>
      <c r="G1653">
        <v>0</v>
      </c>
      <c r="H1653">
        <v>0</v>
      </c>
      <c r="I1653">
        <v>0</v>
      </c>
      <c r="J1653">
        <v>0</v>
      </c>
    </row>
    <row r="1654" spans="1:10" x14ac:dyDescent="0.25">
      <c r="A1654" t="s">
        <v>131</v>
      </c>
      <c r="B1654">
        <v>7172040001000600</v>
      </c>
      <c r="C1654">
        <v>67</v>
      </c>
      <c r="D1654">
        <v>9</v>
      </c>
      <c r="E1654">
        <v>0</v>
      </c>
      <c r="F1654">
        <v>58</v>
      </c>
      <c r="G1654">
        <v>0</v>
      </c>
      <c r="H1654">
        <v>0</v>
      </c>
      <c r="I1654">
        <v>0</v>
      </c>
      <c r="J1654">
        <v>0</v>
      </c>
    </row>
    <row r="1655" spans="1:10" x14ac:dyDescent="0.25">
      <c r="A1655" t="s">
        <v>131</v>
      </c>
      <c r="B1655">
        <v>7172040001000700</v>
      </c>
      <c r="C1655">
        <v>57</v>
      </c>
      <c r="D1655">
        <v>15</v>
      </c>
      <c r="E1655">
        <v>0</v>
      </c>
      <c r="F1655">
        <v>42</v>
      </c>
      <c r="G1655">
        <v>0</v>
      </c>
      <c r="H1655">
        <v>0</v>
      </c>
      <c r="I1655">
        <v>0</v>
      </c>
      <c r="J1655">
        <v>0</v>
      </c>
    </row>
    <row r="1656" spans="1:10" x14ac:dyDescent="0.25">
      <c r="A1656" t="s">
        <v>131</v>
      </c>
      <c r="B1656">
        <v>7172040001000500</v>
      </c>
      <c r="C1656">
        <v>53</v>
      </c>
      <c r="D1656">
        <v>8</v>
      </c>
      <c r="E1656">
        <v>0</v>
      </c>
      <c r="F1656">
        <v>45</v>
      </c>
      <c r="G1656">
        <v>0</v>
      </c>
      <c r="H1656">
        <v>0</v>
      </c>
      <c r="I1656">
        <v>0</v>
      </c>
      <c r="J1656">
        <v>0</v>
      </c>
    </row>
    <row r="1657" spans="1:10" x14ac:dyDescent="0.25">
      <c r="A1657" t="s">
        <v>131</v>
      </c>
      <c r="B1657">
        <v>7172040007000400</v>
      </c>
      <c r="C1657">
        <v>47</v>
      </c>
      <c r="D1657">
        <v>46</v>
      </c>
      <c r="E1657">
        <v>0</v>
      </c>
      <c r="F1657">
        <v>0</v>
      </c>
      <c r="G1657">
        <v>0</v>
      </c>
      <c r="H1657">
        <v>0</v>
      </c>
      <c r="I1657">
        <v>1</v>
      </c>
      <c r="J1657">
        <v>0</v>
      </c>
    </row>
    <row r="1658" spans="1:10" x14ac:dyDescent="0.25">
      <c r="A1658" t="s">
        <v>131</v>
      </c>
      <c r="B1658">
        <v>7172040001000800</v>
      </c>
      <c r="C1658">
        <v>42</v>
      </c>
      <c r="D1658">
        <v>11</v>
      </c>
      <c r="E1658">
        <v>1</v>
      </c>
      <c r="F1658">
        <v>30</v>
      </c>
      <c r="G1658">
        <v>0</v>
      </c>
      <c r="H1658">
        <v>0</v>
      </c>
      <c r="I1658">
        <v>0</v>
      </c>
      <c r="J1658">
        <v>0</v>
      </c>
    </row>
    <row r="1659" spans="1:10" x14ac:dyDescent="0.25">
      <c r="A1659" t="s">
        <v>131</v>
      </c>
      <c r="B1659">
        <v>7172040001000400</v>
      </c>
      <c r="C1659">
        <v>41</v>
      </c>
      <c r="D1659">
        <v>16</v>
      </c>
      <c r="E1659">
        <v>0</v>
      </c>
      <c r="F1659">
        <v>25</v>
      </c>
      <c r="G1659">
        <v>0</v>
      </c>
      <c r="H1659">
        <v>0</v>
      </c>
      <c r="I1659">
        <v>0</v>
      </c>
      <c r="J1659">
        <v>0</v>
      </c>
    </row>
    <row r="1660" spans="1:10" x14ac:dyDescent="0.25">
      <c r="A1660" t="s">
        <v>134</v>
      </c>
      <c r="B1660">
        <v>7172040003001200</v>
      </c>
      <c r="C1660">
        <v>219</v>
      </c>
      <c r="D1660">
        <v>127</v>
      </c>
      <c r="E1660">
        <v>2</v>
      </c>
      <c r="F1660">
        <v>71</v>
      </c>
      <c r="G1660">
        <v>1</v>
      </c>
      <c r="H1660">
        <v>0</v>
      </c>
      <c r="I1660">
        <v>18</v>
      </c>
      <c r="J1660">
        <v>0</v>
      </c>
    </row>
    <row r="1661" spans="1:10" x14ac:dyDescent="0.25">
      <c r="A1661" t="s">
        <v>134</v>
      </c>
      <c r="B1661">
        <v>7172040003001000</v>
      </c>
      <c r="C1661">
        <v>142</v>
      </c>
      <c r="D1661">
        <v>139</v>
      </c>
      <c r="E1661">
        <v>2</v>
      </c>
      <c r="F1661">
        <v>1</v>
      </c>
      <c r="G1661">
        <v>0</v>
      </c>
      <c r="H1661">
        <v>0</v>
      </c>
      <c r="I1661">
        <v>0</v>
      </c>
      <c r="J1661">
        <v>0</v>
      </c>
    </row>
    <row r="1662" spans="1:10" x14ac:dyDescent="0.25">
      <c r="A1662" t="s">
        <v>134</v>
      </c>
      <c r="B1662">
        <v>7172040003001100</v>
      </c>
      <c r="C1662">
        <v>130</v>
      </c>
      <c r="D1662">
        <v>1</v>
      </c>
      <c r="E1662">
        <v>0</v>
      </c>
      <c r="F1662">
        <v>118</v>
      </c>
      <c r="G1662">
        <v>0</v>
      </c>
      <c r="H1662">
        <v>0</v>
      </c>
      <c r="I1662">
        <v>11</v>
      </c>
      <c r="J1662">
        <v>0</v>
      </c>
    </row>
    <row r="1663" spans="1:10" x14ac:dyDescent="0.25">
      <c r="A1663" t="s">
        <v>134</v>
      </c>
      <c r="B1663">
        <v>7172040003000900</v>
      </c>
      <c r="C1663">
        <v>93</v>
      </c>
      <c r="D1663">
        <v>0</v>
      </c>
      <c r="E1663">
        <v>0</v>
      </c>
      <c r="F1663">
        <v>93</v>
      </c>
      <c r="G1663">
        <v>0</v>
      </c>
      <c r="H1663">
        <v>0</v>
      </c>
      <c r="I1663">
        <v>0</v>
      </c>
      <c r="J1663">
        <v>0</v>
      </c>
    </row>
    <row r="1664" spans="1:10" x14ac:dyDescent="0.25">
      <c r="A1664" t="s">
        <v>134</v>
      </c>
      <c r="B1664">
        <v>7172040003000200</v>
      </c>
      <c r="C1664">
        <v>69</v>
      </c>
      <c r="D1664">
        <v>5</v>
      </c>
      <c r="E1664">
        <v>0</v>
      </c>
      <c r="F1664">
        <v>64</v>
      </c>
      <c r="G1664">
        <v>0</v>
      </c>
      <c r="H1664">
        <v>0</v>
      </c>
      <c r="I1664">
        <v>0</v>
      </c>
      <c r="J1664">
        <v>0</v>
      </c>
    </row>
    <row r="1665" spans="1:10" x14ac:dyDescent="0.25">
      <c r="A1665" t="s">
        <v>137</v>
      </c>
      <c r="B1665">
        <v>7172040005000200</v>
      </c>
      <c r="C1665">
        <v>159</v>
      </c>
      <c r="D1665">
        <v>140</v>
      </c>
      <c r="E1665">
        <v>4</v>
      </c>
      <c r="F1665">
        <v>13</v>
      </c>
      <c r="G1665">
        <v>0</v>
      </c>
      <c r="H1665">
        <v>2</v>
      </c>
      <c r="I1665">
        <v>0</v>
      </c>
      <c r="J1665">
        <v>0</v>
      </c>
    </row>
    <row r="1666" spans="1:10" x14ac:dyDescent="0.25">
      <c r="A1666" t="s">
        <v>137</v>
      </c>
      <c r="B1666">
        <v>7172040005001200</v>
      </c>
      <c r="C1666">
        <v>78</v>
      </c>
      <c r="D1666">
        <v>5</v>
      </c>
      <c r="E1666">
        <v>1</v>
      </c>
      <c r="F1666">
        <v>72</v>
      </c>
      <c r="G1666">
        <v>0</v>
      </c>
      <c r="H1666">
        <v>0</v>
      </c>
      <c r="I1666">
        <v>0</v>
      </c>
      <c r="J1666">
        <v>0</v>
      </c>
    </row>
    <row r="1667" spans="1:10" x14ac:dyDescent="0.25">
      <c r="A1667" t="s">
        <v>137</v>
      </c>
      <c r="B1667">
        <v>7172040005000400</v>
      </c>
      <c r="C1667">
        <v>73</v>
      </c>
      <c r="D1667">
        <v>42</v>
      </c>
      <c r="E1667">
        <v>2</v>
      </c>
      <c r="F1667">
        <v>23</v>
      </c>
      <c r="G1667">
        <v>0</v>
      </c>
      <c r="H1667">
        <v>0</v>
      </c>
      <c r="I1667">
        <v>6</v>
      </c>
      <c r="J1667">
        <v>0</v>
      </c>
    </row>
    <row r="1668" spans="1:10" x14ac:dyDescent="0.25">
      <c r="A1668" t="s">
        <v>137</v>
      </c>
      <c r="B1668">
        <v>7172040005000700</v>
      </c>
      <c r="C1668">
        <v>63</v>
      </c>
      <c r="D1668">
        <v>58</v>
      </c>
      <c r="E1668">
        <v>0</v>
      </c>
      <c r="F1668">
        <v>5</v>
      </c>
      <c r="G1668">
        <v>0</v>
      </c>
      <c r="H1668">
        <v>0</v>
      </c>
      <c r="I1668">
        <v>0</v>
      </c>
      <c r="J1668">
        <v>0</v>
      </c>
    </row>
    <row r="1669" spans="1:10" x14ac:dyDescent="0.25">
      <c r="A1669" t="s">
        <v>137</v>
      </c>
      <c r="B1669">
        <v>7172040005000100</v>
      </c>
      <c r="C1669">
        <v>54</v>
      </c>
      <c r="D1669">
        <v>34</v>
      </c>
      <c r="E1669">
        <v>2</v>
      </c>
      <c r="F1669">
        <v>17</v>
      </c>
      <c r="G1669">
        <v>1</v>
      </c>
      <c r="H1669">
        <v>0</v>
      </c>
      <c r="I1669">
        <v>0</v>
      </c>
      <c r="J1669">
        <v>0</v>
      </c>
    </row>
    <row r="1670" spans="1:10" x14ac:dyDescent="0.25">
      <c r="A1670" t="s">
        <v>137</v>
      </c>
      <c r="B1670">
        <v>7172040005001000</v>
      </c>
      <c r="C1670">
        <v>49</v>
      </c>
      <c r="D1670">
        <v>44</v>
      </c>
      <c r="E1670">
        <v>1</v>
      </c>
      <c r="F1670">
        <v>4</v>
      </c>
      <c r="G1670">
        <v>0</v>
      </c>
      <c r="H1670">
        <v>0</v>
      </c>
      <c r="I1670">
        <v>0</v>
      </c>
      <c r="J1670">
        <v>0</v>
      </c>
    </row>
    <row r="1671" spans="1:10" x14ac:dyDescent="0.25">
      <c r="A1671" t="s">
        <v>137</v>
      </c>
      <c r="B1671">
        <v>7172040005001100</v>
      </c>
      <c r="C1671">
        <v>48</v>
      </c>
      <c r="D1671">
        <v>1</v>
      </c>
      <c r="E1671">
        <v>0</v>
      </c>
      <c r="F1671">
        <v>47</v>
      </c>
      <c r="G1671">
        <v>0</v>
      </c>
      <c r="H1671">
        <v>0</v>
      </c>
      <c r="I1671">
        <v>0</v>
      </c>
      <c r="J1671">
        <v>0</v>
      </c>
    </row>
    <row r="1672" spans="1:10" x14ac:dyDescent="0.25">
      <c r="A1672" t="s">
        <v>137</v>
      </c>
      <c r="B1672">
        <v>7172040005000900</v>
      </c>
      <c r="C1672">
        <v>44</v>
      </c>
      <c r="D1672">
        <v>2</v>
      </c>
      <c r="E1672">
        <v>0</v>
      </c>
      <c r="F1672">
        <v>42</v>
      </c>
      <c r="G1672">
        <v>0</v>
      </c>
      <c r="H1672">
        <v>0</v>
      </c>
      <c r="I1672">
        <v>0</v>
      </c>
      <c r="J1672">
        <v>0</v>
      </c>
    </row>
    <row r="1673" spans="1:10" x14ac:dyDescent="0.25">
      <c r="A1673" t="s">
        <v>137</v>
      </c>
      <c r="B1673">
        <v>7172040005000300</v>
      </c>
      <c r="C1673">
        <v>43</v>
      </c>
      <c r="D1673">
        <v>26</v>
      </c>
      <c r="E1673">
        <v>6</v>
      </c>
      <c r="F1673">
        <v>2</v>
      </c>
      <c r="G1673">
        <v>1</v>
      </c>
      <c r="H1673">
        <v>0</v>
      </c>
      <c r="I1673">
        <v>8</v>
      </c>
      <c r="J1673">
        <v>0</v>
      </c>
    </row>
    <row r="1674" spans="1:10" x14ac:dyDescent="0.25">
      <c r="A1674" t="s">
        <v>137</v>
      </c>
      <c r="B1674">
        <v>7172040005000800</v>
      </c>
      <c r="C1674">
        <v>39</v>
      </c>
      <c r="D1674">
        <v>3</v>
      </c>
      <c r="E1674">
        <v>0</v>
      </c>
      <c r="F1674">
        <v>36</v>
      </c>
      <c r="G1674">
        <v>0</v>
      </c>
      <c r="H1674">
        <v>0</v>
      </c>
      <c r="I1674">
        <v>0</v>
      </c>
      <c r="J1674">
        <v>0</v>
      </c>
    </row>
    <row r="1675" spans="1:10" x14ac:dyDescent="0.25">
      <c r="A1675" t="s">
        <v>137</v>
      </c>
      <c r="B1675">
        <v>7172040005000500</v>
      </c>
      <c r="C1675">
        <v>26</v>
      </c>
      <c r="D1675">
        <v>4</v>
      </c>
      <c r="E1675">
        <v>17</v>
      </c>
      <c r="F1675">
        <v>5</v>
      </c>
      <c r="G1675">
        <v>0</v>
      </c>
      <c r="H1675">
        <v>0</v>
      </c>
      <c r="I1675">
        <v>0</v>
      </c>
      <c r="J1675">
        <v>0</v>
      </c>
    </row>
    <row r="1676" spans="1:10" x14ac:dyDescent="0.25">
      <c r="A1676" t="s">
        <v>138</v>
      </c>
      <c r="B1676">
        <v>7172040005002001</v>
      </c>
      <c r="C1676">
        <v>128</v>
      </c>
      <c r="D1676">
        <v>15</v>
      </c>
      <c r="E1676">
        <v>1</v>
      </c>
      <c r="F1676">
        <v>112</v>
      </c>
      <c r="G1676">
        <v>0</v>
      </c>
      <c r="H1676">
        <v>0</v>
      </c>
      <c r="I1676">
        <v>0</v>
      </c>
      <c r="J1676">
        <v>0</v>
      </c>
    </row>
    <row r="1677" spans="1:10" x14ac:dyDescent="0.25">
      <c r="A1677" t="s">
        <v>138</v>
      </c>
      <c r="B1677">
        <v>7172040005001800</v>
      </c>
      <c r="C1677">
        <v>125</v>
      </c>
      <c r="D1677">
        <v>74</v>
      </c>
      <c r="E1677">
        <v>3</v>
      </c>
      <c r="F1677">
        <v>45</v>
      </c>
      <c r="G1677">
        <v>0</v>
      </c>
      <c r="H1677">
        <v>3</v>
      </c>
      <c r="I1677">
        <v>0</v>
      </c>
      <c r="J1677">
        <v>0</v>
      </c>
    </row>
    <row r="1678" spans="1:10" x14ac:dyDescent="0.25">
      <c r="A1678" t="s">
        <v>138</v>
      </c>
      <c r="B1678">
        <v>7172040005001700</v>
      </c>
      <c r="C1678">
        <v>123</v>
      </c>
      <c r="D1678">
        <v>66</v>
      </c>
      <c r="E1678">
        <v>3</v>
      </c>
      <c r="F1678">
        <v>51</v>
      </c>
      <c r="G1678">
        <v>1</v>
      </c>
      <c r="H1678">
        <v>2</v>
      </c>
      <c r="I1678">
        <v>0</v>
      </c>
      <c r="J1678">
        <v>0</v>
      </c>
    </row>
    <row r="1679" spans="1:10" x14ac:dyDescent="0.25">
      <c r="A1679" t="s">
        <v>138</v>
      </c>
      <c r="B1679">
        <v>7172040005001402</v>
      </c>
      <c r="C1679">
        <v>75</v>
      </c>
      <c r="D1679">
        <v>43</v>
      </c>
      <c r="E1679">
        <v>3</v>
      </c>
      <c r="F1679">
        <v>28</v>
      </c>
      <c r="G1679">
        <v>0</v>
      </c>
      <c r="H1679">
        <v>1</v>
      </c>
      <c r="I1679">
        <v>0</v>
      </c>
      <c r="J1679">
        <v>0</v>
      </c>
    </row>
    <row r="1680" spans="1:10" x14ac:dyDescent="0.25">
      <c r="A1680" t="s">
        <v>138</v>
      </c>
      <c r="B1680">
        <v>7172040005001401</v>
      </c>
      <c r="C1680">
        <v>72</v>
      </c>
      <c r="D1680">
        <v>0</v>
      </c>
      <c r="E1680">
        <v>0</v>
      </c>
      <c r="F1680">
        <v>72</v>
      </c>
      <c r="G1680">
        <v>0</v>
      </c>
      <c r="H1680">
        <v>0</v>
      </c>
      <c r="I1680">
        <v>0</v>
      </c>
      <c r="J1680">
        <v>0</v>
      </c>
    </row>
    <row r="1681" spans="1:10" x14ac:dyDescent="0.25">
      <c r="A1681" t="s">
        <v>138</v>
      </c>
      <c r="B1681">
        <v>7172040005001500</v>
      </c>
      <c r="C1681">
        <v>66</v>
      </c>
      <c r="D1681">
        <v>19</v>
      </c>
      <c r="E1681">
        <v>1</v>
      </c>
      <c r="F1681">
        <v>27</v>
      </c>
      <c r="G1681">
        <v>0</v>
      </c>
      <c r="H1681">
        <v>0</v>
      </c>
      <c r="I1681">
        <v>19</v>
      </c>
      <c r="J1681">
        <v>0</v>
      </c>
    </row>
    <row r="1682" spans="1:10" x14ac:dyDescent="0.25">
      <c r="A1682" t="s">
        <v>138</v>
      </c>
      <c r="B1682">
        <v>7172040005001300</v>
      </c>
      <c r="C1682">
        <v>56</v>
      </c>
      <c r="D1682">
        <v>56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</row>
    <row r="1683" spans="1:10" x14ac:dyDescent="0.25">
      <c r="A1683" t="s">
        <v>141</v>
      </c>
      <c r="B1683">
        <v>7172040013000100</v>
      </c>
      <c r="C1683">
        <v>139</v>
      </c>
      <c r="D1683">
        <v>90</v>
      </c>
      <c r="E1683">
        <v>8</v>
      </c>
      <c r="F1683">
        <v>0</v>
      </c>
      <c r="G1683">
        <v>2</v>
      </c>
      <c r="H1683">
        <v>0</v>
      </c>
      <c r="I1683">
        <v>39</v>
      </c>
      <c r="J1683">
        <v>0</v>
      </c>
    </row>
    <row r="1684" spans="1:10" x14ac:dyDescent="0.25">
      <c r="A1684" t="s">
        <v>141</v>
      </c>
      <c r="B1684">
        <v>7172040013000200</v>
      </c>
      <c r="C1684">
        <v>100</v>
      </c>
      <c r="D1684">
        <v>81</v>
      </c>
      <c r="E1684">
        <v>6</v>
      </c>
      <c r="F1684">
        <v>4</v>
      </c>
      <c r="G1684">
        <v>5</v>
      </c>
      <c r="H1684">
        <v>0</v>
      </c>
      <c r="I1684">
        <v>4</v>
      </c>
      <c r="J1684">
        <v>0</v>
      </c>
    </row>
    <row r="1685" spans="1:10" x14ac:dyDescent="0.25">
      <c r="A1685" t="s">
        <v>141</v>
      </c>
      <c r="B1685">
        <v>7172040012001200</v>
      </c>
      <c r="C1685">
        <v>79</v>
      </c>
      <c r="D1685">
        <v>23</v>
      </c>
      <c r="E1685">
        <v>2</v>
      </c>
      <c r="F1685">
        <v>54</v>
      </c>
      <c r="G1685">
        <v>0</v>
      </c>
      <c r="H1685">
        <v>0</v>
      </c>
      <c r="I1685">
        <v>0</v>
      </c>
      <c r="J1685">
        <v>0</v>
      </c>
    </row>
    <row r="1686" spans="1:10" x14ac:dyDescent="0.25">
      <c r="A1686" t="s">
        <v>141</v>
      </c>
      <c r="B1686">
        <v>7172040012001400</v>
      </c>
      <c r="C1686">
        <v>57</v>
      </c>
      <c r="D1686">
        <v>16</v>
      </c>
      <c r="E1686">
        <v>10</v>
      </c>
      <c r="F1686">
        <v>4</v>
      </c>
      <c r="G1686">
        <v>0</v>
      </c>
      <c r="H1686">
        <v>0</v>
      </c>
      <c r="I1686">
        <v>27</v>
      </c>
      <c r="J1686">
        <v>0</v>
      </c>
    </row>
    <row r="1687" spans="1:10" x14ac:dyDescent="0.25">
      <c r="A1687" t="s">
        <v>141</v>
      </c>
      <c r="B1687">
        <v>7172040012001300</v>
      </c>
      <c r="C1687">
        <v>55</v>
      </c>
      <c r="D1687">
        <v>15</v>
      </c>
      <c r="E1687">
        <v>4</v>
      </c>
      <c r="F1687">
        <v>36</v>
      </c>
      <c r="G1687">
        <v>0</v>
      </c>
      <c r="H1687">
        <v>0</v>
      </c>
      <c r="I1687">
        <v>0</v>
      </c>
      <c r="J1687">
        <v>0</v>
      </c>
    </row>
    <row r="1688" spans="1:10" x14ac:dyDescent="0.25">
      <c r="A1688" t="s">
        <v>141</v>
      </c>
      <c r="B1688">
        <v>7172040012000900</v>
      </c>
      <c r="C1688">
        <v>51</v>
      </c>
      <c r="D1688">
        <v>13</v>
      </c>
      <c r="E1688">
        <v>0</v>
      </c>
      <c r="F1688">
        <v>31</v>
      </c>
      <c r="G1688">
        <v>0</v>
      </c>
      <c r="H1688">
        <v>0</v>
      </c>
      <c r="I1688">
        <v>7</v>
      </c>
      <c r="J1688">
        <v>0</v>
      </c>
    </row>
    <row r="1689" spans="1:10" x14ac:dyDescent="0.25">
      <c r="A1689" t="s">
        <v>141</v>
      </c>
      <c r="B1689">
        <v>7172040012000800</v>
      </c>
      <c r="C1689">
        <v>43</v>
      </c>
      <c r="D1689">
        <v>13</v>
      </c>
      <c r="E1689">
        <v>0</v>
      </c>
      <c r="F1689">
        <v>18</v>
      </c>
      <c r="G1689">
        <v>0</v>
      </c>
      <c r="H1689">
        <v>0</v>
      </c>
      <c r="I1689">
        <v>12</v>
      </c>
      <c r="J1689">
        <v>0</v>
      </c>
    </row>
    <row r="1690" spans="1:10" x14ac:dyDescent="0.25">
      <c r="A1690" t="s">
        <v>141</v>
      </c>
      <c r="B1690">
        <v>7172040012001100</v>
      </c>
      <c r="C1690">
        <v>40</v>
      </c>
      <c r="D1690">
        <v>8</v>
      </c>
      <c r="E1690">
        <v>2</v>
      </c>
      <c r="F1690">
        <v>30</v>
      </c>
      <c r="G1690">
        <v>0</v>
      </c>
      <c r="H1690">
        <v>0</v>
      </c>
      <c r="I1690">
        <v>0</v>
      </c>
      <c r="J1690">
        <v>0</v>
      </c>
    </row>
    <row r="1691" spans="1:10" x14ac:dyDescent="0.25">
      <c r="A1691" t="s">
        <v>141</v>
      </c>
      <c r="B1691">
        <v>7172040012000700</v>
      </c>
      <c r="C1691">
        <v>38</v>
      </c>
      <c r="D1691">
        <v>15</v>
      </c>
      <c r="E1691">
        <v>0</v>
      </c>
      <c r="F1691">
        <v>20</v>
      </c>
      <c r="G1691">
        <v>0</v>
      </c>
      <c r="H1691">
        <v>0</v>
      </c>
      <c r="I1691">
        <v>3</v>
      </c>
      <c r="J1691">
        <v>0</v>
      </c>
    </row>
    <row r="1692" spans="1:10" x14ac:dyDescent="0.25">
      <c r="A1692" t="s">
        <v>141</v>
      </c>
      <c r="B1692">
        <v>7172040012001000</v>
      </c>
      <c r="C1692">
        <v>34</v>
      </c>
      <c r="D1692">
        <v>9</v>
      </c>
      <c r="E1692">
        <v>1</v>
      </c>
      <c r="F1692">
        <v>24</v>
      </c>
      <c r="G1692">
        <v>0</v>
      </c>
      <c r="H1692">
        <v>0</v>
      </c>
      <c r="I1692">
        <v>0</v>
      </c>
      <c r="J1692">
        <v>0</v>
      </c>
    </row>
    <row r="1693" spans="1:10" x14ac:dyDescent="0.25">
      <c r="A1693" t="s">
        <v>142</v>
      </c>
      <c r="B1693">
        <v>7172040013000600</v>
      </c>
      <c r="C1693">
        <v>132</v>
      </c>
      <c r="D1693">
        <v>108</v>
      </c>
      <c r="E1693">
        <v>7</v>
      </c>
      <c r="F1693">
        <v>10</v>
      </c>
      <c r="G1693">
        <v>7</v>
      </c>
      <c r="H1693">
        <v>0</v>
      </c>
      <c r="I1693">
        <v>0</v>
      </c>
      <c r="J1693">
        <v>0</v>
      </c>
    </row>
    <row r="1694" spans="1:10" x14ac:dyDescent="0.25">
      <c r="A1694" t="s">
        <v>142</v>
      </c>
      <c r="B1694">
        <v>7172040013000800</v>
      </c>
      <c r="C1694">
        <v>90</v>
      </c>
      <c r="D1694">
        <v>88</v>
      </c>
      <c r="E1694">
        <v>0</v>
      </c>
      <c r="F1694">
        <v>0</v>
      </c>
      <c r="G1694">
        <v>1</v>
      </c>
      <c r="H1694">
        <v>0</v>
      </c>
      <c r="I1694">
        <v>1</v>
      </c>
      <c r="J1694">
        <v>0</v>
      </c>
    </row>
    <row r="1695" spans="1:10" x14ac:dyDescent="0.25">
      <c r="A1695" t="s">
        <v>142</v>
      </c>
      <c r="B1695">
        <v>7172040013000300</v>
      </c>
      <c r="C1695">
        <v>69</v>
      </c>
      <c r="D1695">
        <v>21</v>
      </c>
      <c r="E1695">
        <v>10</v>
      </c>
      <c r="F1695">
        <v>27</v>
      </c>
      <c r="G1695">
        <v>0</v>
      </c>
      <c r="H1695">
        <v>0</v>
      </c>
      <c r="I1695">
        <v>11</v>
      </c>
      <c r="J1695">
        <v>0</v>
      </c>
    </row>
    <row r="1696" spans="1:10" x14ac:dyDescent="0.25">
      <c r="A1696" t="s">
        <v>142</v>
      </c>
      <c r="B1696">
        <v>7172040013000400</v>
      </c>
      <c r="C1696">
        <v>67</v>
      </c>
      <c r="D1696">
        <v>8</v>
      </c>
      <c r="E1696">
        <v>0</v>
      </c>
      <c r="F1696">
        <v>59</v>
      </c>
      <c r="G1696">
        <v>0</v>
      </c>
      <c r="H1696">
        <v>0</v>
      </c>
      <c r="I1696">
        <v>0</v>
      </c>
      <c r="J1696">
        <v>0</v>
      </c>
    </row>
    <row r="1697" spans="1:10" x14ac:dyDescent="0.25">
      <c r="A1697" t="s">
        <v>142</v>
      </c>
      <c r="B1697">
        <v>7172040013000900</v>
      </c>
      <c r="C1697">
        <v>60</v>
      </c>
      <c r="D1697">
        <v>34</v>
      </c>
      <c r="E1697">
        <v>5</v>
      </c>
      <c r="F1697">
        <v>13</v>
      </c>
      <c r="G1697">
        <v>0</v>
      </c>
      <c r="H1697">
        <v>0</v>
      </c>
      <c r="I1697">
        <v>8</v>
      </c>
      <c r="J1697">
        <v>0</v>
      </c>
    </row>
    <row r="1698" spans="1:10" x14ac:dyDescent="0.25">
      <c r="A1698" t="s">
        <v>142</v>
      </c>
      <c r="B1698">
        <v>7172040013000500</v>
      </c>
      <c r="C1698">
        <v>57</v>
      </c>
      <c r="D1698">
        <v>42</v>
      </c>
      <c r="E1698">
        <v>0</v>
      </c>
      <c r="F1698">
        <v>8</v>
      </c>
      <c r="G1698">
        <v>4</v>
      </c>
      <c r="H1698">
        <v>0</v>
      </c>
      <c r="I1698">
        <v>3</v>
      </c>
      <c r="J1698">
        <v>0</v>
      </c>
    </row>
    <row r="1699" spans="1:10" x14ac:dyDescent="0.25">
      <c r="A1699" t="s">
        <v>142</v>
      </c>
      <c r="B1699">
        <v>7172040012001500</v>
      </c>
      <c r="C1699">
        <v>55</v>
      </c>
      <c r="D1699">
        <v>9</v>
      </c>
      <c r="E1699">
        <v>0</v>
      </c>
      <c r="F1699">
        <v>46</v>
      </c>
      <c r="G1699">
        <v>0</v>
      </c>
      <c r="H1699">
        <v>0</v>
      </c>
      <c r="I1699">
        <v>0</v>
      </c>
      <c r="J1699">
        <v>0</v>
      </c>
    </row>
    <row r="1700" spans="1:10" x14ac:dyDescent="0.25">
      <c r="A1700" t="s">
        <v>142</v>
      </c>
      <c r="B1700">
        <v>7172040013001100</v>
      </c>
      <c r="C1700">
        <v>54</v>
      </c>
      <c r="D1700">
        <v>7</v>
      </c>
      <c r="E1700">
        <v>9</v>
      </c>
      <c r="F1700">
        <v>13</v>
      </c>
      <c r="G1700">
        <v>0</v>
      </c>
      <c r="H1700">
        <v>0</v>
      </c>
      <c r="I1700">
        <v>25</v>
      </c>
      <c r="J1700">
        <v>0</v>
      </c>
    </row>
    <row r="1701" spans="1:10" x14ac:dyDescent="0.25">
      <c r="A1701" t="s">
        <v>142</v>
      </c>
      <c r="B1701">
        <v>7172040013000700</v>
      </c>
      <c r="C1701">
        <v>52</v>
      </c>
      <c r="D1701">
        <v>2</v>
      </c>
      <c r="E1701">
        <v>2</v>
      </c>
      <c r="F1701">
        <v>48</v>
      </c>
      <c r="G1701">
        <v>0</v>
      </c>
      <c r="H1701">
        <v>0</v>
      </c>
      <c r="I1701">
        <v>0</v>
      </c>
      <c r="J1701">
        <v>0</v>
      </c>
    </row>
    <row r="1702" spans="1:10" x14ac:dyDescent="0.25">
      <c r="A1702" t="s">
        <v>142</v>
      </c>
      <c r="B1702">
        <v>7172040013001000</v>
      </c>
      <c r="C1702">
        <v>48</v>
      </c>
      <c r="D1702">
        <v>3</v>
      </c>
      <c r="E1702">
        <v>0</v>
      </c>
      <c r="F1702">
        <v>45</v>
      </c>
      <c r="G1702">
        <v>0</v>
      </c>
      <c r="H1702">
        <v>0</v>
      </c>
      <c r="I1702">
        <v>0</v>
      </c>
      <c r="J1702">
        <v>0</v>
      </c>
    </row>
    <row r="1703" spans="1:10" x14ac:dyDescent="0.25">
      <c r="A1703" t="s">
        <v>142</v>
      </c>
      <c r="B1703">
        <v>7172040013001200</v>
      </c>
      <c r="C1703">
        <v>41</v>
      </c>
      <c r="D1703">
        <v>2</v>
      </c>
      <c r="E1703">
        <v>0</v>
      </c>
      <c r="F1703">
        <v>39</v>
      </c>
      <c r="G1703">
        <v>0</v>
      </c>
      <c r="H1703">
        <v>0</v>
      </c>
      <c r="I1703">
        <v>0</v>
      </c>
      <c r="J1703">
        <v>0</v>
      </c>
    </row>
    <row r="1704" spans="1:10" x14ac:dyDescent="0.25">
      <c r="A1704" t="s">
        <v>6</v>
      </c>
      <c r="B1704">
        <v>7172010008000700</v>
      </c>
      <c r="C1704">
        <v>160</v>
      </c>
      <c r="D1704">
        <v>0</v>
      </c>
      <c r="E1704">
        <v>1</v>
      </c>
      <c r="F1704">
        <v>159</v>
      </c>
      <c r="G1704">
        <v>0</v>
      </c>
      <c r="H1704">
        <v>0</v>
      </c>
      <c r="I1704">
        <v>0</v>
      </c>
      <c r="J1704">
        <v>0</v>
      </c>
    </row>
    <row r="1705" spans="1:10" x14ac:dyDescent="0.25">
      <c r="A1705" t="s">
        <v>6</v>
      </c>
      <c r="B1705">
        <v>7172010008000600</v>
      </c>
      <c r="C1705">
        <v>144</v>
      </c>
      <c r="D1705">
        <v>42</v>
      </c>
      <c r="E1705">
        <v>8</v>
      </c>
      <c r="F1705">
        <v>14</v>
      </c>
      <c r="G1705">
        <v>0</v>
      </c>
      <c r="H1705">
        <v>0</v>
      </c>
      <c r="I1705">
        <v>80</v>
      </c>
      <c r="J1705">
        <v>0</v>
      </c>
    </row>
    <row r="1706" spans="1:10" x14ac:dyDescent="0.25">
      <c r="A1706" t="s">
        <v>6</v>
      </c>
      <c r="B1706">
        <v>7172010008000500</v>
      </c>
      <c r="C1706">
        <v>88</v>
      </c>
      <c r="D1706">
        <v>84</v>
      </c>
      <c r="E1706">
        <v>0</v>
      </c>
      <c r="F1706">
        <v>0</v>
      </c>
      <c r="G1706">
        <v>0</v>
      </c>
      <c r="H1706">
        <v>0</v>
      </c>
      <c r="I1706">
        <v>4</v>
      </c>
      <c r="J1706">
        <v>0</v>
      </c>
    </row>
    <row r="1707" spans="1:10" x14ac:dyDescent="0.25">
      <c r="A1707" t="s">
        <v>6</v>
      </c>
      <c r="B1707">
        <v>7172010008000200</v>
      </c>
      <c r="C1707">
        <v>73</v>
      </c>
      <c r="D1707">
        <v>72</v>
      </c>
      <c r="E1707">
        <v>1</v>
      </c>
      <c r="F1707">
        <v>0</v>
      </c>
      <c r="G1707">
        <v>0</v>
      </c>
      <c r="H1707">
        <v>0</v>
      </c>
      <c r="I1707">
        <v>0</v>
      </c>
      <c r="J1707">
        <v>0</v>
      </c>
    </row>
    <row r="1708" spans="1:10" x14ac:dyDescent="0.25">
      <c r="A1708" t="s">
        <v>6</v>
      </c>
      <c r="B1708">
        <v>7172010008000400</v>
      </c>
      <c r="C1708">
        <v>71</v>
      </c>
      <c r="D1708">
        <v>71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</row>
    <row r="1709" spans="1:10" x14ac:dyDescent="0.25">
      <c r="A1709" t="s">
        <v>6</v>
      </c>
      <c r="B1709">
        <v>7172010015001400</v>
      </c>
      <c r="C1709">
        <v>48</v>
      </c>
      <c r="D1709">
        <v>0</v>
      </c>
      <c r="E1709">
        <v>0</v>
      </c>
      <c r="F1709">
        <v>48</v>
      </c>
      <c r="G1709">
        <v>0</v>
      </c>
      <c r="H1709">
        <v>0</v>
      </c>
      <c r="I1709">
        <v>0</v>
      </c>
      <c r="J1709">
        <v>0</v>
      </c>
    </row>
    <row r="1710" spans="1:10" x14ac:dyDescent="0.25">
      <c r="A1710" t="s">
        <v>6</v>
      </c>
      <c r="B1710">
        <v>7172010008000300</v>
      </c>
      <c r="C1710">
        <v>43</v>
      </c>
      <c r="D1710">
        <v>43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</row>
    <row r="1711" spans="1:10" x14ac:dyDescent="0.25">
      <c r="A1711" t="s">
        <v>13</v>
      </c>
      <c r="B1711">
        <v>7172010010002100</v>
      </c>
      <c r="C1711">
        <v>86</v>
      </c>
      <c r="D1711">
        <v>83</v>
      </c>
      <c r="E1711">
        <v>0</v>
      </c>
      <c r="F1711">
        <v>3</v>
      </c>
      <c r="G1711">
        <v>0</v>
      </c>
      <c r="H1711">
        <v>0</v>
      </c>
      <c r="I1711">
        <v>0</v>
      </c>
      <c r="J1711">
        <v>0</v>
      </c>
    </row>
    <row r="1712" spans="1:10" x14ac:dyDescent="0.25">
      <c r="A1712" t="s">
        <v>13</v>
      </c>
      <c r="B1712">
        <v>7172010010001600</v>
      </c>
      <c r="C1712">
        <v>80</v>
      </c>
      <c r="D1712">
        <v>64</v>
      </c>
      <c r="E1712">
        <v>0</v>
      </c>
      <c r="F1712">
        <v>12</v>
      </c>
      <c r="G1712">
        <v>0</v>
      </c>
      <c r="H1712">
        <v>0</v>
      </c>
      <c r="I1712">
        <v>4</v>
      </c>
      <c r="J1712">
        <v>0</v>
      </c>
    </row>
    <row r="1713" spans="1:10" x14ac:dyDescent="0.25">
      <c r="A1713" t="s">
        <v>13</v>
      </c>
      <c r="B1713">
        <v>7172010010001800</v>
      </c>
      <c r="C1713">
        <v>78</v>
      </c>
      <c r="D1713">
        <v>55</v>
      </c>
      <c r="E1713">
        <v>0</v>
      </c>
      <c r="F1713">
        <v>21</v>
      </c>
      <c r="G1713">
        <v>0</v>
      </c>
      <c r="H1713">
        <v>0</v>
      </c>
      <c r="I1713">
        <v>2</v>
      </c>
      <c r="J1713">
        <v>0</v>
      </c>
    </row>
    <row r="1714" spans="1:10" x14ac:dyDescent="0.25">
      <c r="A1714" t="s">
        <v>13</v>
      </c>
      <c r="B1714">
        <v>7172010010001900</v>
      </c>
      <c r="C1714">
        <v>75</v>
      </c>
      <c r="D1714">
        <v>0</v>
      </c>
      <c r="E1714">
        <v>0</v>
      </c>
      <c r="F1714">
        <v>13</v>
      </c>
      <c r="G1714">
        <v>0</v>
      </c>
      <c r="H1714">
        <v>0</v>
      </c>
      <c r="I1714">
        <v>62</v>
      </c>
      <c r="J1714">
        <v>0</v>
      </c>
    </row>
    <row r="1715" spans="1:10" x14ac:dyDescent="0.25">
      <c r="A1715" t="s">
        <v>13</v>
      </c>
      <c r="B1715">
        <v>7172010010002000</v>
      </c>
      <c r="C1715">
        <v>68</v>
      </c>
      <c r="D1715">
        <v>20</v>
      </c>
      <c r="E1715">
        <v>1</v>
      </c>
      <c r="F1715">
        <v>18</v>
      </c>
      <c r="G1715">
        <v>0</v>
      </c>
      <c r="H1715">
        <v>0</v>
      </c>
      <c r="I1715">
        <v>29</v>
      </c>
      <c r="J1715">
        <v>0</v>
      </c>
    </row>
    <row r="1716" spans="1:10" x14ac:dyDescent="0.25">
      <c r="A1716" t="s">
        <v>13</v>
      </c>
      <c r="B1716">
        <v>7172010010001700</v>
      </c>
      <c r="C1716">
        <v>47</v>
      </c>
      <c r="D1716">
        <v>42</v>
      </c>
      <c r="E1716">
        <v>0</v>
      </c>
      <c r="F1716">
        <v>5</v>
      </c>
      <c r="G1716">
        <v>0</v>
      </c>
      <c r="H1716">
        <v>0</v>
      </c>
      <c r="I1716">
        <v>0</v>
      </c>
      <c r="J1716">
        <v>0</v>
      </c>
    </row>
    <row r="1717" spans="1:10" x14ac:dyDescent="0.25">
      <c r="A1717" t="s">
        <v>13</v>
      </c>
      <c r="B1717">
        <v>7172010011000100</v>
      </c>
      <c r="C1717">
        <v>45</v>
      </c>
      <c r="D1717">
        <v>0</v>
      </c>
      <c r="E1717">
        <v>0</v>
      </c>
      <c r="F1717">
        <v>12</v>
      </c>
      <c r="G1717">
        <v>0</v>
      </c>
      <c r="H1717">
        <v>0</v>
      </c>
      <c r="I1717">
        <v>33</v>
      </c>
      <c r="J1717">
        <v>0</v>
      </c>
    </row>
    <row r="1718" spans="1:10" x14ac:dyDescent="0.25">
      <c r="A1718" t="s">
        <v>13</v>
      </c>
      <c r="B1718">
        <v>7172010011000300</v>
      </c>
      <c r="C1718">
        <v>42</v>
      </c>
      <c r="D1718">
        <v>0</v>
      </c>
      <c r="E1718">
        <v>0</v>
      </c>
      <c r="F1718">
        <v>39</v>
      </c>
      <c r="G1718">
        <v>0</v>
      </c>
      <c r="H1718">
        <v>0</v>
      </c>
      <c r="I1718">
        <v>3</v>
      </c>
      <c r="J1718">
        <v>0</v>
      </c>
    </row>
    <row r="1719" spans="1:10" x14ac:dyDescent="0.25">
      <c r="A1719" t="s">
        <v>13</v>
      </c>
      <c r="B1719">
        <v>7172010011000600</v>
      </c>
      <c r="C1719">
        <v>41</v>
      </c>
      <c r="D1719">
        <v>0</v>
      </c>
      <c r="E1719">
        <v>0</v>
      </c>
      <c r="F1719">
        <v>41</v>
      </c>
      <c r="G1719">
        <v>0</v>
      </c>
      <c r="H1719">
        <v>0</v>
      </c>
      <c r="I1719">
        <v>0</v>
      </c>
      <c r="J1719">
        <v>0</v>
      </c>
    </row>
    <row r="1720" spans="1:10" x14ac:dyDescent="0.25">
      <c r="A1720" t="s">
        <v>13</v>
      </c>
      <c r="B1720">
        <v>7172010010002200</v>
      </c>
      <c r="C1720">
        <v>40</v>
      </c>
      <c r="D1720">
        <v>28</v>
      </c>
      <c r="E1720">
        <v>0</v>
      </c>
      <c r="F1720">
        <v>6</v>
      </c>
      <c r="G1720">
        <v>0</v>
      </c>
      <c r="H1720">
        <v>0</v>
      </c>
      <c r="I1720">
        <v>6</v>
      </c>
      <c r="J1720">
        <v>0</v>
      </c>
    </row>
    <row r="1721" spans="1:10" x14ac:dyDescent="0.25">
      <c r="A1721" t="s">
        <v>13</v>
      </c>
      <c r="B1721">
        <v>7172010011000200</v>
      </c>
      <c r="C1721">
        <v>32</v>
      </c>
      <c r="D1721">
        <v>0</v>
      </c>
      <c r="E1721">
        <v>0</v>
      </c>
      <c r="F1721">
        <v>15</v>
      </c>
      <c r="G1721">
        <v>0</v>
      </c>
      <c r="H1721">
        <v>0</v>
      </c>
      <c r="I1721">
        <v>17</v>
      </c>
      <c r="J1721">
        <v>0</v>
      </c>
    </row>
    <row r="1722" spans="1:10" x14ac:dyDescent="0.25">
      <c r="A1722" t="s">
        <v>13</v>
      </c>
      <c r="B1722">
        <v>7172010011000500</v>
      </c>
      <c r="C1722">
        <v>28</v>
      </c>
      <c r="D1722">
        <v>0</v>
      </c>
      <c r="E1722">
        <v>0</v>
      </c>
      <c r="F1722">
        <v>28</v>
      </c>
      <c r="G1722">
        <v>0</v>
      </c>
      <c r="H1722">
        <v>0</v>
      </c>
      <c r="I1722">
        <v>0</v>
      </c>
      <c r="J1722">
        <v>0</v>
      </c>
    </row>
    <row r="1723" spans="1:10" x14ac:dyDescent="0.25">
      <c r="A1723" t="s">
        <v>13</v>
      </c>
      <c r="B1723">
        <v>7172010011000400</v>
      </c>
      <c r="C1723">
        <v>13</v>
      </c>
      <c r="D1723">
        <v>0</v>
      </c>
      <c r="E1723">
        <v>0</v>
      </c>
      <c r="F1723">
        <v>13</v>
      </c>
      <c r="G1723">
        <v>0</v>
      </c>
      <c r="H1723">
        <v>0</v>
      </c>
      <c r="I1723">
        <v>0</v>
      </c>
      <c r="J1723">
        <v>0</v>
      </c>
    </row>
    <row r="1724" spans="1:10" x14ac:dyDescent="0.25">
      <c r="A1724" t="s">
        <v>16</v>
      </c>
      <c r="B1724">
        <v>7172010012002300</v>
      </c>
      <c r="C1724">
        <v>102</v>
      </c>
      <c r="D1724">
        <v>0</v>
      </c>
      <c r="E1724">
        <v>0</v>
      </c>
      <c r="F1724">
        <v>102</v>
      </c>
      <c r="G1724">
        <v>0</v>
      </c>
      <c r="H1724">
        <v>0</v>
      </c>
      <c r="I1724">
        <v>0</v>
      </c>
      <c r="J1724">
        <v>0</v>
      </c>
    </row>
    <row r="1725" spans="1:10" x14ac:dyDescent="0.25">
      <c r="A1725" t="s">
        <v>16</v>
      </c>
      <c r="B1725">
        <v>7172010012002100</v>
      </c>
      <c r="C1725">
        <v>89</v>
      </c>
      <c r="D1725">
        <v>49</v>
      </c>
      <c r="E1725">
        <v>2</v>
      </c>
      <c r="F1725">
        <v>0</v>
      </c>
      <c r="G1725">
        <v>0</v>
      </c>
      <c r="H1725">
        <v>0</v>
      </c>
      <c r="I1725">
        <v>38</v>
      </c>
      <c r="J1725">
        <v>0</v>
      </c>
    </row>
    <row r="1726" spans="1:10" x14ac:dyDescent="0.25">
      <c r="A1726" t="s">
        <v>16</v>
      </c>
      <c r="B1726">
        <v>7172010012001500</v>
      </c>
      <c r="C1726">
        <v>78</v>
      </c>
      <c r="D1726">
        <v>70</v>
      </c>
      <c r="E1726">
        <v>1</v>
      </c>
      <c r="F1726">
        <v>6</v>
      </c>
      <c r="G1726">
        <v>1</v>
      </c>
      <c r="H1726">
        <v>0</v>
      </c>
      <c r="I1726">
        <v>0</v>
      </c>
      <c r="J1726">
        <v>0</v>
      </c>
    </row>
    <row r="1727" spans="1:10" x14ac:dyDescent="0.25">
      <c r="A1727" t="s">
        <v>16</v>
      </c>
      <c r="B1727">
        <v>7172010012002200</v>
      </c>
      <c r="C1727">
        <v>73</v>
      </c>
      <c r="D1727">
        <v>0</v>
      </c>
      <c r="E1727">
        <v>0</v>
      </c>
      <c r="F1727">
        <v>14</v>
      </c>
      <c r="G1727">
        <v>0</v>
      </c>
      <c r="H1727">
        <v>0</v>
      </c>
      <c r="I1727">
        <v>59</v>
      </c>
      <c r="J1727">
        <v>0</v>
      </c>
    </row>
    <row r="1728" spans="1:10" x14ac:dyDescent="0.25">
      <c r="A1728" t="s">
        <v>16</v>
      </c>
      <c r="B1728">
        <v>7172010012001400</v>
      </c>
      <c r="C1728">
        <v>65</v>
      </c>
      <c r="D1728">
        <v>60</v>
      </c>
      <c r="E1728">
        <v>4</v>
      </c>
      <c r="F1728">
        <v>1</v>
      </c>
      <c r="G1728">
        <v>0</v>
      </c>
      <c r="H1728">
        <v>0</v>
      </c>
      <c r="I1728">
        <v>0</v>
      </c>
      <c r="J1728">
        <v>0</v>
      </c>
    </row>
    <row r="1729" spans="1:10" x14ac:dyDescent="0.25">
      <c r="A1729" t="s">
        <v>16</v>
      </c>
      <c r="B1729">
        <v>7172010012001800</v>
      </c>
      <c r="C1729">
        <v>59</v>
      </c>
      <c r="D1729">
        <v>0</v>
      </c>
      <c r="E1729">
        <v>0</v>
      </c>
      <c r="F1729">
        <v>59</v>
      </c>
      <c r="G1729">
        <v>0</v>
      </c>
      <c r="H1729">
        <v>0</v>
      </c>
      <c r="I1729">
        <v>0</v>
      </c>
      <c r="J1729">
        <v>0</v>
      </c>
    </row>
    <row r="1730" spans="1:10" x14ac:dyDescent="0.25">
      <c r="A1730" t="s">
        <v>16</v>
      </c>
      <c r="B1730">
        <v>7172010012001700</v>
      </c>
      <c r="C1730">
        <v>53</v>
      </c>
      <c r="D1730">
        <v>53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</row>
    <row r="1731" spans="1:10" x14ac:dyDescent="0.25">
      <c r="A1731" t="s">
        <v>16</v>
      </c>
      <c r="B1731">
        <v>7172010012002400</v>
      </c>
      <c r="C1731">
        <v>51</v>
      </c>
      <c r="D1731">
        <v>0</v>
      </c>
      <c r="E1731">
        <v>0</v>
      </c>
      <c r="F1731">
        <v>51</v>
      </c>
      <c r="G1731">
        <v>0</v>
      </c>
      <c r="H1731">
        <v>0</v>
      </c>
      <c r="I1731">
        <v>0</v>
      </c>
      <c r="J1731">
        <v>0</v>
      </c>
    </row>
    <row r="1732" spans="1:10" x14ac:dyDescent="0.25">
      <c r="A1732" t="s">
        <v>16</v>
      </c>
      <c r="B1732">
        <v>7172010012002000</v>
      </c>
      <c r="C1732">
        <v>45</v>
      </c>
      <c r="D1732">
        <v>0</v>
      </c>
      <c r="E1732">
        <v>0</v>
      </c>
      <c r="F1732">
        <v>45</v>
      </c>
      <c r="G1732">
        <v>0</v>
      </c>
      <c r="H1732">
        <v>0</v>
      </c>
      <c r="I1732">
        <v>0</v>
      </c>
      <c r="J1732">
        <v>0</v>
      </c>
    </row>
    <row r="1733" spans="1:10" x14ac:dyDescent="0.25">
      <c r="A1733" t="s">
        <v>16</v>
      </c>
      <c r="B1733">
        <v>7172010012001300</v>
      </c>
      <c r="C1733">
        <v>30</v>
      </c>
      <c r="D1733">
        <v>26</v>
      </c>
      <c r="E1733">
        <v>0</v>
      </c>
      <c r="F1733">
        <v>0</v>
      </c>
      <c r="G1733">
        <v>0</v>
      </c>
      <c r="H1733">
        <v>0</v>
      </c>
      <c r="I1733">
        <v>4</v>
      </c>
      <c r="J1733">
        <v>0</v>
      </c>
    </row>
    <row r="1734" spans="1:10" x14ac:dyDescent="0.25">
      <c r="A1734" t="s">
        <v>16</v>
      </c>
      <c r="B1734">
        <v>7172010012001600</v>
      </c>
      <c r="C1734">
        <v>30</v>
      </c>
      <c r="D1734">
        <v>30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</row>
    <row r="1735" spans="1:10" x14ac:dyDescent="0.25">
      <c r="A1735" t="s">
        <v>16</v>
      </c>
      <c r="B1735">
        <v>7172010012001900</v>
      </c>
      <c r="C1735">
        <v>28</v>
      </c>
      <c r="D1735">
        <v>0</v>
      </c>
      <c r="E1735">
        <v>0</v>
      </c>
      <c r="F1735">
        <v>28</v>
      </c>
      <c r="G1735">
        <v>0</v>
      </c>
      <c r="H1735">
        <v>0</v>
      </c>
      <c r="I1735">
        <v>0</v>
      </c>
      <c r="J1735">
        <v>0</v>
      </c>
    </row>
    <row r="1736" spans="1:10" x14ac:dyDescent="0.25">
      <c r="A1736" t="s">
        <v>17</v>
      </c>
      <c r="B1736">
        <v>7172010015003300</v>
      </c>
      <c r="C1736">
        <v>231</v>
      </c>
      <c r="D1736">
        <v>80</v>
      </c>
      <c r="E1736">
        <v>5</v>
      </c>
      <c r="F1736">
        <v>58</v>
      </c>
      <c r="G1736">
        <v>2</v>
      </c>
      <c r="H1736">
        <v>0</v>
      </c>
      <c r="I1736">
        <v>86</v>
      </c>
      <c r="J1736">
        <v>0</v>
      </c>
    </row>
    <row r="1737" spans="1:10" x14ac:dyDescent="0.25">
      <c r="A1737" t="s">
        <v>17</v>
      </c>
      <c r="B1737">
        <v>7172010015003400</v>
      </c>
      <c r="C1737">
        <v>227</v>
      </c>
      <c r="D1737">
        <v>216</v>
      </c>
      <c r="E1737">
        <v>5</v>
      </c>
      <c r="F1737">
        <v>0</v>
      </c>
      <c r="G1737">
        <v>4</v>
      </c>
      <c r="H1737">
        <v>0</v>
      </c>
      <c r="I1737">
        <v>2</v>
      </c>
      <c r="J1737">
        <v>0</v>
      </c>
    </row>
    <row r="1738" spans="1:10" x14ac:dyDescent="0.25">
      <c r="A1738" t="s">
        <v>17</v>
      </c>
      <c r="B1738">
        <v>7172010015000400</v>
      </c>
      <c r="C1738">
        <v>67</v>
      </c>
      <c r="D1738">
        <v>0</v>
      </c>
      <c r="E1738">
        <v>0</v>
      </c>
      <c r="F1738">
        <v>67</v>
      </c>
      <c r="G1738">
        <v>0</v>
      </c>
      <c r="H1738">
        <v>0</v>
      </c>
      <c r="I1738">
        <v>0</v>
      </c>
      <c r="J1738">
        <v>0</v>
      </c>
    </row>
    <row r="1739" spans="1:10" x14ac:dyDescent="0.25">
      <c r="A1739" t="s">
        <v>17</v>
      </c>
      <c r="B1739">
        <v>7172010015000100</v>
      </c>
      <c r="C1739">
        <v>56</v>
      </c>
      <c r="D1739">
        <v>0</v>
      </c>
      <c r="E1739">
        <v>0</v>
      </c>
      <c r="F1739">
        <v>56</v>
      </c>
      <c r="G1739">
        <v>0</v>
      </c>
      <c r="H1739">
        <v>0</v>
      </c>
      <c r="I1739">
        <v>0</v>
      </c>
      <c r="J1739">
        <v>0</v>
      </c>
    </row>
    <row r="1740" spans="1:10" x14ac:dyDescent="0.25">
      <c r="A1740" t="s">
        <v>17</v>
      </c>
      <c r="B1740">
        <v>7172010015000200</v>
      </c>
      <c r="C1740">
        <v>55</v>
      </c>
      <c r="D1740">
        <v>0</v>
      </c>
      <c r="E1740">
        <v>3</v>
      </c>
      <c r="F1740">
        <v>50</v>
      </c>
      <c r="G1740">
        <v>0</v>
      </c>
      <c r="H1740">
        <v>0</v>
      </c>
      <c r="I1740">
        <v>2</v>
      </c>
      <c r="J1740">
        <v>0</v>
      </c>
    </row>
    <row r="1741" spans="1:10" x14ac:dyDescent="0.25">
      <c r="A1741" t="s">
        <v>17</v>
      </c>
      <c r="B1741">
        <v>7172010015000300</v>
      </c>
      <c r="C1741">
        <v>44</v>
      </c>
      <c r="D1741">
        <v>0</v>
      </c>
      <c r="E1741">
        <v>0</v>
      </c>
      <c r="F1741">
        <v>37</v>
      </c>
      <c r="G1741">
        <v>0</v>
      </c>
      <c r="H1741">
        <v>0</v>
      </c>
      <c r="I1741">
        <v>7</v>
      </c>
      <c r="J1741">
        <v>0</v>
      </c>
    </row>
    <row r="1742" spans="1:10" x14ac:dyDescent="0.25">
      <c r="A1742" t="s">
        <v>17</v>
      </c>
      <c r="B1742">
        <v>7172010015000500</v>
      </c>
      <c r="C1742">
        <v>30</v>
      </c>
      <c r="D1742">
        <v>0</v>
      </c>
      <c r="E1742">
        <v>0</v>
      </c>
      <c r="F1742">
        <v>30</v>
      </c>
      <c r="G1742">
        <v>0</v>
      </c>
      <c r="H1742">
        <v>0</v>
      </c>
      <c r="I1742">
        <v>0</v>
      </c>
      <c r="J1742">
        <v>0</v>
      </c>
    </row>
    <row r="1743" spans="1:10" x14ac:dyDescent="0.25">
      <c r="A1743" t="s">
        <v>19</v>
      </c>
      <c r="B1743">
        <v>7172010016002300</v>
      </c>
      <c r="C1743">
        <v>151</v>
      </c>
      <c r="D1743">
        <v>33</v>
      </c>
      <c r="E1743">
        <v>0</v>
      </c>
      <c r="F1743">
        <v>109</v>
      </c>
      <c r="G1743">
        <v>0</v>
      </c>
      <c r="H1743">
        <v>0</v>
      </c>
      <c r="I1743">
        <v>9</v>
      </c>
      <c r="J1743">
        <v>0</v>
      </c>
    </row>
    <row r="1744" spans="1:10" x14ac:dyDescent="0.25">
      <c r="A1744" t="s">
        <v>19</v>
      </c>
      <c r="B1744">
        <v>7172010016002400</v>
      </c>
      <c r="C1744">
        <v>107</v>
      </c>
      <c r="D1744">
        <v>107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</row>
    <row r="1745" spans="1:10" x14ac:dyDescent="0.25">
      <c r="A1745" t="s">
        <v>19</v>
      </c>
      <c r="B1745">
        <v>7172010017000400</v>
      </c>
      <c r="C1745">
        <v>100</v>
      </c>
      <c r="D1745">
        <v>16</v>
      </c>
      <c r="E1745">
        <v>0</v>
      </c>
      <c r="F1745">
        <v>55</v>
      </c>
      <c r="G1745">
        <v>0</v>
      </c>
      <c r="H1745">
        <v>0</v>
      </c>
      <c r="I1745">
        <v>29</v>
      </c>
      <c r="J1745">
        <v>0</v>
      </c>
    </row>
    <row r="1746" spans="1:10" x14ac:dyDescent="0.25">
      <c r="A1746" t="s">
        <v>19</v>
      </c>
      <c r="B1746">
        <v>7172010016002500</v>
      </c>
      <c r="C1746">
        <v>85</v>
      </c>
      <c r="D1746">
        <v>21</v>
      </c>
      <c r="E1746">
        <v>0</v>
      </c>
      <c r="F1746">
        <v>63</v>
      </c>
      <c r="G1746">
        <v>0</v>
      </c>
      <c r="H1746">
        <v>0</v>
      </c>
      <c r="I1746">
        <v>0</v>
      </c>
      <c r="J1746">
        <v>1</v>
      </c>
    </row>
    <row r="1747" spans="1:10" x14ac:dyDescent="0.25">
      <c r="A1747" t="s">
        <v>19</v>
      </c>
      <c r="B1747">
        <v>7172010017000300</v>
      </c>
      <c r="C1747">
        <v>65</v>
      </c>
      <c r="D1747">
        <v>22</v>
      </c>
      <c r="E1747">
        <v>0</v>
      </c>
      <c r="F1747">
        <v>10</v>
      </c>
      <c r="G1747">
        <v>0</v>
      </c>
      <c r="H1747">
        <v>0</v>
      </c>
      <c r="I1747">
        <v>33</v>
      </c>
      <c r="J1747">
        <v>0</v>
      </c>
    </row>
    <row r="1748" spans="1:10" x14ac:dyDescent="0.25">
      <c r="A1748" t="s">
        <v>19</v>
      </c>
      <c r="B1748">
        <v>7172010017000200</v>
      </c>
      <c r="C1748">
        <v>61</v>
      </c>
      <c r="D1748">
        <v>60</v>
      </c>
      <c r="E1748">
        <v>0</v>
      </c>
      <c r="F1748">
        <v>0</v>
      </c>
      <c r="G1748">
        <v>1</v>
      </c>
      <c r="H1748">
        <v>0</v>
      </c>
      <c r="I1748">
        <v>0</v>
      </c>
      <c r="J1748">
        <v>0</v>
      </c>
    </row>
    <row r="1749" spans="1:10" x14ac:dyDescent="0.25">
      <c r="A1749" t="s">
        <v>19</v>
      </c>
      <c r="B1749">
        <v>7172010017000100</v>
      </c>
      <c r="C1749">
        <v>53</v>
      </c>
      <c r="D1749">
        <v>53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</row>
    <row r="1750" spans="1:10" x14ac:dyDescent="0.25">
      <c r="A1750" t="s">
        <v>19</v>
      </c>
      <c r="B1750">
        <v>7172010015000700</v>
      </c>
      <c r="C1750">
        <v>46</v>
      </c>
      <c r="D1750">
        <v>2</v>
      </c>
      <c r="E1750">
        <v>0</v>
      </c>
      <c r="F1750">
        <v>44</v>
      </c>
      <c r="G1750">
        <v>0</v>
      </c>
      <c r="H1750">
        <v>0</v>
      </c>
      <c r="I1750">
        <v>0</v>
      </c>
      <c r="J1750">
        <v>0</v>
      </c>
    </row>
    <row r="1751" spans="1:10" x14ac:dyDescent="0.25">
      <c r="A1751" t="s">
        <v>19</v>
      </c>
      <c r="B1751">
        <v>7172010016002600</v>
      </c>
      <c r="C1751">
        <v>43</v>
      </c>
      <c r="D1751">
        <v>20</v>
      </c>
      <c r="E1751">
        <v>0</v>
      </c>
      <c r="F1751">
        <v>23</v>
      </c>
      <c r="G1751">
        <v>0</v>
      </c>
      <c r="H1751">
        <v>0</v>
      </c>
      <c r="I1751">
        <v>0</v>
      </c>
      <c r="J1751">
        <v>0</v>
      </c>
    </row>
    <row r="1752" spans="1:10" x14ac:dyDescent="0.25">
      <c r="A1752" t="s">
        <v>20</v>
      </c>
      <c r="B1752">
        <v>7172010016001700</v>
      </c>
      <c r="C1752">
        <v>101</v>
      </c>
      <c r="D1752">
        <v>95</v>
      </c>
      <c r="E1752">
        <v>0</v>
      </c>
      <c r="F1752">
        <v>6</v>
      </c>
      <c r="G1752">
        <v>0</v>
      </c>
      <c r="H1752">
        <v>0</v>
      </c>
      <c r="I1752">
        <v>0</v>
      </c>
      <c r="J1752">
        <v>0</v>
      </c>
    </row>
    <row r="1753" spans="1:10" x14ac:dyDescent="0.25">
      <c r="A1753" t="s">
        <v>20</v>
      </c>
      <c r="B1753">
        <v>7172010016001800</v>
      </c>
      <c r="C1753">
        <v>97</v>
      </c>
      <c r="D1753">
        <v>0</v>
      </c>
      <c r="E1753">
        <v>0</v>
      </c>
      <c r="F1753">
        <v>97</v>
      </c>
      <c r="G1753">
        <v>0</v>
      </c>
      <c r="H1753">
        <v>0</v>
      </c>
      <c r="I1753">
        <v>0</v>
      </c>
      <c r="J1753">
        <v>0</v>
      </c>
    </row>
    <row r="1754" spans="1:10" x14ac:dyDescent="0.25">
      <c r="A1754" t="s">
        <v>20</v>
      </c>
      <c r="B1754">
        <v>7172010016002000</v>
      </c>
      <c r="C1754">
        <v>84</v>
      </c>
      <c r="D1754">
        <v>51</v>
      </c>
      <c r="E1754">
        <v>2</v>
      </c>
      <c r="F1754">
        <v>31</v>
      </c>
      <c r="G1754">
        <v>0</v>
      </c>
      <c r="H1754">
        <v>0</v>
      </c>
      <c r="I1754">
        <v>0</v>
      </c>
      <c r="J1754">
        <v>0</v>
      </c>
    </row>
    <row r="1755" spans="1:10" x14ac:dyDescent="0.25">
      <c r="A1755" t="s">
        <v>20</v>
      </c>
      <c r="B1755">
        <v>7172010016002200</v>
      </c>
      <c r="C1755">
        <v>62</v>
      </c>
      <c r="D1755">
        <v>56</v>
      </c>
      <c r="E1755">
        <v>2</v>
      </c>
      <c r="F1755">
        <v>4</v>
      </c>
      <c r="G1755">
        <v>0</v>
      </c>
      <c r="H1755">
        <v>0</v>
      </c>
      <c r="I1755">
        <v>0</v>
      </c>
      <c r="J1755">
        <v>0</v>
      </c>
    </row>
    <row r="1756" spans="1:10" x14ac:dyDescent="0.25">
      <c r="A1756" t="s">
        <v>20</v>
      </c>
      <c r="B1756">
        <v>7172010015000800</v>
      </c>
      <c r="C1756">
        <v>61</v>
      </c>
      <c r="D1756">
        <v>0</v>
      </c>
      <c r="E1756">
        <v>0</v>
      </c>
      <c r="F1756">
        <v>61</v>
      </c>
      <c r="G1756">
        <v>0</v>
      </c>
      <c r="H1756">
        <v>0</v>
      </c>
      <c r="I1756">
        <v>0</v>
      </c>
      <c r="J1756">
        <v>0</v>
      </c>
    </row>
    <row r="1757" spans="1:10" x14ac:dyDescent="0.25">
      <c r="A1757" t="s">
        <v>20</v>
      </c>
      <c r="B1757">
        <v>7172010016001900</v>
      </c>
      <c r="C1757">
        <v>60</v>
      </c>
      <c r="D1757">
        <v>0</v>
      </c>
      <c r="E1757">
        <v>0</v>
      </c>
      <c r="F1757">
        <v>60</v>
      </c>
      <c r="G1757">
        <v>0</v>
      </c>
      <c r="H1757">
        <v>0</v>
      </c>
      <c r="I1757">
        <v>0</v>
      </c>
      <c r="J1757">
        <v>0</v>
      </c>
    </row>
    <row r="1758" spans="1:10" x14ac:dyDescent="0.25">
      <c r="A1758" t="s">
        <v>20</v>
      </c>
      <c r="B1758">
        <v>7172010016002100</v>
      </c>
      <c r="C1758">
        <v>60</v>
      </c>
      <c r="D1758">
        <v>16</v>
      </c>
      <c r="E1758">
        <v>1</v>
      </c>
      <c r="F1758">
        <v>8</v>
      </c>
      <c r="G1758">
        <v>0</v>
      </c>
      <c r="H1758">
        <v>0</v>
      </c>
      <c r="I1758">
        <v>35</v>
      </c>
      <c r="J1758">
        <v>0</v>
      </c>
    </row>
    <row r="1759" spans="1:10" x14ac:dyDescent="0.25">
      <c r="A1759" t="s">
        <v>20</v>
      </c>
      <c r="B1759">
        <v>7172010016001600</v>
      </c>
      <c r="C1759">
        <v>49</v>
      </c>
      <c r="D1759">
        <v>0</v>
      </c>
      <c r="E1759">
        <v>0</v>
      </c>
      <c r="F1759">
        <v>25</v>
      </c>
      <c r="G1759">
        <v>0</v>
      </c>
      <c r="H1759">
        <v>0</v>
      </c>
      <c r="I1759">
        <v>24</v>
      </c>
      <c r="J1759">
        <v>0</v>
      </c>
    </row>
    <row r="1760" spans="1:10" x14ac:dyDescent="0.25">
      <c r="A1760" t="s">
        <v>20</v>
      </c>
      <c r="B1760">
        <v>7172010016001400</v>
      </c>
      <c r="C1760">
        <v>47</v>
      </c>
      <c r="D1760">
        <v>0</v>
      </c>
      <c r="E1760">
        <v>0</v>
      </c>
      <c r="F1760">
        <v>47</v>
      </c>
      <c r="G1760">
        <v>0</v>
      </c>
      <c r="H1760">
        <v>0</v>
      </c>
      <c r="I1760">
        <v>0</v>
      </c>
      <c r="J1760">
        <v>0</v>
      </c>
    </row>
    <row r="1761" spans="1:10" x14ac:dyDescent="0.25">
      <c r="A1761" t="s">
        <v>20</v>
      </c>
      <c r="B1761">
        <v>7172010016001500</v>
      </c>
      <c r="C1761">
        <v>45</v>
      </c>
      <c r="D1761">
        <v>38</v>
      </c>
      <c r="E1761">
        <v>0</v>
      </c>
      <c r="F1761">
        <v>7</v>
      </c>
      <c r="G1761">
        <v>0</v>
      </c>
      <c r="H1761">
        <v>0</v>
      </c>
      <c r="I1761">
        <v>0</v>
      </c>
      <c r="J1761">
        <v>0</v>
      </c>
    </row>
    <row r="1762" spans="1:10" x14ac:dyDescent="0.25">
      <c r="A1762" t="s">
        <v>22</v>
      </c>
      <c r="B1762">
        <v>7172010015002100</v>
      </c>
      <c r="C1762">
        <v>149</v>
      </c>
      <c r="D1762">
        <v>129</v>
      </c>
      <c r="E1762">
        <v>2</v>
      </c>
      <c r="F1762">
        <v>14</v>
      </c>
      <c r="G1762">
        <v>0</v>
      </c>
      <c r="H1762">
        <v>0</v>
      </c>
      <c r="I1762">
        <v>4</v>
      </c>
      <c r="J1762">
        <v>0</v>
      </c>
    </row>
    <row r="1763" spans="1:10" x14ac:dyDescent="0.25">
      <c r="A1763" t="s">
        <v>22</v>
      </c>
      <c r="B1763">
        <v>7172010015002400</v>
      </c>
      <c r="C1763">
        <v>138</v>
      </c>
      <c r="D1763">
        <v>95</v>
      </c>
      <c r="E1763">
        <v>0</v>
      </c>
      <c r="F1763">
        <v>29</v>
      </c>
      <c r="G1763">
        <v>1</v>
      </c>
      <c r="H1763">
        <v>0</v>
      </c>
      <c r="I1763">
        <v>13</v>
      </c>
      <c r="J1763">
        <v>0</v>
      </c>
    </row>
    <row r="1764" spans="1:10" x14ac:dyDescent="0.25">
      <c r="A1764" t="s">
        <v>22</v>
      </c>
      <c r="B1764">
        <v>7172010015002500</v>
      </c>
      <c r="C1764">
        <v>119</v>
      </c>
      <c r="D1764">
        <v>96</v>
      </c>
      <c r="E1764">
        <v>0</v>
      </c>
      <c r="F1764">
        <v>20</v>
      </c>
      <c r="G1764">
        <v>0</v>
      </c>
      <c r="H1764">
        <v>0</v>
      </c>
      <c r="I1764">
        <v>3</v>
      </c>
      <c r="J1764">
        <v>0</v>
      </c>
    </row>
    <row r="1765" spans="1:10" x14ac:dyDescent="0.25">
      <c r="A1765" t="s">
        <v>22</v>
      </c>
      <c r="B1765">
        <v>7172010015002200</v>
      </c>
      <c r="C1765">
        <v>115</v>
      </c>
      <c r="D1765">
        <v>19</v>
      </c>
      <c r="E1765">
        <v>0</v>
      </c>
      <c r="F1765">
        <v>25</v>
      </c>
      <c r="G1765">
        <v>0</v>
      </c>
      <c r="H1765">
        <v>0</v>
      </c>
      <c r="I1765">
        <v>71</v>
      </c>
      <c r="J1765">
        <v>0</v>
      </c>
    </row>
    <row r="1766" spans="1:10" x14ac:dyDescent="0.25">
      <c r="A1766" t="s">
        <v>22</v>
      </c>
      <c r="B1766">
        <v>7172010015002301</v>
      </c>
      <c r="C1766">
        <v>106</v>
      </c>
      <c r="D1766">
        <v>1</v>
      </c>
      <c r="E1766">
        <v>0</v>
      </c>
      <c r="F1766">
        <v>75</v>
      </c>
      <c r="G1766">
        <v>1</v>
      </c>
      <c r="H1766">
        <v>0</v>
      </c>
      <c r="I1766">
        <v>29</v>
      </c>
      <c r="J1766">
        <v>0</v>
      </c>
    </row>
    <row r="1767" spans="1:10" x14ac:dyDescent="0.25">
      <c r="A1767" t="s">
        <v>22</v>
      </c>
      <c r="B1767">
        <v>7172010015002601</v>
      </c>
      <c r="C1767">
        <v>71</v>
      </c>
      <c r="D1767">
        <v>0</v>
      </c>
      <c r="E1767">
        <v>0</v>
      </c>
      <c r="F1767">
        <v>70</v>
      </c>
      <c r="G1767">
        <v>0</v>
      </c>
      <c r="H1767">
        <v>0</v>
      </c>
      <c r="I1767">
        <v>1</v>
      </c>
      <c r="J1767">
        <v>0</v>
      </c>
    </row>
    <row r="1768" spans="1:10" x14ac:dyDescent="0.25">
      <c r="A1768" t="s">
        <v>22</v>
      </c>
      <c r="B1768">
        <v>7172010015001100</v>
      </c>
      <c r="C1768">
        <v>26</v>
      </c>
      <c r="D1768">
        <v>0</v>
      </c>
      <c r="E1768">
        <v>0</v>
      </c>
      <c r="F1768">
        <v>26</v>
      </c>
      <c r="G1768">
        <v>0</v>
      </c>
      <c r="H1768">
        <v>0</v>
      </c>
      <c r="I1768">
        <v>0</v>
      </c>
      <c r="J1768">
        <v>0</v>
      </c>
    </row>
    <row r="1769" spans="1:10" x14ac:dyDescent="0.25">
      <c r="A1769" t="s">
        <v>22</v>
      </c>
      <c r="B1769">
        <v>7172010015002302</v>
      </c>
      <c r="C1769">
        <v>6</v>
      </c>
      <c r="D1769">
        <v>0</v>
      </c>
      <c r="E1769">
        <v>0</v>
      </c>
      <c r="F1769">
        <v>6</v>
      </c>
      <c r="G1769">
        <v>0</v>
      </c>
      <c r="H1769">
        <v>0</v>
      </c>
      <c r="I1769">
        <v>0</v>
      </c>
      <c r="J1769">
        <v>0</v>
      </c>
    </row>
    <row r="1770" spans="1:10" x14ac:dyDescent="0.25">
      <c r="A1770" t="s">
        <v>24</v>
      </c>
      <c r="B1770">
        <v>7172010016001300</v>
      </c>
      <c r="C1770">
        <v>103</v>
      </c>
      <c r="D1770">
        <v>99</v>
      </c>
      <c r="E1770">
        <v>0</v>
      </c>
      <c r="F1770">
        <v>3</v>
      </c>
      <c r="G1770">
        <v>0</v>
      </c>
      <c r="H1770">
        <v>0</v>
      </c>
      <c r="I1770">
        <v>1</v>
      </c>
      <c r="J1770">
        <v>0</v>
      </c>
    </row>
    <row r="1771" spans="1:10" x14ac:dyDescent="0.25">
      <c r="A1771" t="s">
        <v>24</v>
      </c>
      <c r="B1771">
        <v>7172010016000700</v>
      </c>
      <c r="C1771">
        <v>77</v>
      </c>
      <c r="D1771">
        <v>69</v>
      </c>
      <c r="E1771">
        <v>2</v>
      </c>
      <c r="F1771">
        <v>4</v>
      </c>
      <c r="G1771">
        <v>0</v>
      </c>
      <c r="H1771">
        <v>0</v>
      </c>
      <c r="I1771">
        <v>2</v>
      </c>
      <c r="J1771">
        <v>0</v>
      </c>
    </row>
    <row r="1772" spans="1:10" x14ac:dyDescent="0.25">
      <c r="A1772" t="s">
        <v>24</v>
      </c>
      <c r="B1772">
        <v>7172010016001200</v>
      </c>
      <c r="C1772">
        <v>76</v>
      </c>
      <c r="D1772">
        <v>0</v>
      </c>
      <c r="E1772">
        <v>2</v>
      </c>
      <c r="F1772">
        <v>5</v>
      </c>
      <c r="G1772">
        <v>0</v>
      </c>
      <c r="H1772">
        <v>0</v>
      </c>
      <c r="I1772">
        <v>69</v>
      </c>
      <c r="J1772">
        <v>0</v>
      </c>
    </row>
    <row r="1773" spans="1:10" x14ac:dyDescent="0.25">
      <c r="A1773" t="s">
        <v>24</v>
      </c>
      <c r="B1773">
        <v>7172010016000500</v>
      </c>
      <c r="C1773">
        <v>71</v>
      </c>
      <c r="D1773">
        <v>0</v>
      </c>
      <c r="E1773">
        <v>0</v>
      </c>
      <c r="F1773">
        <v>71</v>
      </c>
      <c r="G1773">
        <v>0</v>
      </c>
      <c r="H1773">
        <v>0</v>
      </c>
      <c r="I1773">
        <v>0</v>
      </c>
      <c r="J1773">
        <v>0</v>
      </c>
    </row>
    <row r="1774" spans="1:10" x14ac:dyDescent="0.25">
      <c r="A1774" t="s">
        <v>24</v>
      </c>
      <c r="B1774">
        <v>7172010016000800</v>
      </c>
      <c r="C1774">
        <v>65</v>
      </c>
      <c r="D1774">
        <v>60</v>
      </c>
      <c r="E1774">
        <v>0</v>
      </c>
      <c r="F1774">
        <v>5</v>
      </c>
      <c r="G1774">
        <v>0</v>
      </c>
      <c r="H1774">
        <v>0</v>
      </c>
      <c r="I1774">
        <v>0</v>
      </c>
      <c r="J1774">
        <v>0</v>
      </c>
    </row>
    <row r="1775" spans="1:10" x14ac:dyDescent="0.25">
      <c r="A1775" t="s">
        <v>24</v>
      </c>
      <c r="B1775">
        <v>7172010016001000</v>
      </c>
      <c r="C1775">
        <v>55</v>
      </c>
      <c r="D1775">
        <v>47</v>
      </c>
      <c r="E1775">
        <v>1</v>
      </c>
      <c r="F1775">
        <v>7</v>
      </c>
      <c r="G1775">
        <v>0</v>
      </c>
      <c r="H1775">
        <v>0</v>
      </c>
      <c r="I1775">
        <v>0</v>
      </c>
      <c r="J1775">
        <v>0</v>
      </c>
    </row>
    <row r="1776" spans="1:10" x14ac:dyDescent="0.25">
      <c r="A1776" t="s">
        <v>24</v>
      </c>
      <c r="B1776">
        <v>7172010016000600</v>
      </c>
      <c r="C1776">
        <v>54</v>
      </c>
      <c r="D1776">
        <v>0</v>
      </c>
      <c r="E1776">
        <v>0</v>
      </c>
      <c r="F1776">
        <v>54</v>
      </c>
      <c r="G1776">
        <v>0</v>
      </c>
      <c r="H1776">
        <v>0</v>
      </c>
      <c r="I1776">
        <v>0</v>
      </c>
      <c r="J1776">
        <v>0</v>
      </c>
    </row>
    <row r="1777" spans="1:10" x14ac:dyDescent="0.25">
      <c r="A1777" t="s">
        <v>24</v>
      </c>
      <c r="B1777">
        <v>7172010016000300</v>
      </c>
      <c r="C1777">
        <v>48</v>
      </c>
      <c r="D1777">
        <v>0</v>
      </c>
      <c r="E1777">
        <v>0</v>
      </c>
      <c r="F1777">
        <v>48</v>
      </c>
      <c r="G1777">
        <v>0</v>
      </c>
      <c r="H1777">
        <v>0</v>
      </c>
      <c r="I1777">
        <v>0</v>
      </c>
      <c r="J1777">
        <v>0</v>
      </c>
    </row>
    <row r="1778" spans="1:10" x14ac:dyDescent="0.25">
      <c r="A1778" t="s">
        <v>24</v>
      </c>
      <c r="B1778">
        <v>7172010016000400</v>
      </c>
      <c r="C1778">
        <v>48</v>
      </c>
      <c r="D1778">
        <v>1</v>
      </c>
      <c r="E1778">
        <v>0</v>
      </c>
      <c r="F1778">
        <v>47</v>
      </c>
      <c r="G1778">
        <v>0</v>
      </c>
      <c r="H1778">
        <v>0</v>
      </c>
      <c r="I1778">
        <v>0</v>
      </c>
      <c r="J1778">
        <v>0</v>
      </c>
    </row>
    <row r="1779" spans="1:10" x14ac:dyDescent="0.25">
      <c r="A1779" t="s">
        <v>24</v>
      </c>
      <c r="B1779">
        <v>7172010016000900</v>
      </c>
      <c r="C1779">
        <v>45</v>
      </c>
      <c r="D1779">
        <v>0</v>
      </c>
      <c r="E1779">
        <v>18</v>
      </c>
      <c r="F1779">
        <v>22</v>
      </c>
      <c r="G1779">
        <v>0</v>
      </c>
      <c r="H1779">
        <v>0</v>
      </c>
      <c r="I1779">
        <v>5</v>
      </c>
      <c r="J1779">
        <v>0</v>
      </c>
    </row>
    <row r="1780" spans="1:10" x14ac:dyDescent="0.25">
      <c r="A1780" t="s">
        <v>24</v>
      </c>
      <c r="B1780">
        <v>7172010016001100</v>
      </c>
      <c r="C1780">
        <v>37</v>
      </c>
      <c r="D1780">
        <v>0</v>
      </c>
      <c r="E1780">
        <v>4</v>
      </c>
      <c r="F1780">
        <v>5</v>
      </c>
      <c r="G1780">
        <v>0</v>
      </c>
      <c r="H1780">
        <v>0</v>
      </c>
      <c r="I1780">
        <v>28</v>
      </c>
      <c r="J1780">
        <v>0</v>
      </c>
    </row>
    <row r="1781" spans="1:10" x14ac:dyDescent="0.25">
      <c r="A1781" t="s">
        <v>18</v>
      </c>
      <c r="B1781">
        <v>7172010017001300</v>
      </c>
      <c r="C1781">
        <v>149</v>
      </c>
      <c r="D1781">
        <v>134</v>
      </c>
      <c r="E1781">
        <v>4</v>
      </c>
      <c r="F1781">
        <v>0</v>
      </c>
      <c r="G1781">
        <v>1</v>
      </c>
      <c r="H1781">
        <v>0</v>
      </c>
      <c r="I1781">
        <v>10</v>
      </c>
      <c r="J1781">
        <v>0</v>
      </c>
    </row>
    <row r="1782" spans="1:10" x14ac:dyDescent="0.25">
      <c r="A1782" t="s">
        <v>18</v>
      </c>
      <c r="B1782">
        <v>7172010017001800</v>
      </c>
      <c r="C1782">
        <v>102</v>
      </c>
      <c r="D1782">
        <v>93</v>
      </c>
      <c r="E1782">
        <v>8</v>
      </c>
      <c r="F1782">
        <v>0</v>
      </c>
      <c r="G1782">
        <v>0</v>
      </c>
      <c r="H1782">
        <v>0</v>
      </c>
      <c r="I1782">
        <v>1</v>
      </c>
      <c r="J1782">
        <v>0</v>
      </c>
    </row>
    <row r="1783" spans="1:10" x14ac:dyDescent="0.25">
      <c r="A1783" t="s">
        <v>18</v>
      </c>
      <c r="B1783">
        <v>7172010017002100</v>
      </c>
      <c r="C1783">
        <v>101</v>
      </c>
      <c r="D1783">
        <v>38</v>
      </c>
      <c r="E1783">
        <v>3</v>
      </c>
      <c r="F1783">
        <v>22</v>
      </c>
      <c r="G1783">
        <v>0</v>
      </c>
      <c r="H1783">
        <v>0</v>
      </c>
      <c r="I1783">
        <v>38</v>
      </c>
      <c r="J1783">
        <v>0</v>
      </c>
    </row>
    <row r="1784" spans="1:10" x14ac:dyDescent="0.25">
      <c r="A1784" t="s">
        <v>18</v>
      </c>
      <c r="B1784">
        <v>7172010017001900</v>
      </c>
      <c r="C1784">
        <v>78</v>
      </c>
      <c r="D1784">
        <v>63</v>
      </c>
      <c r="E1784">
        <v>5</v>
      </c>
      <c r="F1784">
        <v>6</v>
      </c>
      <c r="G1784">
        <v>0</v>
      </c>
      <c r="H1784">
        <v>0</v>
      </c>
      <c r="I1784">
        <v>4</v>
      </c>
      <c r="J1784">
        <v>0</v>
      </c>
    </row>
    <row r="1785" spans="1:10" x14ac:dyDescent="0.25">
      <c r="A1785" t="s">
        <v>18</v>
      </c>
      <c r="B1785">
        <v>7172010017001500</v>
      </c>
      <c r="C1785">
        <v>71</v>
      </c>
      <c r="D1785">
        <v>0</v>
      </c>
      <c r="E1785">
        <v>1</v>
      </c>
      <c r="F1785">
        <v>70</v>
      </c>
      <c r="G1785">
        <v>0</v>
      </c>
      <c r="H1785">
        <v>0</v>
      </c>
      <c r="I1785">
        <v>0</v>
      </c>
      <c r="J1785">
        <v>0</v>
      </c>
    </row>
    <row r="1786" spans="1:10" x14ac:dyDescent="0.25">
      <c r="A1786" t="s">
        <v>18</v>
      </c>
      <c r="B1786">
        <v>7172010017002000</v>
      </c>
      <c r="C1786">
        <v>64</v>
      </c>
      <c r="D1786">
        <v>0</v>
      </c>
      <c r="E1786">
        <v>12</v>
      </c>
      <c r="F1786">
        <v>38</v>
      </c>
      <c r="G1786">
        <v>0</v>
      </c>
      <c r="H1786">
        <v>0</v>
      </c>
      <c r="I1786">
        <v>14</v>
      </c>
      <c r="J1786">
        <v>0</v>
      </c>
    </row>
    <row r="1787" spans="1:10" x14ac:dyDescent="0.25">
      <c r="A1787" t="s">
        <v>18</v>
      </c>
      <c r="B1787">
        <v>7172010017001600</v>
      </c>
      <c r="C1787">
        <v>55</v>
      </c>
      <c r="D1787">
        <v>0</v>
      </c>
      <c r="E1787">
        <v>0</v>
      </c>
      <c r="F1787">
        <v>55</v>
      </c>
      <c r="G1787">
        <v>0</v>
      </c>
      <c r="H1787">
        <v>0</v>
      </c>
      <c r="I1787">
        <v>0</v>
      </c>
      <c r="J1787">
        <v>0</v>
      </c>
    </row>
    <row r="1788" spans="1:10" x14ac:dyDescent="0.25">
      <c r="A1788" t="s">
        <v>18</v>
      </c>
      <c r="B1788">
        <v>7172010015000600</v>
      </c>
      <c r="C1788">
        <v>45</v>
      </c>
      <c r="D1788">
        <v>0</v>
      </c>
      <c r="E1788">
        <v>0</v>
      </c>
      <c r="F1788">
        <v>45</v>
      </c>
      <c r="G1788">
        <v>0</v>
      </c>
      <c r="H1788">
        <v>0</v>
      </c>
      <c r="I1788">
        <v>0</v>
      </c>
      <c r="J1788">
        <v>0</v>
      </c>
    </row>
    <row r="1789" spans="1:10" x14ac:dyDescent="0.25">
      <c r="A1789" t="s">
        <v>18</v>
      </c>
      <c r="B1789">
        <v>7172010017001700</v>
      </c>
      <c r="C1789">
        <v>34</v>
      </c>
      <c r="D1789">
        <v>0</v>
      </c>
      <c r="E1789">
        <v>9</v>
      </c>
      <c r="F1789">
        <v>24</v>
      </c>
      <c r="G1789">
        <v>0</v>
      </c>
      <c r="H1789">
        <v>0</v>
      </c>
      <c r="I1789">
        <v>1</v>
      </c>
      <c r="J1789">
        <v>0</v>
      </c>
    </row>
    <row r="1790" spans="1:10" x14ac:dyDescent="0.25">
      <c r="A1790" t="s">
        <v>26</v>
      </c>
      <c r="B1790">
        <v>7172011001000100</v>
      </c>
      <c r="C1790">
        <v>154</v>
      </c>
      <c r="D1790">
        <v>121</v>
      </c>
      <c r="E1790">
        <v>21</v>
      </c>
      <c r="F1790">
        <v>12</v>
      </c>
      <c r="G1790">
        <v>0</v>
      </c>
      <c r="H1790">
        <v>0</v>
      </c>
      <c r="I1790">
        <v>0</v>
      </c>
      <c r="J1790">
        <v>0</v>
      </c>
    </row>
    <row r="1791" spans="1:10" x14ac:dyDescent="0.25">
      <c r="A1791" t="s">
        <v>26</v>
      </c>
      <c r="B1791">
        <v>7172011004002000</v>
      </c>
      <c r="C1791">
        <v>108</v>
      </c>
      <c r="D1791">
        <v>5</v>
      </c>
      <c r="E1791">
        <v>5</v>
      </c>
      <c r="F1791">
        <v>98</v>
      </c>
      <c r="G1791">
        <v>0</v>
      </c>
      <c r="H1791">
        <v>0</v>
      </c>
      <c r="I1791">
        <v>0</v>
      </c>
      <c r="J1791">
        <v>0</v>
      </c>
    </row>
    <row r="1792" spans="1:10" x14ac:dyDescent="0.25">
      <c r="A1792" t="s">
        <v>26</v>
      </c>
      <c r="B1792">
        <v>7172011001000600</v>
      </c>
      <c r="C1792">
        <v>96</v>
      </c>
      <c r="D1792">
        <v>55</v>
      </c>
      <c r="E1792">
        <v>22</v>
      </c>
      <c r="F1792">
        <v>19</v>
      </c>
      <c r="G1792">
        <v>0</v>
      </c>
      <c r="H1792">
        <v>0</v>
      </c>
      <c r="I1792">
        <v>0</v>
      </c>
      <c r="J1792">
        <v>0</v>
      </c>
    </row>
    <row r="1793" spans="1:10" x14ac:dyDescent="0.25">
      <c r="A1793" t="s">
        <v>26</v>
      </c>
      <c r="B1793">
        <v>7172011001000200</v>
      </c>
      <c r="C1793">
        <v>85</v>
      </c>
      <c r="D1793">
        <v>37</v>
      </c>
      <c r="E1793">
        <v>26</v>
      </c>
      <c r="F1793">
        <v>18</v>
      </c>
      <c r="G1793">
        <v>4</v>
      </c>
      <c r="H1793">
        <v>0</v>
      </c>
      <c r="I1793">
        <v>0</v>
      </c>
      <c r="J1793">
        <v>0</v>
      </c>
    </row>
    <row r="1794" spans="1:10" x14ac:dyDescent="0.25">
      <c r="A1794" t="s">
        <v>26</v>
      </c>
      <c r="B1794">
        <v>7172011001000300</v>
      </c>
      <c r="C1794">
        <v>81</v>
      </c>
      <c r="D1794">
        <v>19</v>
      </c>
      <c r="E1794">
        <v>10</v>
      </c>
      <c r="F1794">
        <v>52</v>
      </c>
      <c r="G1794">
        <v>0</v>
      </c>
      <c r="H1794">
        <v>0</v>
      </c>
      <c r="I1794">
        <v>0</v>
      </c>
      <c r="J1794">
        <v>0</v>
      </c>
    </row>
    <row r="1795" spans="1:10" x14ac:dyDescent="0.25">
      <c r="A1795" t="s">
        <v>26</v>
      </c>
      <c r="B1795">
        <v>7172011004002100</v>
      </c>
      <c r="C1795">
        <v>76</v>
      </c>
      <c r="D1795">
        <v>30</v>
      </c>
      <c r="E1795">
        <v>4</v>
      </c>
      <c r="F1795">
        <v>38</v>
      </c>
      <c r="G1795">
        <v>4</v>
      </c>
      <c r="H1795">
        <v>0</v>
      </c>
      <c r="I1795">
        <v>0</v>
      </c>
      <c r="J1795">
        <v>0</v>
      </c>
    </row>
    <row r="1796" spans="1:10" x14ac:dyDescent="0.25">
      <c r="A1796" t="s">
        <v>26</v>
      </c>
      <c r="B1796">
        <v>7172011001000500</v>
      </c>
      <c r="C1796">
        <v>71</v>
      </c>
      <c r="D1796">
        <v>59</v>
      </c>
      <c r="E1796">
        <v>8</v>
      </c>
      <c r="F1796">
        <v>4</v>
      </c>
      <c r="G1796">
        <v>0</v>
      </c>
      <c r="H1796">
        <v>0</v>
      </c>
      <c r="I1796">
        <v>0</v>
      </c>
      <c r="J1796">
        <v>0</v>
      </c>
    </row>
    <row r="1797" spans="1:10" x14ac:dyDescent="0.25">
      <c r="A1797" t="s">
        <v>26</v>
      </c>
      <c r="B1797">
        <v>7172011001000400</v>
      </c>
      <c r="C1797">
        <v>59</v>
      </c>
      <c r="D1797">
        <v>10</v>
      </c>
      <c r="E1797">
        <v>1</v>
      </c>
      <c r="F1797">
        <v>47</v>
      </c>
      <c r="G1797">
        <v>1</v>
      </c>
      <c r="H1797">
        <v>0</v>
      </c>
      <c r="I1797">
        <v>0</v>
      </c>
      <c r="J1797">
        <v>0</v>
      </c>
    </row>
    <row r="1798" spans="1:10" x14ac:dyDescent="0.25">
      <c r="A1798" t="s">
        <v>28</v>
      </c>
      <c r="B1798">
        <v>7172011002000100</v>
      </c>
      <c r="C1798">
        <v>166</v>
      </c>
      <c r="D1798">
        <v>42</v>
      </c>
      <c r="E1798">
        <v>2</v>
      </c>
      <c r="F1798">
        <v>121</v>
      </c>
      <c r="G1798">
        <v>1</v>
      </c>
      <c r="H1798">
        <v>0</v>
      </c>
      <c r="I1798">
        <v>0</v>
      </c>
      <c r="J1798">
        <v>0</v>
      </c>
    </row>
    <row r="1799" spans="1:10" x14ac:dyDescent="0.25">
      <c r="A1799" t="s">
        <v>28</v>
      </c>
      <c r="B1799">
        <v>7172011002000700</v>
      </c>
      <c r="C1799">
        <v>116</v>
      </c>
      <c r="D1799">
        <v>103</v>
      </c>
      <c r="E1799">
        <v>2</v>
      </c>
      <c r="F1799">
        <v>11</v>
      </c>
      <c r="G1799">
        <v>0</v>
      </c>
      <c r="H1799">
        <v>0</v>
      </c>
      <c r="I1799">
        <v>0</v>
      </c>
      <c r="J1799">
        <v>0</v>
      </c>
    </row>
    <row r="1800" spans="1:10" x14ac:dyDescent="0.25">
      <c r="A1800" t="s">
        <v>28</v>
      </c>
      <c r="B1800">
        <v>7172011002000500</v>
      </c>
      <c r="C1800">
        <v>109</v>
      </c>
      <c r="D1800">
        <v>97</v>
      </c>
      <c r="E1800">
        <v>12</v>
      </c>
      <c r="F1800">
        <v>0</v>
      </c>
      <c r="G1800">
        <v>0</v>
      </c>
      <c r="H1800">
        <v>0</v>
      </c>
      <c r="I1800">
        <v>0</v>
      </c>
      <c r="J1800">
        <v>0</v>
      </c>
    </row>
    <row r="1801" spans="1:10" x14ac:dyDescent="0.25">
      <c r="A1801" t="s">
        <v>28</v>
      </c>
      <c r="B1801">
        <v>7172011002000200</v>
      </c>
      <c r="C1801">
        <v>89</v>
      </c>
      <c r="D1801">
        <v>22</v>
      </c>
      <c r="E1801">
        <v>3</v>
      </c>
      <c r="F1801">
        <v>59</v>
      </c>
      <c r="G1801">
        <v>0</v>
      </c>
      <c r="H1801">
        <v>0</v>
      </c>
      <c r="I1801">
        <v>5</v>
      </c>
      <c r="J1801">
        <v>0</v>
      </c>
    </row>
    <row r="1802" spans="1:10" x14ac:dyDescent="0.25">
      <c r="A1802" t="s">
        <v>28</v>
      </c>
      <c r="B1802">
        <v>7172011002000400</v>
      </c>
      <c r="C1802">
        <v>86</v>
      </c>
      <c r="D1802">
        <v>1</v>
      </c>
      <c r="E1802">
        <v>0</v>
      </c>
      <c r="F1802">
        <v>85</v>
      </c>
      <c r="G1802">
        <v>0</v>
      </c>
      <c r="H1802">
        <v>0</v>
      </c>
      <c r="I1802">
        <v>0</v>
      </c>
      <c r="J1802">
        <v>0</v>
      </c>
    </row>
    <row r="1803" spans="1:10" x14ac:dyDescent="0.25">
      <c r="A1803" t="s">
        <v>28</v>
      </c>
      <c r="B1803">
        <v>7172011002000300</v>
      </c>
      <c r="C1803">
        <v>85</v>
      </c>
      <c r="D1803">
        <v>47</v>
      </c>
      <c r="E1803">
        <v>3</v>
      </c>
      <c r="F1803">
        <v>35</v>
      </c>
      <c r="G1803">
        <v>0</v>
      </c>
      <c r="H1803">
        <v>0</v>
      </c>
      <c r="I1803">
        <v>0</v>
      </c>
      <c r="J1803">
        <v>0</v>
      </c>
    </row>
    <row r="1804" spans="1:10" x14ac:dyDescent="0.25">
      <c r="A1804" t="s">
        <v>28</v>
      </c>
      <c r="B1804">
        <v>7172011002000800</v>
      </c>
      <c r="C1804">
        <v>54</v>
      </c>
      <c r="D1804">
        <v>38</v>
      </c>
      <c r="E1804">
        <v>1</v>
      </c>
      <c r="F1804">
        <v>12</v>
      </c>
      <c r="G1804">
        <v>3</v>
      </c>
      <c r="H1804">
        <v>0</v>
      </c>
      <c r="I1804">
        <v>0</v>
      </c>
      <c r="J1804">
        <v>0</v>
      </c>
    </row>
    <row r="1805" spans="1:10" x14ac:dyDescent="0.25">
      <c r="A1805" t="s">
        <v>35</v>
      </c>
      <c r="B1805">
        <v>7172011003001801</v>
      </c>
      <c r="C1805">
        <v>254</v>
      </c>
      <c r="D1805">
        <v>38</v>
      </c>
      <c r="E1805">
        <v>10</v>
      </c>
      <c r="F1805">
        <v>186</v>
      </c>
      <c r="G1805">
        <v>0</v>
      </c>
      <c r="H1805">
        <v>0</v>
      </c>
      <c r="I1805">
        <v>20</v>
      </c>
      <c r="J1805">
        <v>0</v>
      </c>
    </row>
    <row r="1806" spans="1:10" x14ac:dyDescent="0.25">
      <c r="A1806" t="s">
        <v>35</v>
      </c>
      <c r="B1806">
        <v>7172011003001900</v>
      </c>
      <c r="C1806">
        <v>132</v>
      </c>
      <c r="D1806">
        <v>93</v>
      </c>
      <c r="E1806">
        <v>6</v>
      </c>
      <c r="F1806">
        <v>1</v>
      </c>
      <c r="G1806">
        <v>21</v>
      </c>
      <c r="H1806">
        <v>0</v>
      </c>
      <c r="I1806">
        <v>11</v>
      </c>
      <c r="J1806">
        <v>0</v>
      </c>
    </row>
    <row r="1807" spans="1:10" x14ac:dyDescent="0.25">
      <c r="A1807" t="s">
        <v>35</v>
      </c>
      <c r="B1807">
        <v>7172011003001700</v>
      </c>
      <c r="C1807">
        <v>70</v>
      </c>
      <c r="D1807">
        <v>27</v>
      </c>
      <c r="E1807">
        <v>1</v>
      </c>
      <c r="F1807">
        <v>42</v>
      </c>
      <c r="G1807">
        <v>0</v>
      </c>
      <c r="H1807">
        <v>0</v>
      </c>
      <c r="I1807">
        <v>0</v>
      </c>
      <c r="J1807">
        <v>0</v>
      </c>
    </row>
    <row r="1808" spans="1:10" x14ac:dyDescent="0.25">
      <c r="A1808" t="s">
        <v>35</v>
      </c>
      <c r="B1808">
        <v>7172011003001802</v>
      </c>
      <c r="C1808">
        <v>70</v>
      </c>
      <c r="D1808">
        <v>21</v>
      </c>
      <c r="E1808">
        <v>1</v>
      </c>
      <c r="F1808">
        <v>41</v>
      </c>
      <c r="G1808">
        <v>0</v>
      </c>
      <c r="H1808">
        <v>0</v>
      </c>
      <c r="I1808">
        <v>7</v>
      </c>
      <c r="J1808">
        <v>0</v>
      </c>
    </row>
    <row r="1809" spans="1:10" x14ac:dyDescent="0.25">
      <c r="A1809" t="s">
        <v>35</v>
      </c>
      <c r="B1809">
        <v>7172011003001300</v>
      </c>
      <c r="C1809">
        <v>67</v>
      </c>
      <c r="D1809">
        <v>64</v>
      </c>
      <c r="E1809">
        <v>2</v>
      </c>
      <c r="F1809">
        <v>0</v>
      </c>
      <c r="G1809">
        <v>0</v>
      </c>
      <c r="H1809">
        <v>0</v>
      </c>
      <c r="I1809">
        <v>1</v>
      </c>
      <c r="J1809">
        <v>0</v>
      </c>
    </row>
    <row r="1810" spans="1:10" x14ac:dyDescent="0.25">
      <c r="A1810" t="s">
        <v>35</v>
      </c>
      <c r="B1810">
        <v>7172011003001002</v>
      </c>
      <c r="C1810">
        <v>52</v>
      </c>
      <c r="D1810">
        <v>0</v>
      </c>
      <c r="E1810">
        <v>0</v>
      </c>
      <c r="F1810">
        <v>47</v>
      </c>
      <c r="G1810">
        <v>0</v>
      </c>
      <c r="H1810">
        <v>0</v>
      </c>
      <c r="I1810">
        <v>5</v>
      </c>
      <c r="J1810">
        <v>0</v>
      </c>
    </row>
    <row r="1811" spans="1:10" x14ac:dyDescent="0.25">
      <c r="A1811" t="s">
        <v>37</v>
      </c>
      <c r="B1811">
        <v>7172011003002602</v>
      </c>
      <c r="C1811">
        <v>224</v>
      </c>
      <c r="D1811">
        <v>164</v>
      </c>
      <c r="E1811">
        <v>5</v>
      </c>
      <c r="F1811">
        <v>15</v>
      </c>
      <c r="G1811">
        <v>2</v>
      </c>
      <c r="H1811">
        <v>1</v>
      </c>
      <c r="I1811">
        <v>37</v>
      </c>
      <c r="J1811">
        <v>0</v>
      </c>
    </row>
    <row r="1812" spans="1:10" x14ac:dyDescent="0.25">
      <c r="A1812" t="s">
        <v>37</v>
      </c>
      <c r="B1812">
        <v>7172011003002500</v>
      </c>
      <c r="C1812">
        <v>189</v>
      </c>
      <c r="D1812">
        <v>80</v>
      </c>
      <c r="E1812">
        <v>1</v>
      </c>
      <c r="F1812">
        <v>70</v>
      </c>
      <c r="G1812">
        <v>0</v>
      </c>
      <c r="H1812">
        <v>0</v>
      </c>
      <c r="I1812">
        <v>38</v>
      </c>
      <c r="J1812">
        <v>0</v>
      </c>
    </row>
    <row r="1813" spans="1:10" x14ac:dyDescent="0.25">
      <c r="A1813" t="s">
        <v>37</v>
      </c>
      <c r="B1813">
        <v>7172011003002601</v>
      </c>
      <c r="C1813">
        <v>185</v>
      </c>
      <c r="D1813">
        <v>32</v>
      </c>
      <c r="E1813">
        <v>4</v>
      </c>
      <c r="F1813">
        <v>79</v>
      </c>
      <c r="G1813">
        <v>1</v>
      </c>
      <c r="H1813">
        <v>0</v>
      </c>
      <c r="I1813">
        <v>69</v>
      </c>
      <c r="J1813">
        <v>0</v>
      </c>
    </row>
    <row r="1814" spans="1:10" x14ac:dyDescent="0.25">
      <c r="A1814" t="s">
        <v>37</v>
      </c>
      <c r="B1814">
        <v>7172011003003501</v>
      </c>
      <c r="C1814">
        <v>129</v>
      </c>
      <c r="D1814">
        <v>0</v>
      </c>
      <c r="E1814">
        <v>0</v>
      </c>
      <c r="F1814">
        <v>129</v>
      </c>
      <c r="G1814">
        <v>0</v>
      </c>
      <c r="H1814">
        <v>0</v>
      </c>
      <c r="I1814">
        <v>0</v>
      </c>
      <c r="J1814">
        <v>0</v>
      </c>
    </row>
    <row r="1815" spans="1:10" x14ac:dyDescent="0.25">
      <c r="A1815" t="s">
        <v>37</v>
      </c>
      <c r="B1815">
        <v>7172011003002603</v>
      </c>
      <c r="C1815">
        <v>39</v>
      </c>
      <c r="D1815">
        <v>0</v>
      </c>
      <c r="E1815">
        <v>0</v>
      </c>
      <c r="F1815">
        <v>37</v>
      </c>
      <c r="G1815">
        <v>0</v>
      </c>
      <c r="H1815">
        <v>0</v>
      </c>
      <c r="I1815">
        <v>2</v>
      </c>
      <c r="J1815">
        <v>0</v>
      </c>
    </row>
    <row r="1816" spans="1:10" x14ac:dyDescent="0.25">
      <c r="A1816" t="s">
        <v>38</v>
      </c>
      <c r="B1816">
        <v>7172011003003100</v>
      </c>
      <c r="C1816">
        <v>211</v>
      </c>
      <c r="D1816">
        <v>152</v>
      </c>
      <c r="E1816">
        <v>9</v>
      </c>
      <c r="F1816">
        <v>2</v>
      </c>
      <c r="G1816">
        <v>0</v>
      </c>
      <c r="H1816">
        <v>0</v>
      </c>
      <c r="I1816">
        <v>48</v>
      </c>
      <c r="J1816">
        <v>0</v>
      </c>
    </row>
    <row r="1817" spans="1:10" x14ac:dyDescent="0.25">
      <c r="A1817" t="s">
        <v>38</v>
      </c>
      <c r="B1817">
        <v>7172011003003000</v>
      </c>
      <c r="C1817">
        <v>135</v>
      </c>
      <c r="D1817">
        <v>86</v>
      </c>
      <c r="E1817">
        <v>4</v>
      </c>
      <c r="F1817">
        <v>6</v>
      </c>
      <c r="G1817">
        <v>0</v>
      </c>
      <c r="H1817">
        <v>0</v>
      </c>
      <c r="I1817">
        <v>39</v>
      </c>
      <c r="J1817">
        <v>0</v>
      </c>
    </row>
    <row r="1818" spans="1:10" x14ac:dyDescent="0.25">
      <c r="A1818" t="s">
        <v>38</v>
      </c>
      <c r="B1818">
        <v>7172011003002700</v>
      </c>
      <c r="C1818">
        <v>108</v>
      </c>
      <c r="D1818">
        <v>0</v>
      </c>
      <c r="E1818">
        <v>5</v>
      </c>
      <c r="F1818">
        <v>76</v>
      </c>
      <c r="G1818">
        <v>0</v>
      </c>
      <c r="H1818">
        <v>0</v>
      </c>
      <c r="I1818">
        <v>27</v>
      </c>
      <c r="J1818">
        <v>0</v>
      </c>
    </row>
    <row r="1819" spans="1:10" x14ac:dyDescent="0.25">
      <c r="A1819" t="s">
        <v>38</v>
      </c>
      <c r="B1819">
        <v>7172011003002900</v>
      </c>
      <c r="C1819">
        <v>102</v>
      </c>
      <c r="D1819">
        <v>43</v>
      </c>
      <c r="E1819">
        <v>2</v>
      </c>
      <c r="F1819">
        <v>3</v>
      </c>
      <c r="G1819">
        <v>0</v>
      </c>
      <c r="H1819">
        <v>0</v>
      </c>
      <c r="I1819">
        <v>54</v>
      </c>
      <c r="J1819">
        <v>0</v>
      </c>
    </row>
    <row r="1820" spans="1:10" x14ac:dyDescent="0.25">
      <c r="A1820" t="s">
        <v>38</v>
      </c>
      <c r="B1820">
        <v>7172011003002801</v>
      </c>
      <c r="C1820">
        <v>93</v>
      </c>
      <c r="D1820">
        <v>0</v>
      </c>
      <c r="E1820">
        <v>0</v>
      </c>
      <c r="F1820">
        <v>93</v>
      </c>
      <c r="G1820">
        <v>0</v>
      </c>
      <c r="H1820">
        <v>0</v>
      </c>
      <c r="I1820">
        <v>0</v>
      </c>
      <c r="J1820">
        <v>0</v>
      </c>
    </row>
    <row r="1821" spans="1:10" x14ac:dyDescent="0.25">
      <c r="A1821" t="s">
        <v>38</v>
      </c>
      <c r="B1821">
        <v>7172011003002802</v>
      </c>
      <c r="C1821">
        <v>71</v>
      </c>
      <c r="D1821">
        <v>0</v>
      </c>
      <c r="E1821">
        <v>0</v>
      </c>
      <c r="F1821">
        <v>71</v>
      </c>
      <c r="G1821">
        <v>0</v>
      </c>
      <c r="H1821">
        <v>0</v>
      </c>
      <c r="I1821">
        <v>0</v>
      </c>
      <c r="J1821">
        <v>0</v>
      </c>
    </row>
    <row r="1822" spans="1:10" x14ac:dyDescent="0.25">
      <c r="A1822" t="s">
        <v>31</v>
      </c>
      <c r="B1822">
        <v>7172011003001100</v>
      </c>
      <c r="C1822">
        <v>264</v>
      </c>
      <c r="D1822">
        <v>179</v>
      </c>
      <c r="E1822">
        <v>1</v>
      </c>
      <c r="F1822">
        <v>83</v>
      </c>
      <c r="G1822">
        <v>0</v>
      </c>
      <c r="H1822">
        <v>0</v>
      </c>
      <c r="I1822">
        <v>1</v>
      </c>
      <c r="J1822">
        <v>0</v>
      </c>
    </row>
    <row r="1823" spans="1:10" x14ac:dyDescent="0.25">
      <c r="A1823" t="s">
        <v>31</v>
      </c>
      <c r="B1823">
        <v>7172011003003600</v>
      </c>
      <c r="C1823">
        <v>250</v>
      </c>
      <c r="D1823">
        <v>106</v>
      </c>
      <c r="E1823">
        <v>2</v>
      </c>
      <c r="F1823">
        <v>92</v>
      </c>
      <c r="G1823">
        <v>0</v>
      </c>
      <c r="H1823">
        <v>0</v>
      </c>
      <c r="I1823">
        <v>50</v>
      </c>
      <c r="J1823">
        <v>0</v>
      </c>
    </row>
    <row r="1824" spans="1:10" x14ac:dyDescent="0.25">
      <c r="A1824" t="s">
        <v>31</v>
      </c>
      <c r="B1824">
        <v>7172011003000201</v>
      </c>
      <c r="C1824">
        <v>128</v>
      </c>
      <c r="D1824">
        <v>38</v>
      </c>
      <c r="E1824">
        <v>0</v>
      </c>
      <c r="F1824">
        <v>70</v>
      </c>
      <c r="G1824">
        <v>3</v>
      </c>
      <c r="H1824">
        <v>0</v>
      </c>
      <c r="I1824">
        <v>17</v>
      </c>
      <c r="J1824">
        <v>0</v>
      </c>
    </row>
    <row r="1825" spans="1:10" x14ac:dyDescent="0.25">
      <c r="A1825" t="s">
        <v>31</v>
      </c>
      <c r="B1825">
        <v>7172011003002403</v>
      </c>
      <c r="C1825">
        <v>39</v>
      </c>
      <c r="D1825">
        <v>0</v>
      </c>
      <c r="E1825">
        <v>1</v>
      </c>
      <c r="F1825">
        <v>32</v>
      </c>
      <c r="G1825">
        <v>0</v>
      </c>
      <c r="H1825">
        <v>0</v>
      </c>
      <c r="I1825">
        <v>6</v>
      </c>
      <c r="J1825">
        <v>0</v>
      </c>
    </row>
    <row r="1826" spans="1:10" x14ac:dyDescent="0.25">
      <c r="A1826" t="s">
        <v>39</v>
      </c>
      <c r="B1826">
        <v>7172011004000100</v>
      </c>
      <c r="C1826">
        <v>176</v>
      </c>
      <c r="D1826">
        <v>95</v>
      </c>
      <c r="E1826">
        <v>29</v>
      </c>
      <c r="F1826">
        <v>18</v>
      </c>
      <c r="G1826">
        <v>0</v>
      </c>
      <c r="H1826">
        <v>0</v>
      </c>
      <c r="I1826">
        <v>34</v>
      </c>
      <c r="J1826">
        <v>0</v>
      </c>
    </row>
    <row r="1827" spans="1:10" x14ac:dyDescent="0.25">
      <c r="A1827" t="s">
        <v>39</v>
      </c>
      <c r="B1827">
        <v>7172011004000200</v>
      </c>
      <c r="C1827">
        <v>119</v>
      </c>
      <c r="D1827">
        <v>35</v>
      </c>
      <c r="E1827">
        <v>15</v>
      </c>
      <c r="F1827">
        <v>56</v>
      </c>
      <c r="G1827">
        <v>0</v>
      </c>
      <c r="H1827">
        <v>0</v>
      </c>
      <c r="I1827">
        <v>13</v>
      </c>
      <c r="J1827">
        <v>0</v>
      </c>
    </row>
    <row r="1828" spans="1:10" x14ac:dyDescent="0.25">
      <c r="A1828" t="s">
        <v>39</v>
      </c>
      <c r="B1828">
        <v>7172011004000600</v>
      </c>
      <c r="C1828">
        <v>119</v>
      </c>
      <c r="D1828">
        <v>0</v>
      </c>
      <c r="E1828">
        <v>0</v>
      </c>
      <c r="F1828">
        <v>118</v>
      </c>
      <c r="G1828">
        <v>0</v>
      </c>
      <c r="H1828">
        <v>0</v>
      </c>
      <c r="I1828">
        <v>1</v>
      </c>
      <c r="J1828">
        <v>0</v>
      </c>
    </row>
    <row r="1829" spans="1:10" x14ac:dyDescent="0.25">
      <c r="A1829" t="s">
        <v>39</v>
      </c>
      <c r="B1829">
        <v>7172011004000500</v>
      </c>
      <c r="C1829">
        <v>112</v>
      </c>
      <c r="D1829">
        <v>0</v>
      </c>
      <c r="E1829">
        <v>7</v>
      </c>
      <c r="F1829">
        <v>78</v>
      </c>
      <c r="G1829">
        <v>0</v>
      </c>
      <c r="H1829">
        <v>0</v>
      </c>
      <c r="I1829">
        <v>27</v>
      </c>
      <c r="J1829">
        <v>0</v>
      </c>
    </row>
    <row r="1830" spans="1:10" x14ac:dyDescent="0.25">
      <c r="A1830" t="s">
        <v>39</v>
      </c>
      <c r="B1830">
        <v>7172011004000400</v>
      </c>
      <c r="C1830">
        <v>99</v>
      </c>
      <c r="D1830">
        <v>97</v>
      </c>
      <c r="E1830">
        <v>1</v>
      </c>
      <c r="F1830">
        <v>1</v>
      </c>
      <c r="G1830">
        <v>0</v>
      </c>
      <c r="H1830">
        <v>0</v>
      </c>
      <c r="I1830">
        <v>0</v>
      </c>
      <c r="J1830">
        <v>0</v>
      </c>
    </row>
    <row r="1831" spans="1:10" x14ac:dyDescent="0.25">
      <c r="A1831" t="s">
        <v>39</v>
      </c>
      <c r="B1831">
        <v>7172011004000300</v>
      </c>
      <c r="C1831">
        <v>78</v>
      </c>
      <c r="D1831">
        <v>68</v>
      </c>
      <c r="E1831">
        <v>5</v>
      </c>
      <c r="F1831">
        <v>4</v>
      </c>
      <c r="G1831">
        <v>1</v>
      </c>
      <c r="H1831">
        <v>0</v>
      </c>
      <c r="I1831">
        <v>0</v>
      </c>
      <c r="J1831">
        <v>0</v>
      </c>
    </row>
    <row r="1832" spans="1:10" x14ac:dyDescent="0.25">
      <c r="A1832" t="s">
        <v>41</v>
      </c>
      <c r="B1832">
        <v>7172011004001800</v>
      </c>
      <c r="C1832">
        <v>273</v>
      </c>
      <c r="D1832">
        <v>245</v>
      </c>
      <c r="E1832">
        <v>5</v>
      </c>
      <c r="F1832">
        <v>17</v>
      </c>
      <c r="G1832">
        <v>0</v>
      </c>
      <c r="H1832">
        <v>1</v>
      </c>
      <c r="I1832">
        <v>5</v>
      </c>
      <c r="J1832">
        <v>0</v>
      </c>
    </row>
    <row r="1833" spans="1:10" x14ac:dyDescent="0.25">
      <c r="A1833" t="s">
        <v>41</v>
      </c>
      <c r="B1833">
        <v>7172011004001500</v>
      </c>
      <c r="C1833">
        <v>153</v>
      </c>
      <c r="D1833">
        <v>137</v>
      </c>
      <c r="E1833">
        <v>1</v>
      </c>
      <c r="F1833">
        <v>0</v>
      </c>
      <c r="G1833">
        <v>0</v>
      </c>
      <c r="H1833">
        <v>1</v>
      </c>
      <c r="I1833">
        <v>14</v>
      </c>
      <c r="J1833">
        <v>0</v>
      </c>
    </row>
    <row r="1834" spans="1:10" x14ac:dyDescent="0.25">
      <c r="A1834" t="s">
        <v>41</v>
      </c>
      <c r="B1834">
        <v>7172011004001300</v>
      </c>
      <c r="C1834">
        <v>116</v>
      </c>
      <c r="D1834">
        <v>9</v>
      </c>
      <c r="E1834">
        <v>22</v>
      </c>
      <c r="F1834">
        <v>51</v>
      </c>
      <c r="G1834">
        <v>0</v>
      </c>
      <c r="H1834">
        <v>0</v>
      </c>
      <c r="I1834">
        <v>34</v>
      </c>
      <c r="J1834">
        <v>0</v>
      </c>
    </row>
    <row r="1835" spans="1:10" x14ac:dyDescent="0.25">
      <c r="A1835" t="s">
        <v>41</v>
      </c>
      <c r="B1835">
        <v>7172011004001900</v>
      </c>
      <c r="C1835">
        <v>103</v>
      </c>
      <c r="D1835">
        <v>69</v>
      </c>
      <c r="E1835">
        <v>9</v>
      </c>
      <c r="F1835">
        <v>23</v>
      </c>
      <c r="G1835">
        <v>0</v>
      </c>
      <c r="H1835">
        <v>0</v>
      </c>
      <c r="I1835">
        <v>2</v>
      </c>
      <c r="J1835">
        <v>0</v>
      </c>
    </row>
    <row r="1836" spans="1:10" x14ac:dyDescent="0.25">
      <c r="A1836" t="s">
        <v>41</v>
      </c>
      <c r="B1836">
        <v>7172011004001600</v>
      </c>
      <c r="C1836">
        <v>83</v>
      </c>
      <c r="D1836">
        <v>3</v>
      </c>
      <c r="E1836">
        <v>0</v>
      </c>
      <c r="F1836">
        <v>78</v>
      </c>
      <c r="G1836">
        <v>0</v>
      </c>
      <c r="H1836">
        <v>0</v>
      </c>
      <c r="I1836">
        <v>2</v>
      </c>
      <c r="J1836">
        <v>0</v>
      </c>
    </row>
    <row r="1837" spans="1:10" x14ac:dyDescent="0.25">
      <c r="A1837" t="s">
        <v>41</v>
      </c>
      <c r="B1837">
        <v>7172011004001700</v>
      </c>
      <c r="C1837">
        <v>82</v>
      </c>
      <c r="D1837">
        <v>49</v>
      </c>
      <c r="E1837">
        <v>5</v>
      </c>
      <c r="F1837">
        <v>23</v>
      </c>
      <c r="G1837">
        <v>0</v>
      </c>
      <c r="H1837">
        <v>0</v>
      </c>
      <c r="I1837">
        <v>5</v>
      </c>
      <c r="J1837">
        <v>0</v>
      </c>
    </row>
    <row r="1838" spans="1:10" x14ac:dyDescent="0.25">
      <c r="A1838" t="s">
        <v>41</v>
      </c>
      <c r="B1838">
        <v>7172011004000800</v>
      </c>
      <c r="C1838">
        <v>66</v>
      </c>
      <c r="D1838">
        <v>0</v>
      </c>
      <c r="E1838">
        <v>1</v>
      </c>
      <c r="F1838">
        <v>65</v>
      </c>
      <c r="G1838">
        <v>0</v>
      </c>
      <c r="H1838">
        <v>0</v>
      </c>
      <c r="I1838">
        <v>0</v>
      </c>
      <c r="J1838">
        <v>0</v>
      </c>
    </row>
    <row r="1839" spans="1:10" x14ac:dyDescent="0.25">
      <c r="A1839" t="s">
        <v>42</v>
      </c>
      <c r="B1839">
        <v>7172011014001300</v>
      </c>
      <c r="C1839">
        <v>175</v>
      </c>
      <c r="D1839">
        <v>16</v>
      </c>
      <c r="E1839">
        <v>0</v>
      </c>
      <c r="F1839">
        <v>159</v>
      </c>
      <c r="G1839">
        <v>0</v>
      </c>
      <c r="H1839">
        <v>0</v>
      </c>
      <c r="I1839">
        <v>0</v>
      </c>
      <c r="J1839">
        <v>0</v>
      </c>
    </row>
    <row r="1840" spans="1:10" x14ac:dyDescent="0.25">
      <c r="A1840" t="s">
        <v>42</v>
      </c>
      <c r="B1840">
        <v>7172011014001600</v>
      </c>
      <c r="C1840">
        <v>127</v>
      </c>
      <c r="D1840">
        <v>92</v>
      </c>
      <c r="E1840">
        <v>30</v>
      </c>
      <c r="F1840">
        <v>0</v>
      </c>
      <c r="G1840">
        <v>0</v>
      </c>
      <c r="H1840">
        <v>0</v>
      </c>
      <c r="I1840">
        <v>5</v>
      </c>
      <c r="J1840">
        <v>0</v>
      </c>
    </row>
    <row r="1841" spans="1:10" x14ac:dyDescent="0.25">
      <c r="A1841" t="s">
        <v>42</v>
      </c>
      <c r="B1841">
        <v>7172011014001703</v>
      </c>
      <c r="C1841">
        <v>94</v>
      </c>
      <c r="D1841">
        <v>87</v>
      </c>
      <c r="E1841">
        <v>1</v>
      </c>
      <c r="F1841">
        <v>0</v>
      </c>
      <c r="G1841">
        <v>0</v>
      </c>
      <c r="H1841">
        <v>0</v>
      </c>
      <c r="I1841">
        <v>6</v>
      </c>
      <c r="J1841">
        <v>0</v>
      </c>
    </row>
    <row r="1842" spans="1:10" x14ac:dyDescent="0.25">
      <c r="A1842" t="s">
        <v>42</v>
      </c>
      <c r="B1842">
        <v>7172011014001400</v>
      </c>
      <c r="C1842">
        <v>90</v>
      </c>
      <c r="D1842">
        <v>1</v>
      </c>
      <c r="E1842">
        <v>0</v>
      </c>
      <c r="F1842">
        <v>89</v>
      </c>
      <c r="G1842">
        <v>0</v>
      </c>
      <c r="H1842">
        <v>0</v>
      </c>
      <c r="I1842">
        <v>0</v>
      </c>
      <c r="J1842">
        <v>0</v>
      </c>
    </row>
    <row r="1843" spans="1:10" x14ac:dyDescent="0.25">
      <c r="A1843" t="s">
        <v>42</v>
      </c>
      <c r="B1843">
        <v>7172011014001701</v>
      </c>
      <c r="C1843">
        <v>84</v>
      </c>
      <c r="D1843">
        <v>23</v>
      </c>
      <c r="E1843">
        <v>3</v>
      </c>
      <c r="F1843">
        <v>46</v>
      </c>
      <c r="G1843">
        <v>0</v>
      </c>
      <c r="H1843">
        <v>0</v>
      </c>
      <c r="I1843">
        <v>12</v>
      </c>
      <c r="J1843">
        <v>0</v>
      </c>
    </row>
    <row r="1844" spans="1:10" x14ac:dyDescent="0.25">
      <c r="A1844" t="s">
        <v>42</v>
      </c>
      <c r="B1844">
        <v>7172011014001500</v>
      </c>
      <c r="C1844">
        <v>78</v>
      </c>
      <c r="D1844">
        <v>13</v>
      </c>
      <c r="E1844">
        <v>17</v>
      </c>
      <c r="F1844">
        <v>17</v>
      </c>
      <c r="G1844">
        <v>22</v>
      </c>
      <c r="H1844">
        <v>1</v>
      </c>
      <c r="I1844">
        <v>8</v>
      </c>
      <c r="J1844">
        <v>0</v>
      </c>
    </row>
    <row r="1845" spans="1:10" x14ac:dyDescent="0.25">
      <c r="A1845" t="s">
        <v>42</v>
      </c>
      <c r="B1845">
        <v>7172011004001400</v>
      </c>
      <c r="C1845">
        <v>45</v>
      </c>
      <c r="D1845">
        <v>38</v>
      </c>
      <c r="E1845">
        <v>0</v>
      </c>
      <c r="F1845">
        <v>6</v>
      </c>
      <c r="G1845">
        <v>1</v>
      </c>
      <c r="H1845">
        <v>0</v>
      </c>
      <c r="I1845">
        <v>0</v>
      </c>
      <c r="J1845">
        <v>0</v>
      </c>
    </row>
    <row r="1846" spans="1:10" x14ac:dyDescent="0.25">
      <c r="A1846" t="s">
        <v>44</v>
      </c>
      <c r="B1846">
        <v>7172011012000700</v>
      </c>
      <c r="C1846">
        <v>168</v>
      </c>
      <c r="D1846">
        <v>123</v>
      </c>
      <c r="E1846">
        <v>7</v>
      </c>
      <c r="F1846">
        <v>34</v>
      </c>
      <c r="G1846">
        <v>4</v>
      </c>
      <c r="H1846">
        <v>0</v>
      </c>
      <c r="I1846">
        <v>0</v>
      </c>
      <c r="J1846">
        <v>0</v>
      </c>
    </row>
    <row r="1847" spans="1:10" x14ac:dyDescent="0.25">
      <c r="A1847" t="s">
        <v>44</v>
      </c>
      <c r="B1847">
        <v>7172011012000200</v>
      </c>
      <c r="C1847">
        <v>125</v>
      </c>
      <c r="D1847">
        <v>82</v>
      </c>
      <c r="E1847">
        <v>3</v>
      </c>
      <c r="F1847">
        <v>40</v>
      </c>
      <c r="G1847">
        <v>0</v>
      </c>
      <c r="H1847">
        <v>0</v>
      </c>
      <c r="I1847">
        <v>0</v>
      </c>
      <c r="J1847">
        <v>0</v>
      </c>
    </row>
    <row r="1848" spans="1:10" x14ac:dyDescent="0.25">
      <c r="A1848" t="s">
        <v>44</v>
      </c>
      <c r="B1848">
        <v>7172011012000400</v>
      </c>
      <c r="C1848">
        <v>90</v>
      </c>
      <c r="D1848">
        <v>47</v>
      </c>
      <c r="E1848">
        <v>0</v>
      </c>
      <c r="F1848">
        <v>42</v>
      </c>
      <c r="G1848">
        <v>1</v>
      </c>
      <c r="H1848">
        <v>0</v>
      </c>
      <c r="I1848">
        <v>0</v>
      </c>
      <c r="J1848">
        <v>0</v>
      </c>
    </row>
    <row r="1849" spans="1:10" x14ac:dyDescent="0.25">
      <c r="A1849" t="s">
        <v>44</v>
      </c>
      <c r="B1849">
        <v>7172011012000300</v>
      </c>
      <c r="C1849">
        <v>71</v>
      </c>
      <c r="D1849">
        <v>42</v>
      </c>
      <c r="E1849">
        <v>0</v>
      </c>
      <c r="F1849">
        <v>29</v>
      </c>
      <c r="G1849">
        <v>0</v>
      </c>
      <c r="H1849">
        <v>0</v>
      </c>
      <c r="I1849">
        <v>0</v>
      </c>
      <c r="J1849">
        <v>0</v>
      </c>
    </row>
    <row r="1850" spans="1:10" x14ac:dyDescent="0.25">
      <c r="A1850" t="s">
        <v>44</v>
      </c>
      <c r="B1850">
        <v>7172011012000500</v>
      </c>
      <c r="C1850">
        <v>47</v>
      </c>
      <c r="D1850">
        <v>2</v>
      </c>
      <c r="E1850">
        <v>0</v>
      </c>
      <c r="F1850">
        <v>45</v>
      </c>
      <c r="G1850">
        <v>0</v>
      </c>
      <c r="H1850">
        <v>0</v>
      </c>
      <c r="I1850">
        <v>0</v>
      </c>
      <c r="J1850">
        <v>0</v>
      </c>
    </row>
    <row r="1851" spans="1:10" x14ac:dyDescent="0.25">
      <c r="A1851" t="s">
        <v>45</v>
      </c>
      <c r="B1851">
        <v>7172011012001100</v>
      </c>
      <c r="C1851">
        <v>176</v>
      </c>
      <c r="D1851">
        <v>29</v>
      </c>
      <c r="E1851">
        <v>0</v>
      </c>
      <c r="F1851">
        <v>147</v>
      </c>
      <c r="G1851">
        <v>0</v>
      </c>
      <c r="H1851">
        <v>0</v>
      </c>
      <c r="I1851">
        <v>0</v>
      </c>
      <c r="J1851">
        <v>0</v>
      </c>
    </row>
    <row r="1852" spans="1:10" x14ac:dyDescent="0.25">
      <c r="A1852" t="s">
        <v>45</v>
      </c>
      <c r="B1852">
        <v>7172011012001300</v>
      </c>
      <c r="C1852">
        <v>134</v>
      </c>
      <c r="D1852">
        <v>105</v>
      </c>
      <c r="E1852">
        <v>8</v>
      </c>
      <c r="F1852">
        <v>20</v>
      </c>
      <c r="G1852">
        <v>1</v>
      </c>
      <c r="H1852">
        <v>0</v>
      </c>
      <c r="I1852">
        <v>0</v>
      </c>
      <c r="J1852">
        <v>0</v>
      </c>
    </row>
    <row r="1853" spans="1:10" x14ac:dyDescent="0.25">
      <c r="A1853" t="s">
        <v>45</v>
      </c>
      <c r="B1853">
        <v>7172011012001200</v>
      </c>
      <c r="C1853">
        <v>132</v>
      </c>
      <c r="D1853">
        <v>40</v>
      </c>
      <c r="E1853">
        <v>4</v>
      </c>
      <c r="F1853">
        <v>88</v>
      </c>
      <c r="G1853">
        <v>0</v>
      </c>
      <c r="H1853">
        <v>0</v>
      </c>
      <c r="I1853">
        <v>0</v>
      </c>
      <c r="J1853">
        <v>0</v>
      </c>
    </row>
    <row r="1854" spans="1:10" x14ac:dyDescent="0.25">
      <c r="A1854" t="s">
        <v>45</v>
      </c>
      <c r="B1854">
        <v>7172011012001000</v>
      </c>
      <c r="C1854">
        <v>118</v>
      </c>
      <c r="D1854">
        <v>25</v>
      </c>
      <c r="E1854">
        <v>4</v>
      </c>
      <c r="F1854">
        <v>89</v>
      </c>
      <c r="G1854">
        <v>0</v>
      </c>
      <c r="H1854">
        <v>0</v>
      </c>
      <c r="I1854">
        <v>0</v>
      </c>
      <c r="J1854">
        <v>0</v>
      </c>
    </row>
    <row r="1855" spans="1:10" x14ac:dyDescent="0.25">
      <c r="A1855" t="s">
        <v>45</v>
      </c>
      <c r="B1855">
        <v>7172011013000200</v>
      </c>
      <c r="C1855">
        <v>60</v>
      </c>
      <c r="D1855">
        <v>52</v>
      </c>
      <c r="E1855">
        <v>2</v>
      </c>
      <c r="F1855">
        <v>2</v>
      </c>
      <c r="G1855">
        <v>4</v>
      </c>
      <c r="H1855">
        <v>0</v>
      </c>
      <c r="I1855">
        <v>0</v>
      </c>
      <c r="J1855">
        <v>0</v>
      </c>
    </row>
    <row r="1856" spans="1:10" x14ac:dyDescent="0.25">
      <c r="A1856" t="s">
        <v>45</v>
      </c>
      <c r="B1856">
        <v>7172011013000100</v>
      </c>
      <c r="C1856">
        <v>59</v>
      </c>
      <c r="D1856">
        <v>56</v>
      </c>
      <c r="E1856">
        <v>1</v>
      </c>
      <c r="F1856">
        <v>2</v>
      </c>
      <c r="G1856">
        <v>0</v>
      </c>
      <c r="H1856">
        <v>0</v>
      </c>
      <c r="I1856">
        <v>0</v>
      </c>
      <c r="J1856">
        <v>0</v>
      </c>
    </row>
    <row r="1857" spans="1:10" x14ac:dyDescent="0.25">
      <c r="A1857" t="s">
        <v>45</v>
      </c>
      <c r="B1857">
        <v>7172011012200100</v>
      </c>
      <c r="C1857">
        <v>2</v>
      </c>
      <c r="D1857">
        <v>0</v>
      </c>
      <c r="E1857">
        <v>0</v>
      </c>
      <c r="F1857">
        <v>2</v>
      </c>
      <c r="G1857">
        <v>0</v>
      </c>
      <c r="H1857">
        <v>0</v>
      </c>
      <c r="I1857">
        <v>0</v>
      </c>
      <c r="J1857">
        <v>0</v>
      </c>
    </row>
    <row r="1858" spans="1:10" x14ac:dyDescent="0.25">
      <c r="A1858" t="s">
        <v>50</v>
      </c>
      <c r="B1858">
        <v>7172012001000300</v>
      </c>
      <c r="C1858">
        <v>171</v>
      </c>
      <c r="D1858">
        <v>0</v>
      </c>
      <c r="E1858">
        <v>4</v>
      </c>
      <c r="F1858">
        <v>133</v>
      </c>
      <c r="G1858">
        <v>0</v>
      </c>
      <c r="H1858">
        <v>0</v>
      </c>
      <c r="I1858">
        <v>34</v>
      </c>
      <c r="J1858">
        <v>0</v>
      </c>
    </row>
    <row r="1859" spans="1:10" x14ac:dyDescent="0.25">
      <c r="A1859" t="s">
        <v>50</v>
      </c>
      <c r="B1859">
        <v>7172012001000200</v>
      </c>
      <c r="C1859">
        <v>155</v>
      </c>
      <c r="D1859">
        <v>18</v>
      </c>
      <c r="E1859">
        <v>9</v>
      </c>
      <c r="F1859">
        <v>55</v>
      </c>
      <c r="G1859">
        <v>4</v>
      </c>
      <c r="H1859">
        <v>0</v>
      </c>
      <c r="I1859">
        <v>69</v>
      </c>
      <c r="J1859">
        <v>0</v>
      </c>
    </row>
    <row r="1860" spans="1:10" x14ac:dyDescent="0.25">
      <c r="A1860" t="s">
        <v>50</v>
      </c>
      <c r="B1860">
        <v>7172012001000900</v>
      </c>
      <c r="C1860">
        <v>143</v>
      </c>
      <c r="D1860">
        <v>93</v>
      </c>
      <c r="E1860">
        <v>6</v>
      </c>
      <c r="F1860">
        <v>11</v>
      </c>
      <c r="G1860">
        <v>1</v>
      </c>
      <c r="H1860">
        <v>0</v>
      </c>
      <c r="I1860">
        <v>32</v>
      </c>
      <c r="J1860">
        <v>0</v>
      </c>
    </row>
    <row r="1861" spans="1:10" x14ac:dyDescent="0.25">
      <c r="A1861" t="s">
        <v>50</v>
      </c>
      <c r="B1861">
        <v>7172012001000400</v>
      </c>
      <c r="C1861">
        <v>124</v>
      </c>
      <c r="D1861">
        <v>0</v>
      </c>
      <c r="E1861">
        <v>0</v>
      </c>
      <c r="F1861">
        <v>115</v>
      </c>
      <c r="G1861">
        <v>0</v>
      </c>
      <c r="H1861">
        <v>0</v>
      </c>
      <c r="I1861">
        <v>9</v>
      </c>
      <c r="J1861">
        <v>0</v>
      </c>
    </row>
    <row r="1862" spans="1:10" x14ac:dyDescent="0.25">
      <c r="A1862" t="s">
        <v>50</v>
      </c>
      <c r="B1862">
        <v>7172012001000800</v>
      </c>
      <c r="C1862">
        <v>124</v>
      </c>
      <c r="D1862">
        <v>95</v>
      </c>
      <c r="E1862">
        <v>8</v>
      </c>
      <c r="F1862">
        <v>1</v>
      </c>
      <c r="G1862">
        <v>0</v>
      </c>
      <c r="H1862">
        <v>0</v>
      </c>
      <c r="I1862">
        <v>20</v>
      </c>
      <c r="J1862">
        <v>0</v>
      </c>
    </row>
    <row r="1863" spans="1:10" x14ac:dyDescent="0.25">
      <c r="A1863" t="s">
        <v>54</v>
      </c>
      <c r="B1863">
        <v>7172012002000600</v>
      </c>
      <c r="C1863">
        <v>130</v>
      </c>
      <c r="D1863">
        <v>126</v>
      </c>
      <c r="E1863">
        <v>3</v>
      </c>
      <c r="F1863">
        <v>1</v>
      </c>
      <c r="G1863">
        <v>0</v>
      </c>
      <c r="H1863">
        <v>0</v>
      </c>
      <c r="I1863">
        <v>0</v>
      </c>
      <c r="J1863">
        <v>0</v>
      </c>
    </row>
    <row r="1864" spans="1:10" x14ac:dyDescent="0.25">
      <c r="A1864" t="s">
        <v>54</v>
      </c>
      <c r="B1864">
        <v>7172012002000401</v>
      </c>
      <c r="C1864">
        <v>120</v>
      </c>
      <c r="D1864">
        <v>10</v>
      </c>
      <c r="E1864">
        <v>0</v>
      </c>
      <c r="F1864">
        <v>110</v>
      </c>
      <c r="G1864">
        <v>0</v>
      </c>
      <c r="H1864">
        <v>0</v>
      </c>
      <c r="I1864">
        <v>0</v>
      </c>
      <c r="J1864">
        <v>0</v>
      </c>
    </row>
    <row r="1865" spans="1:10" x14ac:dyDescent="0.25">
      <c r="A1865" t="s">
        <v>54</v>
      </c>
      <c r="B1865">
        <v>7172012002000300</v>
      </c>
      <c r="C1865">
        <v>107</v>
      </c>
      <c r="D1865">
        <v>86</v>
      </c>
      <c r="E1865">
        <v>2</v>
      </c>
      <c r="F1865">
        <v>19</v>
      </c>
      <c r="G1865">
        <v>0</v>
      </c>
      <c r="H1865">
        <v>0</v>
      </c>
      <c r="I1865">
        <v>0</v>
      </c>
      <c r="J1865">
        <v>0</v>
      </c>
    </row>
    <row r="1866" spans="1:10" x14ac:dyDescent="0.25">
      <c r="A1866" t="s">
        <v>54</v>
      </c>
      <c r="B1866">
        <v>7172012002000800</v>
      </c>
      <c r="C1866">
        <v>107</v>
      </c>
      <c r="D1866">
        <v>29</v>
      </c>
      <c r="E1866">
        <v>9</v>
      </c>
      <c r="F1866">
        <v>45</v>
      </c>
      <c r="G1866">
        <v>0</v>
      </c>
      <c r="H1866">
        <v>0</v>
      </c>
      <c r="I1866">
        <v>24</v>
      </c>
      <c r="J1866">
        <v>0</v>
      </c>
    </row>
    <row r="1867" spans="1:10" x14ac:dyDescent="0.25">
      <c r="A1867" t="s">
        <v>54</v>
      </c>
      <c r="B1867">
        <v>7172012002000700</v>
      </c>
      <c r="C1867">
        <v>95</v>
      </c>
      <c r="D1867">
        <v>40</v>
      </c>
      <c r="E1867">
        <v>4</v>
      </c>
      <c r="F1867">
        <v>51</v>
      </c>
      <c r="G1867">
        <v>0</v>
      </c>
      <c r="H1867">
        <v>0</v>
      </c>
      <c r="I1867">
        <v>0</v>
      </c>
      <c r="J1867">
        <v>0</v>
      </c>
    </row>
    <row r="1868" spans="1:10" x14ac:dyDescent="0.25">
      <c r="A1868" t="s">
        <v>54</v>
      </c>
      <c r="B1868">
        <v>7172012002000402</v>
      </c>
      <c r="C1868">
        <v>94</v>
      </c>
      <c r="D1868">
        <v>18</v>
      </c>
      <c r="E1868">
        <v>0</v>
      </c>
      <c r="F1868">
        <v>57</v>
      </c>
      <c r="G1868">
        <v>0</v>
      </c>
      <c r="H1868">
        <v>0</v>
      </c>
      <c r="I1868">
        <v>19</v>
      </c>
      <c r="J1868">
        <v>0</v>
      </c>
    </row>
    <row r="1869" spans="1:10" x14ac:dyDescent="0.25">
      <c r="A1869" t="s">
        <v>229</v>
      </c>
      <c r="B1869">
        <v>7172012002001301</v>
      </c>
      <c r="C1869">
        <v>160</v>
      </c>
      <c r="D1869">
        <v>101</v>
      </c>
      <c r="E1869">
        <v>9</v>
      </c>
      <c r="F1869">
        <v>40</v>
      </c>
      <c r="G1869">
        <v>1</v>
      </c>
      <c r="H1869">
        <v>0</v>
      </c>
      <c r="I1869">
        <v>9</v>
      </c>
      <c r="J1869">
        <v>0</v>
      </c>
    </row>
    <row r="1870" spans="1:10" x14ac:dyDescent="0.25">
      <c r="A1870" t="s">
        <v>229</v>
      </c>
      <c r="B1870">
        <v>7172012002001302</v>
      </c>
      <c r="C1870">
        <v>154</v>
      </c>
      <c r="D1870">
        <v>133</v>
      </c>
      <c r="E1870">
        <v>6</v>
      </c>
      <c r="F1870">
        <v>10</v>
      </c>
      <c r="G1870">
        <v>0</v>
      </c>
      <c r="H1870">
        <v>0</v>
      </c>
      <c r="I1870">
        <v>5</v>
      </c>
      <c r="J1870">
        <v>0</v>
      </c>
    </row>
    <row r="1871" spans="1:10" x14ac:dyDescent="0.25">
      <c r="A1871" t="s">
        <v>229</v>
      </c>
      <c r="B1871">
        <v>7172012002001500</v>
      </c>
      <c r="C1871">
        <v>118</v>
      </c>
      <c r="D1871">
        <v>12</v>
      </c>
      <c r="E1871">
        <v>10</v>
      </c>
      <c r="F1871">
        <v>96</v>
      </c>
      <c r="G1871">
        <v>0</v>
      </c>
      <c r="H1871">
        <v>0</v>
      </c>
      <c r="I1871">
        <v>0</v>
      </c>
      <c r="J1871">
        <v>0</v>
      </c>
    </row>
    <row r="1872" spans="1:10" x14ac:dyDescent="0.25">
      <c r="A1872" t="s">
        <v>229</v>
      </c>
      <c r="B1872">
        <v>7172012002001400</v>
      </c>
      <c r="C1872">
        <v>96</v>
      </c>
      <c r="D1872">
        <v>13</v>
      </c>
      <c r="E1872">
        <v>1</v>
      </c>
      <c r="F1872">
        <v>82</v>
      </c>
      <c r="G1872">
        <v>0</v>
      </c>
      <c r="H1872">
        <v>0</v>
      </c>
      <c r="I1872">
        <v>0</v>
      </c>
      <c r="J1872">
        <v>0</v>
      </c>
    </row>
    <row r="1873" spans="1:10" x14ac:dyDescent="0.25">
      <c r="A1873" t="s">
        <v>229</v>
      </c>
      <c r="B1873">
        <v>7172012002001700</v>
      </c>
      <c r="C1873">
        <v>90</v>
      </c>
      <c r="D1873">
        <v>8</v>
      </c>
      <c r="E1873">
        <v>0</v>
      </c>
      <c r="F1873">
        <v>81</v>
      </c>
      <c r="G1873">
        <v>0</v>
      </c>
      <c r="H1873">
        <v>0</v>
      </c>
      <c r="I1873">
        <v>1</v>
      </c>
      <c r="J1873">
        <v>0</v>
      </c>
    </row>
    <row r="1874" spans="1:10" x14ac:dyDescent="0.25">
      <c r="A1874" t="s">
        <v>229</v>
      </c>
      <c r="B1874">
        <v>7172012002001800</v>
      </c>
      <c r="C1874">
        <v>80</v>
      </c>
      <c r="D1874">
        <v>12</v>
      </c>
      <c r="E1874">
        <v>6</v>
      </c>
      <c r="F1874">
        <v>26</v>
      </c>
      <c r="G1874">
        <v>1</v>
      </c>
      <c r="H1874">
        <v>0</v>
      </c>
      <c r="I1874">
        <v>35</v>
      </c>
      <c r="J1874">
        <v>0</v>
      </c>
    </row>
    <row r="1875" spans="1:10" x14ac:dyDescent="0.25">
      <c r="A1875" t="s">
        <v>63</v>
      </c>
      <c r="B1875">
        <v>7172012004001701</v>
      </c>
      <c r="C1875">
        <v>343</v>
      </c>
      <c r="D1875">
        <v>191</v>
      </c>
      <c r="E1875">
        <v>25</v>
      </c>
      <c r="F1875">
        <v>127</v>
      </c>
      <c r="G1875">
        <v>0</v>
      </c>
      <c r="H1875">
        <v>0</v>
      </c>
      <c r="I1875">
        <v>0</v>
      </c>
      <c r="J1875">
        <v>0</v>
      </c>
    </row>
    <row r="1876" spans="1:10" x14ac:dyDescent="0.25">
      <c r="A1876" t="s">
        <v>63</v>
      </c>
      <c r="B1876">
        <v>7172012004002000</v>
      </c>
      <c r="C1876">
        <v>178</v>
      </c>
      <c r="D1876">
        <v>17</v>
      </c>
      <c r="E1876">
        <v>2</v>
      </c>
      <c r="F1876">
        <v>150</v>
      </c>
      <c r="G1876">
        <v>0</v>
      </c>
      <c r="H1876">
        <v>0</v>
      </c>
      <c r="I1876">
        <v>9</v>
      </c>
      <c r="J1876">
        <v>0</v>
      </c>
    </row>
    <row r="1877" spans="1:10" x14ac:dyDescent="0.25">
      <c r="A1877" t="s">
        <v>63</v>
      </c>
      <c r="B1877">
        <v>7172012004002102</v>
      </c>
      <c r="C1877">
        <v>108</v>
      </c>
      <c r="D1877">
        <v>14</v>
      </c>
      <c r="E1877">
        <v>20</v>
      </c>
      <c r="F1877">
        <v>37</v>
      </c>
      <c r="G1877">
        <v>0</v>
      </c>
      <c r="H1877">
        <v>0</v>
      </c>
      <c r="I1877">
        <v>37</v>
      </c>
      <c r="J1877">
        <v>0</v>
      </c>
    </row>
    <row r="1878" spans="1:10" x14ac:dyDescent="0.25">
      <c r="A1878" t="s">
        <v>63</v>
      </c>
      <c r="B1878">
        <v>7172012004002402</v>
      </c>
      <c r="C1878">
        <v>35</v>
      </c>
      <c r="D1878">
        <v>31</v>
      </c>
      <c r="E1878">
        <v>2</v>
      </c>
      <c r="F1878">
        <v>1</v>
      </c>
      <c r="G1878">
        <v>0</v>
      </c>
      <c r="H1878">
        <v>0</v>
      </c>
      <c r="I1878">
        <v>1</v>
      </c>
      <c r="J1878">
        <v>0</v>
      </c>
    </row>
    <row r="1879" spans="1:10" x14ac:dyDescent="0.25">
      <c r="A1879" t="s">
        <v>64</v>
      </c>
      <c r="B1879">
        <v>7172012004002300</v>
      </c>
      <c r="C1879">
        <v>184</v>
      </c>
      <c r="D1879">
        <v>4</v>
      </c>
      <c r="E1879">
        <v>5</v>
      </c>
      <c r="F1879">
        <v>138</v>
      </c>
      <c r="G1879">
        <v>0</v>
      </c>
      <c r="H1879">
        <v>0</v>
      </c>
      <c r="I1879">
        <v>37</v>
      </c>
      <c r="J1879">
        <v>0</v>
      </c>
    </row>
    <row r="1880" spans="1:10" x14ac:dyDescent="0.25">
      <c r="A1880" t="s">
        <v>64</v>
      </c>
      <c r="B1880">
        <v>7172012004002200</v>
      </c>
      <c r="C1880">
        <v>171</v>
      </c>
      <c r="D1880">
        <v>115</v>
      </c>
      <c r="E1880">
        <v>2</v>
      </c>
      <c r="F1880">
        <v>14</v>
      </c>
      <c r="G1880">
        <v>3</v>
      </c>
      <c r="H1880">
        <v>0</v>
      </c>
      <c r="I1880">
        <v>37</v>
      </c>
      <c r="J1880">
        <v>0</v>
      </c>
    </row>
    <row r="1881" spans="1:10" x14ac:dyDescent="0.25">
      <c r="A1881" t="s">
        <v>64</v>
      </c>
      <c r="B1881">
        <v>7172012004002500</v>
      </c>
      <c r="C1881">
        <v>166</v>
      </c>
      <c r="D1881">
        <v>76</v>
      </c>
      <c r="E1881">
        <v>6</v>
      </c>
      <c r="F1881">
        <v>21</v>
      </c>
      <c r="G1881">
        <v>0</v>
      </c>
      <c r="H1881">
        <v>0</v>
      </c>
      <c r="I1881">
        <v>63</v>
      </c>
      <c r="J1881">
        <v>0</v>
      </c>
    </row>
    <row r="1882" spans="1:10" x14ac:dyDescent="0.25">
      <c r="A1882" t="s">
        <v>64</v>
      </c>
      <c r="B1882">
        <v>7172012004002401</v>
      </c>
      <c r="C1882">
        <v>145</v>
      </c>
      <c r="D1882">
        <v>108</v>
      </c>
      <c r="E1882">
        <v>3</v>
      </c>
      <c r="F1882">
        <v>20</v>
      </c>
      <c r="G1882">
        <v>0</v>
      </c>
      <c r="H1882">
        <v>0</v>
      </c>
      <c r="I1882">
        <v>14</v>
      </c>
      <c r="J1882">
        <v>0</v>
      </c>
    </row>
    <row r="1883" spans="1:10" x14ac:dyDescent="0.25">
      <c r="A1883" t="s">
        <v>67</v>
      </c>
      <c r="B1883">
        <v>7172012005001400</v>
      </c>
      <c r="C1883">
        <v>137</v>
      </c>
      <c r="D1883">
        <v>53</v>
      </c>
      <c r="E1883">
        <v>2</v>
      </c>
      <c r="F1883">
        <v>79</v>
      </c>
      <c r="G1883">
        <v>0</v>
      </c>
      <c r="H1883">
        <v>0</v>
      </c>
      <c r="I1883">
        <v>3</v>
      </c>
      <c r="J1883">
        <v>0</v>
      </c>
    </row>
    <row r="1884" spans="1:10" x14ac:dyDescent="0.25">
      <c r="A1884" t="s">
        <v>67</v>
      </c>
      <c r="B1884">
        <v>7172012005001500</v>
      </c>
      <c r="C1884">
        <v>106</v>
      </c>
      <c r="D1884">
        <v>27</v>
      </c>
      <c r="E1884">
        <v>12</v>
      </c>
      <c r="F1884">
        <v>63</v>
      </c>
      <c r="G1884">
        <v>1</v>
      </c>
      <c r="H1884">
        <v>0</v>
      </c>
      <c r="I1884">
        <v>3</v>
      </c>
      <c r="J1884">
        <v>0</v>
      </c>
    </row>
    <row r="1885" spans="1:10" x14ac:dyDescent="0.25">
      <c r="A1885" t="s">
        <v>67</v>
      </c>
      <c r="B1885">
        <v>7172012005001700</v>
      </c>
      <c r="C1885">
        <v>102</v>
      </c>
      <c r="D1885">
        <v>79</v>
      </c>
      <c r="E1885">
        <v>0</v>
      </c>
      <c r="F1885">
        <v>19</v>
      </c>
      <c r="G1885">
        <v>1</v>
      </c>
      <c r="H1885">
        <v>0</v>
      </c>
      <c r="I1885">
        <v>3</v>
      </c>
      <c r="J1885">
        <v>0</v>
      </c>
    </row>
    <row r="1886" spans="1:10" x14ac:dyDescent="0.25">
      <c r="A1886" t="s">
        <v>67</v>
      </c>
      <c r="B1886">
        <v>7172012005001800</v>
      </c>
      <c r="C1886">
        <v>70</v>
      </c>
      <c r="D1886">
        <v>26</v>
      </c>
      <c r="E1886">
        <v>1</v>
      </c>
      <c r="F1886">
        <v>40</v>
      </c>
      <c r="G1886">
        <v>0</v>
      </c>
      <c r="H1886">
        <v>0</v>
      </c>
      <c r="I1886">
        <v>3</v>
      </c>
      <c r="J1886">
        <v>0</v>
      </c>
    </row>
    <row r="1887" spans="1:10" x14ac:dyDescent="0.25">
      <c r="A1887" t="s">
        <v>67</v>
      </c>
      <c r="B1887">
        <v>7172012005001200</v>
      </c>
      <c r="C1887">
        <v>61</v>
      </c>
      <c r="D1887">
        <v>23</v>
      </c>
      <c r="E1887">
        <v>6</v>
      </c>
      <c r="F1887">
        <v>32</v>
      </c>
      <c r="G1887">
        <v>0</v>
      </c>
      <c r="H1887">
        <v>0</v>
      </c>
      <c r="I1887">
        <v>0</v>
      </c>
      <c r="J1887">
        <v>0</v>
      </c>
    </row>
    <row r="1888" spans="1:10" x14ac:dyDescent="0.25">
      <c r="A1888" t="s">
        <v>67</v>
      </c>
      <c r="B1888">
        <v>7172012005001600</v>
      </c>
      <c r="C1888">
        <v>58</v>
      </c>
      <c r="D1888">
        <v>49</v>
      </c>
      <c r="E1888">
        <v>2</v>
      </c>
      <c r="F1888">
        <v>6</v>
      </c>
      <c r="G1888">
        <v>0</v>
      </c>
      <c r="H1888">
        <v>0</v>
      </c>
      <c r="I1888">
        <v>1</v>
      </c>
      <c r="J1888">
        <v>0</v>
      </c>
    </row>
    <row r="1889" spans="1:10" x14ac:dyDescent="0.25">
      <c r="A1889" t="s">
        <v>67</v>
      </c>
      <c r="B1889">
        <v>7172012005001300</v>
      </c>
      <c r="C1889">
        <v>54</v>
      </c>
      <c r="D1889">
        <v>49</v>
      </c>
      <c r="E1889">
        <v>3</v>
      </c>
      <c r="F1889">
        <v>2</v>
      </c>
      <c r="G1889">
        <v>0</v>
      </c>
      <c r="H1889">
        <v>0</v>
      </c>
      <c r="I1889">
        <v>0</v>
      </c>
      <c r="J1889">
        <v>0</v>
      </c>
    </row>
    <row r="1890" spans="1:10" x14ac:dyDescent="0.25">
      <c r="A1890" t="s">
        <v>67</v>
      </c>
      <c r="B1890">
        <v>7172012005000800</v>
      </c>
      <c r="C1890">
        <v>39</v>
      </c>
      <c r="D1890">
        <v>30</v>
      </c>
      <c r="E1890">
        <v>1</v>
      </c>
      <c r="F1890">
        <v>8</v>
      </c>
      <c r="G1890">
        <v>0</v>
      </c>
      <c r="H1890">
        <v>0</v>
      </c>
      <c r="I1890">
        <v>0</v>
      </c>
      <c r="J1890">
        <v>0</v>
      </c>
    </row>
    <row r="1891" spans="1:10" x14ac:dyDescent="0.25">
      <c r="A1891" t="s">
        <v>67</v>
      </c>
      <c r="B1891">
        <v>7172012005000700</v>
      </c>
      <c r="C1891">
        <v>38</v>
      </c>
      <c r="D1891">
        <v>37</v>
      </c>
      <c r="E1891">
        <v>0</v>
      </c>
      <c r="F1891">
        <v>1</v>
      </c>
      <c r="G1891">
        <v>0</v>
      </c>
      <c r="H1891">
        <v>0</v>
      </c>
      <c r="I1891">
        <v>0</v>
      </c>
      <c r="J1891">
        <v>0</v>
      </c>
    </row>
    <row r="1892" spans="1:10" x14ac:dyDescent="0.25">
      <c r="A1892" t="s">
        <v>70</v>
      </c>
      <c r="B1892">
        <v>7172012006001600</v>
      </c>
      <c r="C1892">
        <v>117</v>
      </c>
      <c r="D1892">
        <v>79</v>
      </c>
      <c r="E1892">
        <v>3</v>
      </c>
      <c r="F1892">
        <v>35</v>
      </c>
      <c r="G1892">
        <v>0</v>
      </c>
      <c r="H1892">
        <v>0</v>
      </c>
      <c r="I1892">
        <v>0</v>
      </c>
      <c r="J1892">
        <v>0</v>
      </c>
    </row>
    <row r="1893" spans="1:10" x14ac:dyDescent="0.25">
      <c r="A1893" t="s">
        <v>70</v>
      </c>
      <c r="B1893">
        <v>7172012006001300</v>
      </c>
      <c r="C1893">
        <v>111</v>
      </c>
      <c r="D1893">
        <v>44</v>
      </c>
      <c r="E1893">
        <v>13</v>
      </c>
      <c r="F1893">
        <v>27</v>
      </c>
      <c r="G1893">
        <v>0</v>
      </c>
      <c r="H1893">
        <v>0</v>
      </c>
      <c r="I1893">
        <v>27</v>
      </c>
      <c r="J1893">
        <v>0</v>
      </c>
    </row>
    <row r="1894" spans="1:10" x14ac:dyDescent="0.25">
      <c r="A1894" t="s">
        <v>70</v>
      </c>
      <c r="B1894">
        <v>7172012006000902</v>
      </c>
      <c r="C1894">
        <v>102</v>
      </c>
      <c r="D1894">
        <v>24</v>
      </c>
      <c r="E1894">
        <v>4</v>
      </c>
      <c r="F1894">
        <v>73</v>
      </c>
      <c r="G1894">
        <v>0</v>
      </c>
      <c r="H1894">
        <v>0</v>
      </c>
      <c r="I1894">
        <v>1</v>
      </c>
      <c r="J1894">
        <v>0</v>
      </c>
    </row>
    <row r="1895" spans="1:10" x14ac:dyDescent="0.25">
      <c r="A1895" t="s">
        <v>70</v>
      </c>
      <c r="B1895">
        <v>7172012006001500</v>
      </c>
      <c r="C1895">
        <v>101</v>
      </c>
      <c r="D1895">
        <v>48</v>
      </c>
      <c r="E1895">
        <v>5</v>
      </c>
      <c r="F1895">
        <v>47</v>
      </c>
      <c r="G1895">
        <v>1</v>
      </c>
      <c r="H1895">
        <v>0</v>
      </c>
      <c r="I1895">
        <v>0</v>
      </c>
      <c r="J1895">
        <v>0</v>
      </c>
    </row>
    <row r="1896" spans="1:10" x14ac:dyDescent="0.25">
      <c r="A1896" t="s">
        <v>70</v>
      </c>
      <c r="B1896">
        <v>7172012006001200</v>
      </c>
      <c r="C1896">
        <v>84</v>
      </c>
      <c r="D1896">
        <v>21</v>
      </c>
      <c r="E1896">
        <v>2</v>
      </c>
      <c r="F1896">
        <v>47</v>
      </c>
      <c r="G1896">
        <v>0</v>
      </c>
      <c r="H1896">
        <v>0</v>
      </c>
      <c r="I1896">
        <v>14</v>
      </c>
      <c r="J1896">
        <v>0</v>
      </c>
    </row>
    <row r="1897" spans="1:10" x14ac:dyDescent="0.25">
      <c r="A1897" t="s">
        <v>70</v>
      </c>
      <c r="B1897">
        <v>7172012006000903</v>
      </c>
      <c r="C1897">
        <v>74</v>
      </c>
      <c r="D1897">
        <v>1</v>
      </c>
      <c r="E1897">
        <v>8</v>
      </c>
      <c r="F1897">
        <v>65</v>
      </c>
      <c r="G1897">
        <v>0</v>
      </c>
      <c r="H1897">
        <v>0</v>
      </c>
      <c r="I1897">
        <v>0</v>
      </c>
      <c r="J1897">
        <v>0</v>
      </c>
    </row>
    <row r="1898" spans="1:10" x14ac:dyDescent="0.25">
      <c r="A1898" t="s">
        <v>70</v>
      </c>
      <c r="B1898">
        <v>7172012006001000</v>
      </c>
      <c r="C1898">
        <v>72</v>
      </c>
      <c r="D1898">
        <v>4</v>
      </c>
      <c r="E1898">
        <v>26</v>
      </c>
      <c r="F1898">
        <v>28</v>
      </c>
      <c r="G1898">
        <v>0</v>
      </c>
      <c r="H1898">
        <v>0</v>
      </c>
      <c r="I1898">
        <v>14</v>
      </c>
      <c r="J1898">
        <v>0</v>
      </c>
    </row>
    <row r="1899" spans="1:10" x14ac:dyDescent="0.25">
      <c r="A1899" t="s">
        <v>70</v>
      </c>
      <c r="B1899">
        <v>7172012006001100</v>
      </c>
      <c r="C1899">
        <v>50</v>
      </c>
      <c r="D1899">
        <v>49</v>
      </c>
      <c r="E1899">
        <v>0</v>
      </c>
      <c r="F1899">
        <v>0</v>
      </c>
      <c r="G1899">
        <v>0</v>
      </c>
      <c r="H1899">
        <v>0</v>
      </c>
      <c r="I1899">
        <v>1</v>
      </c>
      <c r="J1899">
        <v>0</v>
      </c>
    </row>
    <row r="1900" spans="1:10" x14ac:dyDescent="0.25">
      <c r="A1900" t="s">
        <v>230</v>
      </c>
      <c r="B1900">
        <v>7172012007000600</v>
      </c>
      <c r="C1900">
        <v>203</v>
      </c>
      <c r="D1900">
        <v>88</v>
      </c>
      <c r="E1900">
        <v>46</v>
      </c>
      <c r="F1900">
        <v>58</v>
      </c>
      <c r="G1900">
        <v>0</v>
      </c>
      <c r="H1900">
        <v>0</v>
      </c>
      <c r="I1900">
        <v>11</v>
      </c>
      <c r="J1900">
        <v>0</v>
      </c>
    </row>
    <row r="1901" spans="1:10" x14ac:dyDescent="0.25">
      <c r="A1901" t="s">
        <v>230</v>
      </c>
      <c r="B1901">
        <v>7172012007000700</v>
      </c>
      <c r="C1901">
        <v>167</v>
      </c>
      <c r="D1901">
        <v>7</v>
      </c>
      <c r="E1901">
        <v>0</v>
      </c>
      <c r="F1901">
        <v>159</v>
      </c>
      <c r="G1901">
        <v>0</v>
      </c>
      <c r="H1901">
        <v>0</v>
      </c>
      <c r="I1901">
        <v>1</v>
      </c>
      <c r="J1901">
        <v>0</v>
      </c>
    </row>
    <row r="1902" spans="1:10" x14ac:dyDescent="0.25">
      <c r="A1902" t="s">
        <v>230</v>
      </c>
      <c r="B1902">
        <v>7172012007000300</v>
      </c>
      <c r="C1902">
        <v>134</v>
      </c>
      <c r="D1902">
        <v>106</v>
      </c>
      <c r="E1902">
        <v>8</v>
      </c>
      <c r="F1902">
        <v>19</v>
      </c>
      <c r="G1902">
        <v>0</v>
      </c>
      <c r="H1902">
        <v>0</v>
      </c>
      <c r="I1902">
        <v>1</v>
      </c>
      <c r="J1902">
        <v>0</v>
      </c>
    </row>
    <row r="1903" spans="1:10" x14ac:dyDescent="0.25">
      <c r="A1903" t="s">
        <v>230</v>
      </c>
      <c r="B1903">
        <v>7172012007000200</v>
      </c>
      <c r="C1903">
        <v>126</v>
      </c>
      <c r="D1903">
        <v>99</v>
      </c>
      <c r="E1903">
        <v>3</v>
      </c>
      <c r="F1903">
        <v>23</v>
      </c>
      <c r="G1903">
        <v>0</v>
      </c>
      <c r="H1903">
        <v>0</v>
      </c>
      <c r="I1903">
        <v>1</v>
      </c>
      <c r="J1903">
        <v>0</v>
      </c>
    </row>
    <row r="1904" spans="1:10" x14ac:dyDescent="0.25">
      <c r="A1904" t="s">
        <v>230</v>
      </c>
      <c r="B1904">
        <v>7172012007000400</v>
      </c>
      <c r="C1904">
        <v>114</v>
      </c>
      <c r="D1904">
        <v>80</v>
      </c>
      <c r="E1904">
        <v>2</v>
      </c>
      <c r="F1904">
        <v>28</v>
      </c>
      <c r="G1904">
        <v>0</v>
      </c>
      <c r="H1904">
        <v>0</v>
      </c>
      <c r="I1904">
        <v>4</v>
      </c>
      <c r="J1904">
        <v>0</v>
      </c>
    </row>
    <row r="1905" spans="1:10" x14ac:dyDescent="0.25">
      <c r="A1905" t="s">
        <v>72</v>
      </c>
      <c r="B1905">
        <v>7172012007001100</v>
      </c>
      <c r="C1905">
        <v>166</v>
      </c>
      <c r="D1905">
        <v>0</v>
      </c>
      <c r="E1905">
        <v>0</v>
      </c>
      <c r="F1905">
        <v>166</v>
      </c>
      <c r="G1905">
        <v>0</v>
      </c>
      <c r="H1905">
        <v>0</v>
      </c>
      <c r="I1905">
        <v>0</v>
      </c>
      <c r="J1905">
        <v>0</v>
      </c>
    </row>
    <row r="1906" spans="1:10" x14ac:dyDescent="0.25">
      <c r="A1906" t="s">
        <v>72</v>
      </c>
      <c r="B1906">
        <v>7172012007000800</v>
      </c>
      <c r="C1906">
        <v>161</v>
      </c>
      <c r="D1906">
        <v>62</v>
      </c>
      <c r="E1906">
        <v>22</v>
      </c>
      <c r="F1906">
        <v>72</v>
      </c>
      <c r="G1906">
        <v>0</v>
      </c>
      <c r="H1906">
        <v>0</v>
      </c>
      <c r="I1906">
        <v>5</v>
      </c>
      <c r="J1906">
        <v>0</v>
      </c>
    </row>
    <row r="1907" spans="1:10" x14ac:dyDescent="0.25">
      <c r="A1907" t="s">
        <v>72</v>
      </c>
      <c r="B1907">
        <v>7172012007000900</v>
      </c>
      <c r="C1907">
        <v>125</v>
      </c>
      <c r="D1907">
        <v>120</v>
      </c>
      <c r="E1907">
        <v>3</v>
      </c>
      <c r="F1907">
        <v>1</v>
      </c>
      <c r="G1907">
        <v>0</v>
      </c>
      <c r="H1907">
        <v>0</v>
      </c>
      <c r="I1907">
        <v>1</v>
      </c>
      <c r="J1907">
        <v>0</v>
      </c>
    </row>
    <row r="1908" spans="1:10" x14ac:dyDescent="0.25">
      <c r="A1908" t="s">
        <v>72</v>
      </c>
      <c r="B1908">
        <v>7172012007001000</v>
      </c>
      <c r="C1908">
        <v>100</v>
      </c>
      <c r="D1908">
        <v>57</v>
      </c>
      <c r="E1908">
        <v>5</v>
      </c>
      <c r="F1908">
        <v>30</v>
      </c>
      <c r="G1908">
        <v>3</v>
      </c>
      <c r="H1908">
        <v>2</v>
      </c>
      <c r="I1908">
        <v>3</v>
      </c>
      <c r="J1908">
        <v>0</v>
      </c>
    </row>
    <row r="1909" spans="1:10" x14ac:dyDescent="0.25">
      <c r="A1909" t="s">
        <v>72</v>
      </c>
      <c r="B1909">
        <v>7172012007000500</v>
      </c>
      <c r="C1909">
        <v>93</v>
      </c>
      <c r="D1909">
        <v>44</v>
      </c>
      <c r="E1909">
        <v>8</v>
      </c>
      <c r="F1909">
        <v>33</v>
      </c>
      <c r="G1909">
        <v>0</v>
      </c>
      <c r="H1909">
        <v>0</v>
      </c>
      <c r="I1909">
        <v>8</v>
      </c>
      <c r="J1909">
        <v>0</v>
      </c>
    </row>
    <row r="1910" spans="1:10" x14ac:dyDescent="0.25">
      <c r="A1910" t="s">
        <v>74</v>
      </c>
      <c r="B1910">
        <v>7172021002000500</v>
      </c>
      <c r="C1910">
        <v>106</v>
      </c>
      <c r="D1910">
        <v>62</v>
      </c>
      <c r="E1910">
        <v>3</v>
      </c>
      <c r="F1910">
        <v>0</v>
      </c>
      <c r="G1910">
        <v>0</v>
      </c>
      <c r="H1910">
        <v>2</v>
      </c>
      <c r="I1910">
        <v>39</v>
      </c>
      <c r="J1910">
        <v>0</v>
      </c>
    </row>
    <row r="1911" spans="1:10" x14ac:dyDescent="0.25">
      <c r="A1911" t="s">
        <v>74</v>
      </c>
      <c r="B1911">
        <v>7172021002000200</v>
      </c>
      <c r="C1911">
        <v>85</v>
      </c>
      <c r="D1911">
        <v>56</v>
      </c>
      <c r="E1911">
        <v>1</v>
      </c>
      <c r="F1911">
        <v>27</v>
      </c>
      <c r="G1911">
        <v>0</v>
      </c>
      <c r="H1911">
        <v>1</v>
      </c>
      <c r="I1911">
        <v>0</v>
      </c>
      <c r="J1911">
        <v>0</v>
      </c>
    </row>
    <row r="1912" spans="1:10" x14ac:dyDescent="0.25">
      <c r="A1912" t="s">
        <v>74</v>
      </c>
      <c r="B1912">
        <v>7172021002000300</v>
      </c>
      <c r="C1912">
        <v>78</v>
      </c>
      <c r="D1912">
        <v>20</v>
      </c>
      <c r="E1912">
        <v>4</v>
      </c>
      <c r="F1912">
        <v>54</v>
      </c>
      <c r="G1912">
        <v>0</v>
      </c>
      <c r="H1912">
        <v>0</v>
      </c>
      <c r="I1912">
        <v>0</v>
      </c>
      <c r="J1912">
        <v>0</v>
      </c>
    </row>
    <row r="1913" spans="1:10" x14ac:dyDescent="0.25">
      <c r="A1913" t="s">
        <v>74</v>
      </c>
      <c r="B1913">
        <v>7172021001000300</v>
      </c>
      <c r="C1913">
        <v>63</v>
      </c>
      <c r="D1913">
        <v>14</v>
      </c>
      <c r="E1913">
        <v>0</v>
      </c>
      <c r="F1913">
        <v>49</v>
      </c>
      <c r="G1913">
        <v>0</v>
      </c>
      <c r="H1913">
        <v>0</v>
      </c>
      <c r="I1913">
        <v>0</v>
      </c>
      <c r="J1913">
        <v>0</v>
      </c>
    </row>
    <row r="1914" spans="1:10" x14ac:dyDescent="0.25">
      <c r="A1914" t="s">
        <v>74</v>
      </c>
      <c r="B1914">
        <v>7172021002000100</v>
      </c>
      <c r="C1914">
        <v>55</v>
      </c>
      <c r="D1914">
        <v>14</v>
      </c>
      <c r="E1914">
        <v>0</v>
      </c>
      <c r="F1914">
        <v>41</v>
      </c>
      <c r="G1914">
        <v>0</v>
      </c>
      <c r="H1914">
        <v>0</v>
      </c>
      <c r="I1914">
        <v>0</v>
      </c>
      <c r="J1914">
        <v>0</v>
      </c>
    </row>
    <row r="1915" spans="1:10" x14ac:dyDescent="0.25">
      <c r="A1915" t="s">
        <v>74</v>
      </c>
      <c r="B1915">
        <v>7172021001000400</v>
      </c>
      <c r="C1915">
        <v>41</v>
      </c>
      <c r="D1915">
        <v>39</v>
      </c>
      <c r="E1915">
        <v>2</v>
      </c>
      <c r="F1915">
        <v>0</v>
      </c>
      <c r="G1915">
        <v>0</v>
      </c>
      <c r="H1915">
        <v>0</v>
      </c>
      <c r="I1915">
        <v>0</v>
      </c>
      <c r="J1915">
        <v>0</v>
      </c>
    </row>
    <row r="1916" spans="1:10" x14ac:dyDescent="0.25">
      <c r="A1916" t="s">
        <v>74</v>
      </c>
      <c r="B1916">
        <v>7172021001000200</v>
      </c>
      <c r="C1916">
        <v>37</v>
      </c>
      <c r="D1916">
        <v>9</v>
      </c>
      <c r="E1916">
        <v>3</v>
      </c>
      <c r="F1916">
        <v>25</v>
      </c>
      <c r="G1916">
        <v>0</v>
      </c>
      <c r="H1916">
        <v>0</v>
      </c>
      <c r="I1916">
        <v>0</v>
      </c>
      <c r="J1916">
        <v>0</v>
      </c>
    </row>
    <row r="1917" spans="1:10" x14ac:dyDescent="0.25">
      <c r="A1917" t="s">
        <v>74</v>
      </c>
      <c r="B1917">
        <v>7172021001000100</v>
      </c>
      <c r="C1917">
        <v>32</v>
      </c>
      <c r="D1917">
        <v>17</v>
      </c>
      <c r="E1917">
        <v>4</v>
      </c>
      <c r="F1917">
        <v>11</v>
      </c>
      <c r="G1917">
        <v>0</v>
      </c>
      <c r="H1917">
        <v>0</v>
      </c>
      <c r="I1917">
        <v>0</v>
      </c>
      <c r="J1917">
        <v>0</v>
      </c>
    </row>
    <row r="1918" spans="1:10" x14ac:dyDescent="0.25">
      <c r="A1918" t="s">
        <v>231</v>
      </c>
      <c r="B1918">
        <v>7172021003000100</v>
      </c>
      <c r="C1918">
        <v>107</v>
      </c>
      <c r="D1918">
        <v>38</v>
      </c>
      <c r="E1918">
        <v>1</v>
      </c>
      <c r="F1918">
        <v>68</v>
      </c>
      <c r="G1918">
        <v>0</v>
      </c>
      <c r="H1918">
        <v>0</v>
      </c>
      <c r="I1918">
        <v>0</v>
      </c>
      <c r="J1918">
        <v>0</v>
      </c>
    </row>
    <row r="1919" spans="1:10" x14ac:dyDescent="0.25">
      <c r="A1919" t="s">
        <v>231</v>
      </c>
      <c r="B1919">
        <v>7172021006001900</v>
      </c>
      <c r="C1919">
        <v>72</v>
      </c>
      <c r="D1919">
        <v>24</v>
      </c>
      <c r="E1919">
        <v>1</v>
      </c>
      <c r="F1919">
        <v>39</v>
      </c>
      <c r="G1919">
        <v>0</v>
      </c>
      <c r="H1919">
        <v>0</v>
      </c>
      <c r="I1919">
        <v>8</v>
      </c>
      <c r="J1919">
        <v>0</v>
      </c>
    </row>
    <row r="1920" spans="1:10" x14ac:dyDescent="0.25">
      <c r="A1920" t="s">
        <v>231</v>
      </c>
      <c r="B1920">
        <v>7172021002000600</v>
      </c>
      <c r="C1920">
        <v>70</v>
      </c>
      <c r="D1920">
        <v>63</v>
      </c>
      <c r="E1920">
        <v>5</v>
      </c>
      <c r="F1920">
        <v>2</v>
      </c>
      <c r="G1920">
        <v>0</v>
      </c>
      <c r="H1920">
        <v>0</v>
      </c>
      <c r="I1920">
        <v>0</v>
      </c>
      <c r="J1920">
        <v>0</v>
      </c>
    </row>
    <row r="1921" spans="1:10" x14ac:dyDescent="0.25">
      <c r="A1921" t="s">
        <v>231</v>
      </c>
      <c r="B1921">
        <v>7172021003001200</v>
      </c>
      <c r="C1921">
        <v>69</v>
      </c>
      <c r="D1921">
        <v>12</v>
      </c>
      <c r="E1921">
        <v>0</v>
      </c>
      <c r="F1921">
        <v>57</v>
      </c>
      <c r="G1921">
        <v>0</v>
      </c>
      <c r="H1921">
        <v>0</v>
      </c>
      <c r="I1921">
        <v>0</v>
      </c>
      <c r="J1921">
        <v>0</v>
      </c>
    </row>
    <row r="1922" spans="1:10" x14ac:dyDescent="0.25">
      <c r="A1922" t="s">
        <v>231</v>
      </c>
      <c r="B1922">
        <v>7172021003000300</v>
      </c>
      <c r="C1922">
        <v>67</v>
      </c>
      <c r="D1922">
        <v>6</v>
      </c>
      <c r="E1922">
        <v>0</v>
      </c>
      <c r="F1922">
        <v>61</v>
      </c>
      <c r="G1922">
        <v>0</v>
      </c>
      <c r="H1922">
        <v>0</v>
      </c>
      <c r="I1922">
        <v>0</v>
      </c>
      <c r="J1922">
        <v>0</v>
      </c>
    </row>
    <row r="1923" spans="1:10" x14ac:dyDescent="0.25">
      <c r="A1923" t="s">
        <v>231</v>
      </c>
      <c r="B1923">
        <v>7172021006002100</v>
      </c>
      <c r="C1923">
        <v>62</v>
      </c>
      <c r="D1923">
        <v>22</v>
      </c>
      <c r="E1923">
        <v>0</v>
      </c>
      <c r="F1923">
        <v>2</v>
      </c>
      <c r="G1923">
        <v>0</v>
      </c>
      <c r="H1923">
        <v>0</v>
      </c>
      <c r="I1923">
        <v>38</v>
      </c>
      <c r="J1923">
        <v>0</v>
      </c>
    </row>
    <row r="1924" spans="1:10" x14ac:dyDescent="0.25">
      <c r="A1924" t="s">
        <v>231</v>
      </c>
      <c r="B1924">
        <v>7172021006002000</v>
      </c>
      <c r="C1924">
        <v>61</v>
      </c>
      <c r="D1924">
        <v>60</v>
      </c>
      <c r="E1924">
        <v>0</v>
      </c>
      <c r="F1924">
        <v>0</v>
      </c>
      <c r="G1924">
        <v>0</v>
      </c>
      <c r="H1924">
        <v>0</v>
      </c>
      <c r="I1924">
        <v>1</v>
      </c>
      <c r="J1924">
        <v>0</v>
      </c>
    </row>
    <row r="1925" spans="1:10" x14ac:dyDescent="0.25">
      <c r="A1925" t="s">
        <v>75</v>
      </c>
      <c r="B1925">
        <v>7172021003000800</v>
      </c>
      <c r="C1925">
        <v>117</v>
      </c>
      <c r="D1925">
        <v>45</v>
      </c>
      <c r="E1925">
        <v>11</v>
      </c>
      <c r="F1925">
        <v>20</v>
      </c>
      <c r="G1925">
        <v>0</v>
      </c>
      <c r="H1925">
        <v>4</v>
      </c>
      <c r="I1925">
        <v>37</v>
      </c>
      <c r="J1925">
        <v>0</v>
      </c>
    </row>
    <row r="1926" spans="1:10" x14ac:dyDescent="0.25">
      <c r="A1926" t="s">
        <v>75</v>
      </c>
      <c r="B1926">
        <v>7172021003001100</v>
      </c>
      <c r="C1926">
        <v>91</v>
      </c>
      <c r="D1926">
        <v>22</v>
      </c>
      <c r="E1926">
        <v>0</v>
      </c>
      <c r="F1926">
        <v>69</v>
      </c>
      <c r="G1926">
        <v>0</v>
      </c>
      <c r="H1926">
        <v>0</v>
      </c>
      <c r="I1926">
        <v>0</v>
      </c>
      <c r="J1926">
        <v>0</v>
      </c>
    </row>
    <row r="1927" spans="1:10" x14ac:dyDescent="0.25">
      <c r="A1927" t="s">
        <v>75</v>
      </c>
      <c r="B1927">
        <v>7172021006000100</v>
      </c>
      <c r="C1927">
        <v>90</v>
      </c>
      <c r="D1927">
        <v>22</v>
      </c>
      <c r="E1927">
        <v>0</v>
      </c>
      <c r="F1927">
        <v>68</v>
      </c>
      <c r="G1927">
        <v>0</v>
      </c>
      <c r="H1927">
        <v>0</v>
      </c>
      <c r="I1927">
        <v>0</v>
      </c>
      <c r="J1927">
        <v>0</v>
      </c>
    </row>
    <row r="1928" spans="1:10" x14ac:dyDescent="0.25">
      <c r="A1928" t="s">
        <v>75</v>
      </c>
      <c r="B1928">
        <v>7172021003001000</v>
      </c>
      <c r="C1928">
        <v>63</v>
      </c>
      <c r="D1928">
        <v>54</v>
      </c>
      <c r="E1928">
        <v>9</v>
      </c>
      <c r="F1928">
        <v>0</v>
      </c>
      <c r="G1928">
        <v>0</v>
      </c>
      <c r="H1928">
        <v>0</v>
      </c>
      <c r="I1928">
        <v>0</v>
      </c>
      <c r="J1928">
        <v>0</v>
      </c>
    </row>
    <row r="1929" spans="1:10" x14ac:dyDescent="0.25">
      <c r="A1929" t="s">
        <v>75</v>
      </c>
      <c r="B1929">
        <v>7172021003000900</v>
      </c>
      <c r="C1929">
        <v>57</v>
      </c>
      <c r="D1929">
        <v>15</v>
      </c>
      <c r="E1929">
        <v>0</v>
      </c>
      <c r="F1929">
        <v>42</v>
      </c>
      <c r="G1929">
        <v>0</v>
      </c>
      <c r="H1929">
        <v>0</v>
      </c>
      <c r="I1929">
        <v>0</v>
      </c>
      <c r="J1929">
        <v>0</v>
      </c>
    </row>
    <row r="1930" spans="1:10" x14ac:dyDescent="0.25">
      <c r="A1930" t="s">
        <v>75</v>
      </c>
      <c r="B1930">
        <v>7172021002000400</v>
      </c>
      <c r="C1930">
        <v>39</v>
      </c>
      <c r="D1930">
        <v>39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</row>
    <row r="1931" spans="1:10" x14ac:dyDescent="0.25">
      <c r="A1931" t="s">
        <v>75</v>
      </c>
      <c r="B1931">
        <v>7172021006000700</v>
      </c>
      <c r="C1931">
        <v>26</v>
      </c>
      <c r="D1931">
        <v>4</v>
      </c>
      <c r="E1931">
        <v>0</v>
      </c>
      <c r="F1931">
        <v>22</v>
      </c>
      <c r="G1931">
        <v>0</v>
      </c>
      <c r="H1931">
        <v>0</v>
      </c>
      <c r="I1931">
        <v>0</v>
      </c>
      <c r="J1931">
        <v>0</v>
      </c>
    </row>
    <row r="1932" spans="1:10" x14ac:dyDescent="0.25">
      <c r="A1932" t="s">
        <v>78</v>
      </c>
      <c r="B1932">
        <v>7172021005000100</v>
      </c>
      <c r="C1932">
        <v>100</v>
      </c>
      <c r="D1932">
        <v>88</v>
      </c>
      <c r="E1932">
        <v>3</v>
      </c>
      <c r="F1932">
        <v>9</v>
      </c>
      <c r="G1932">
        <v>0</v>
      </c>
      <c r="H1932">
        <v>0</v>
      </c>
      <c r="I1932">
        <v>0</v>
      </c>
      <c r="J1932">
        <v>0</v>
      </c>
    </row>
    <row r="1933" spans="1:10" x14ac:dyDescent="0.25">
      <c r="A1933" t="s">
        <v>78</v>
      </c>
      <c r="B1933">
        <v>7172021004000200</v>
      </c>
      <c r="C1933">
        <v>97</v>
      </c>
      <c r="D1933">
        <v>69</v>
      </c>
      <c r="E1933">
        <v>0</v>
      </c>
      <c r="F1933">
        <v>13</v>
      </c>
      <c r="G1933">
        <v>0</v>
      </c>
      <c r="H1933">
        <v>1</v>
      </c>
      <c r="I1933">
        <v>14</v>
      </c>
      <c r="J1933">
        <v>0</v>
      </c>
    </row>
    <row r="1934" spans="1:10" x14ac:dyDescent="0.25">
      <c r="A1934" t="s">
        <v>78</v>
      </c>
      <c r="B1934">
        <v>7172021004000500</v>
      </c>
      <c r="C1934">
        <v>97</v>
      </c>
      <c r="D1934">
        <v>16</v>
      </c>
      <c r="E1934">
        <v>0</v>
      </c>
      <c r="F1934">
        <v>81</v>
      </c>
      <c r="G1934">
        <v>0</v>
      </c>
      <c r="H1934">
        <v>0</v>
      </c>
      <c r="I1934">
        <v>0</v>
      </c>
      <c r="J1934">
        <v>0</v>
      </c>
    </row>
    <row r="1935" spans="1:10" x14ac:dyDescent="0.25">
      <c r="A1935" t="s">
        <v>78</v>
      </c>
      <c r="B1935">
        <v>7172021004000600</v>
      </c>
      <c r="C1935">
        <v>78</v>
      </c>
      <c r="D1935">
        <v>17</v>
      </c>
      <c r="E1935">
        <v>0</v>
      </c>
      <c r="F1935">
        <v>61</v>
      </c>
      <c r="G1935">
        <v>0</v>
      </c>
      <c r="H1935">
        <v>0</v>
      </c>
      <c r="I1935">
        <v>0</v>
      </c>
      <c r="J1935">
        <v>0</v>
      </c>
    </row>
    <row r="1936" spans="1:10" x14ac:dyDescent="0.25">
      <c r="A1936" t="s">
        <v>78</v>
      </c>
      <c r="B1936">
        <v>7172021004000400</v>
      </c>
      <c r="C1936">
        <v>73</v>
      </c>
      <c r="D1936">
        <v>9</v>
      </c>
      <c r="E1936">
        <v>0</v>
      </c>
      <c r="F1936">
        <v>64</v>
      </c>
      <c r="G1936">
        <v>0</v>
      </c>
      <c r="H1936">
        <v>0</v>
      </c>
      <c r="I1936">
        <v>0</v>
      </c>
      <c r="J1936">
        <v>0</v>
      </c>
    </row>
    <row r="1937" spans="1:10" x14ac:dyDescent="0.25">
      <c r="A1937" t="s">
        <v>78</v>
      </c>
      <c r="B1937">
        <v>7172021004000100</v>
      </c>
      <c r="C1937">
        <v>69</v>
      </c>
      <c r="D1937">
        <v>69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</row>
    <row r="1938" spans="1:10" x14ac:dyDescent="0.25">
      <c r="A1938" t="s">
        <v>78</v>
      </c>
      <c r="B1938">
        <v>7172021004000300</v>
      </c>
      <c r="C1938">
        <v>56</v>
      </c>
      <c r="D1938">
        <v>16</v>
      </c>
      <c r="E1938">
        <v>0</v>
      </c>
      <c r="F1938">
        <v>34</v>
      </c>
      <c r="G1938">
        <v>0</v>
      </c>
      <c r="H1938">
        <v>0</v>
      </c>
      <c r="I1938">
        <v>6</v>
      </c>
      <c r="J1938">
        <v>0</v>
      </c>
    </row>
    <row r="1939" spans="1:10" x14ac:dyDescent="0.25">
      <c r="A1939" t="s">
        <v>79</v>
      </c>
      <c r="B1939">
        <v>7172021006000300</v>
      </c>
      <c r="C1939">
        <v>91</v>
      </c>
      <c r="D1939">
        <v>37</v>
      </c>
      <c r="E1939">
        <v>0</v>
      </c>
      <c r="F1939">
        <v>28</v>
      </c>
      <c r="G1939">
        <v>0</v>
      </c>
      <c r="H1939">
        <v>0</v>
      </c>
      <c r="I1939">
        <v>26</v>
      </c>
      <c r="J1939">
        <v>0</v>
      </c>
    </row>
    <row r="1940" spans="1:10" x14ac:dyDescent="0.25">
      <c r="A1940" t="s">
        <v>79</v>
      </c>
      <c r="B1940">
        <v>7172021006000400</v>
      </c>
      <c r="C1940">
        <v>89</v>
      </c>
      <c r="D1940">
        <v>65</v>
      </c>
      <c r="E1940">
        <v>9</v>
      </c>
      <c r="F1940">
        <v>15</v>
      </c>
      <c r="G1940">
        <v>0</v>
      </c>
      <c r="H1940">
        <v>0</v>
      </c>
      <c r="I1940">
        <v>0</v>
      </c>
      <c r="J1940">
        <v>0</v>
      </c>
    </row>
    <row r="1941" spans="1:10" x14ac:dyDescent="0.25">
      <c r="A1941" t="s">
        <v>79</v>
      </c>
      <c r="B1941">
        <v>7172021006000200</v>
      </c>
      <c r="C1941">
        <v>83</v>
      </c>
      <c r="D1941">
        <v>57</v>
      </c>
      <c r="E1941">
        <v>3</v>
      </c>
      <c r="F1941">
        <v>23</v>
      </c>
      <c r="G1941">
        <v>0</v>
      </c>
      <c r="H1941">
        <v>0</v>
      </c>
      <c r="I1941">
        <v>0</v>
      </c>
      <c r="J1941">
        <v>0</v>
      </c>
    </row>
    <row r="1942" spans="1:10" x14ac:dyDescent="0.25">
      <c r="A1942" t="s">
        <v>79</v>
      </c>
      <c r="B1942">
        <v>7172021005000200</v>
      </c>
      <c r="C1942">
        <v>79</v>
      </c>
      <c r="D1942">
        <v>31</v>
      </c>
      <c r="E1942">
        <v>5</v>
      </c>
      <c r="F1942">
        <v>43</v>
      </c>
      <c r="G1942">
        <v>0</v>
      </c>
      <c r="H1942">
        <v>0</v>
      </c>
      <c r="I1942">
        <v>0</v>
      </c>
      <c r="J1942">
        <v>0</v>
      </c>
    </row>
    <row r="1943" spans="1:10" x14ac:dyDescent="0.25">
      <c r="A1943" t="s">
        <v>79</v>
      </c>
      <c r="B1943">
        <v>7172021005000300</v>
      </c>
      <c r="C1943">
        <v>56</v>
      </c>
      <c r="D1943">
        <v>9</v>
      </c>
      <c r="E1943">
        <v>0</v>
      </c>
      <c r="F1943">
        <v>47</v>
      </c>
      <c r="G1943">
        <v>0</v>
      </c>
      <c r="H1943">
        <v>0</v>
      </c>
      <c r="I1943">
        <v>0</v>
      </c>
      <c r="J1943">
        <v>0</v>
      </c>
    </row>
    <row r="1944" spans="1:10" x14ac:dyDescent="0.25">
      <c r="A1944" t="s">
        <v>79</v>
      </c>
      <c r="B1944">
        <v>7172021006000500</v>
      </c>
      <c r="C1944">
        <v>48</v>
      </c>
      <c r="D1944">
        <v>10</v>
      </c>
      <c r="E1944">
        <v>0</v>
      </c>
      <c r="F1944">
        <v>38</v>
      </c>
      <c r="G1944">
        <v>0</v>
      </c>
      <c r="H1944">
        <v>0</v>
      </c>
      <c r="I1944">
        <v>0</v>
      </c>
      <c r="J1944">
        <v>0</v>
      </c>
    </row>
    <row r="1945" spans="1:10" x14ac:dyDescent="0.25">
      <c r="A1945" t="s">
        <v>79</v>
      </c>
      <c r="B1945">
        <v>7172021006000600</v>
      </c>
      <c r="C1945">
        <v>46</v>
      </c>
      <c r="D1945">
        <v>33</v>
      </c>
      <c r="E1945">
        <v>0</v>
      </c>
      <c r="F1945">
        <v>13</v>
      </c>
      <c r="G1945">
        <v>0</v>
      </c>
      <c r="H1945">
        <v>0</v>
      </c>
      <c r="I1945">
        <v>0</v>
      </c>
      <c r="J1945">
        <v>0</v>
      </c>
    </row>
    <row r="1946" spans="1:10" x14ac:dyDescent="0.25">
      <c r="A1946" t="s">
        <v>79</v>
      </c>
      <c r="B1946">
        <v>7172021005000400</v>
      </c>
      <c r="C1946">
        <v>19</v>
      </c>
      <c r="D1946">
        <v>4</v>
      </c>
      <c r="E1946">
        <v>0</v>
      </c>
      <c r="F1946">
        <v>15</v>
      </c>
      <c r="G1946">
        <v>0</v>
      </c>
      <c r="H1946">
        <v>0</v>
      </c>
      <c r="I1946">
        <v>0</v>
      </c>
      <c r="J1946">
        <v>0</v>
      </c>
    </row>
    <row r="1947" spans="1:10" x14ac:dyDescent="0.25">
      <c r="A1947" t="s">
        <v>232</v>
      </c>
      <c r="B1947">
        <v>7172022001000800</v>
      </c>
      <c r="C1947">
        <v>75</v>
      </c>
      <c r="D1947">
        <v>59</v>
      </c>
      <c r="E1947">
        <v>1</v>
      </c>
      <c r="F1947">
        <v>14</v>
      </c>
      <c r="G1947">
        <v>0</v>
      </c>
      <c r="H1947">
        <v>0</v>
      </c>
      <c r="I1947">
        <v>1</v>
      </c>
      <c r="J1947">
        <v>0</v>
      </c>
    </row>
    <row r="1948" spans="1:10" x14ac:dyDescent="0.25">
      <c r="A1948" t="s">
        <v>232</v>
      </c>
      <c r="B1948">
        <v>7172022001000600</v>
      </c>
      <c r="C1948">
        <v>66</v>
      </c>
      <c r="D1948">
        <v>6</v>
      </c>
      <c r="E1948">
        <v>24</v>
      </c>
      <c r="F1948">
        <v>28</v>
      </c>
      <c r="G1948">
        <v>0</v>
      </c>
      <c r="H1948">
        <v>0</v>
      </c>
      <c r="I1948">
        <v>8</v>
      </c>
      <c r="J1948">
        <v>0</v>
      </c>
    </row>
    <row r="1949" spans="1:10" x14ac:dyDescent="0.25">
      <c r="A1949" t="s">
        <v>232</v>
      </c>
      <c r="B1949">
        <v>7172022001000900</v>
      </c>
      <c r="C1949">
        <v>64</v>
      </c>
      <c r="D1949">
        <v>28</v>
      </c>
      <c r="E1949">
        <v>2</v>
      </c>
      <c r="F1949">
        <v>34</v>
      </c>
      <c r="G1949">
        <v>0</v>
      </c>
      <c r="H1949">
        <v>0</v>
      </c>
      <c r="I1949">
        <v>0</v>
      </c>
      <c r="J1949">
        <v>0</v>
      </c>
    </row>
    <row r="1950" spans="1:10" x14ac:dyDescent="0.25">
      <c r="A1950" t="s">
        <v>232</v>
      </c>
      <c r="B1950">
        <v>7172022001001100</v>
      </c>
      <c r="C1950">
        <v>62</v>
      </c>
      <c r="D1950">
        <v>59</v>
      </c>
      <c r="E1950">
        <v>1</v>
      </c>
      <c r="F1950">
        <v>2</v>
      </c>
      <c r="G1950">
        <v>0</v>
      </c>
      <c r="H1950">
        <v>0</v>
      </c>
      <c r="I1950">
        <v>0</v>
      </c>
      <c r="J1950">
        <v>0</v>
      </c>
    </row>
    <row r="1951" spans="1:10" x14ac:dyDescent="0.25">
      <c r="A1951" t="s">
        <v>232</v>
      </c>
      <c r="B1951">
        <v>7172022001000700</v>
      </c>
      <c r="C1951">
        <v>60</v>
      </c>
      <c r="D1951">
        <v>0</v>
      </c>
      <c r="E1951">
        <v>6</v>
      </c>
      <c r="F1951">
        <v>54</v>
      </c>
      <c r="G1951">
        <v>0</v>
      </c>
      <c r="H1951">
        <v>0</v>
      </c>
      <c r="I1951">
        <v>0</v>
      </c>
      <c r="J1951">
        <v>0</v>
      </c>
    </row>
    <row r="1952" spans="1:10" x14ac:dyDescent="0.25">
      <c r="A1952" t="s">
        <v>232</v>
      </c>
      <c r="B1952">
        <v>7172022001001000</v>
      </c>
      <c r="C1952">
        <v>54</v>
      </c>
      <c r="D1952">
        <v>31</v>
      </c>
      <c r="E1952">
        <v>0</v>
      </c>
      <c r="F1952">
        <v>10</v>
      </c>
      <c r="G1952">
        <v>0</v>
      </c>
      <c r="H1952">
        <v>0</v>
      </c>
      <c r="I1952">
        <v>13</v>
      </c>
      <c r="J1952">
        <v>0</v>
      </c>
    </row>
    <row r="1953" spans="1:10" x14ac:dyDescent="0.25">
      <c r="A1953" t="s">
        <v>232</v>
      </c>
      <c r="B1953">
        <v>7172022001001200</v>
      </c>
      <c r="C1953">
        <v>48</v>
      </c>
      <c r="D1953">
        <v>1</v>
      </c>
      <c r="E1953">
        <v>0</v>
      </c>
      <c r="F1953">
        <v>47</v>
      </c>
      <c r="G1953">
        <v>0</v>
      </c>
      <c r="H1953">
        <v>0</v>
      </c>
      <c r="I1953">
        <v>0</v>
      </c>
      <c r="J1953">
        <v>0</v>
      </c>
    </row>
    <row r="1954" spans="1:10" x14ac:dyDescent="0.25">
      <c r="A1954" t="s">
        <v>85</v>
      </c>
      <c r="B1954">
        <v>7172022003000200</v>
      </c>
      <c r="C1954">
        <v>113</v>
      </c>
      <c r="D1954">
        <v>109</v>
      </c>
      <c r="E1954">
        <v>0</v>
      </c>
      <c r="F1954">
        <v>4</v>
      </c>
      <c r="G1954">
        <v>0</v>
      </c>
      <c r="H1954">
        <v>0</v>
      </c>
      <c r="I1954">
        <v>0</v>
      </c>
      <c r="J1954">
        <v>0</v>
      </c>
    </row>
    <row r="1955" spans="1:10" x14ac:dyDescent="0.25">
      <c r="A1955" t="s">
        <v>85</v>
      </c>
      <c r="B1955">
        <v>7172022003000400</v>
      </c>
      <c r="C1955">
        <v>73</v>
      </c>
      <c r="D1955">
        <v>43</v>
      </c>
      <c r="E1955">
        <v>4</v>
      </c>
      <c r="F1955">
        <v>2</v>
      </c>
      <c r="G1955">
        <v>2</v>
      </c>
      <c r="H1955">
        <v>0</v>
      </c>
      <c r="I1955">
        <v>22</v>
      </c>
      <c r="J1955">
        <v>0</v>
      </c>
    </row>
    <row r="1956" spans="1:10" x14ac:dyDescent="0.25">
      <c r="A1956" t="s">
        <v>85</v>
      </c>
      <c r="B1956">
        <v>7172022003000300</v>
      </c>
      <c r="C1956">
        <v>58</v>
      </c>
      <c r="D1956">
        <v>55</v>
      </c>
      <c r="E1956">
        <v>0</v>
      </c>
      <c r="F1956">
        <v>1</v>
      </c>
      <c r="G1956">
        <v>0</v>
      </c>
      <c r="H1956">
        <v>0</v>
      </c>
      <c r="I1956">
        <v>2</v>
      </c>
      <c r="J1956">
        <v>0</v>
      </c>
    </row>
    <row r="1957" spans="1:10" x14ac:dyDescent="0.25">
      <c r="A1957" t="s">
        <v>85</v>
      </c>
      <c r="B1957">
        <v>7172022002000400</v>
      </c>
      <c r="C1957">
        <v>56</v>
      </c>
      <c r="D1957">
        <v>0</v>
      </c>
      <c r="E1957">
        <v>20</v>
      </c>
      <c r="F1957">
        <v>23</v>
      </c>
      <c r="G1957">
        <v>0</v>
      </c>
      <c r="H1957">
        <v>0</v>
      </c>
      <c r="I1957">
        <v>13</v>
      </c>
      <c r="J1957">
        <v>0</v>
      </c>
    </row>
    <row r="1958" spans="1:10" x14ac:dyDescent="0.25">
      <c r="A1958" t="s">
        <v>85</v>
      </c>
      <c r="B1958">
        <v>7172022002000700</v>
      </c>
      <c r="C1958">
        <v>46</v>
      </c>
      <c r="D1958">
        <v>0</v>
      </c>
      <c r="E1958">
        <v>0</v>
      </c>
      <c r="F1958">
        <v>46</v>
      </c>
      <c r="G1958">
        <v>0</v>
      </c>
      <c r="H1958">
        <v>0</v>
      </c>
      <c r="I1958">
        <v>0</v>
      </c>
      <c r="J1958">
        <v>0</v>
      </c>
    </row>
    <row r="1959" spans="1:10" x14ac:dyDescent="0.25">
      <c r="A1959" t="s">
        <v>85</v>
      </c>
      <c r="B1959">
        <v>7172022002000500</v>
      </c>
      <c r="C1959">
        <v>43</v>
      </c>
      <c r="D1959">
        <v>0</v>
      </c>
      <c r="E1959">
        <v>0</v>
      </c>
      <c r="F1959">
        <v>43</v>
      </c>
      <c r="G1959">
        <v>0</v>
      </c>
      <c r="H1959">
        <v>0</v>
      </c>
      <c r="I1959">
        <v>0</v>
      </c>
      <c r="J1959">
        <v>0</v>
      </c>
    </row>
    <row r="1960" spans="1:10" x14ac:dyDescent="0.25">
      <c r="A1960" t="s">
        <v>85</v>
      </c>
      <c r="B1960">
        <v>7172022002000600</v>
      </c>
      <c r="C1960">
        <v>40</v>
      </c>
      <c r="D1960">
        <v>0</v>
      </c>
      <c r="E1960">
        <v>0</v>
      </c>
      <c r="F1960">
        <v>40</v>
      </c>
      <c r="G1960">
        <v>0</v>
      </c>
      <c r="H1960">
        <v>0</v>
      </c>
      <c r="I1960">
        <v>0</v>
      </c>
      <c r="J1960">
        <v>0</v>
      </c>
    </row>
    <row r="1961" spans="1:10" x14ac:dyDescent="0.25">
      <c r="A1961" t="s">
        <v>85</v>
      </c>
      <c r="B1961">
        <v>7172022002000800</v>
      </c>
      <c r="C1961">
        <v>30</v>
      </c>
      <c r="D1961">
        <v>0</v>
      </c>
      <c r="E1961">
        <v>0</v>
      </c>
      <c r="F1961">
        <v>30</v>
      </c>
      <c r="G1961">
        <v>0</v>
      </c>
      <c r="H1961">
        <v>0</v>
      </c>
      <c r="I1961">
        <v>0</v>
      </c>
      <c r="J1961">
        <v>0</v>
      </c>
    </row>
    <row r="1962" spans="1:10" x14ac:dyDescent="0.25">
      <c r="A1962" t="s">
        <v>89</v>
      </c>
      <c r="B1962">
        <v>7172022009000100</v>
      </c>
      <c r="C1962">
        <v>112</v>
      </c>
      <c r="D1962">
        <v>19</v>
      </c>
      <c r="E1962">
        <v>30</v>
      </c>
      <c r="F1962">
        <v>62</v>
      </c>
      <c r="G1962">
        <v>0</v>
      </c>
      <c r="H1962">
        <v>0</v>
      </c>
      <c r="I1962">
        <v>1</v>
      </c>
      <c r="J1962">
        <v>0</v>
      </c>
    </row>
    <row r="1963" spans="1:10" x14ac:dyDescent="0.25">
      <c r="A1963" t="s">
        <v>89</v>
      </c>
      <c r="B1963">
        <v>7172022008000400</v>
      </c>
      <c r="C1963">
        <v>98</v>
      </c>
      <c r="D1963">
        <v>95</v>
      </c>
      <c r="E1963">
        <v>0</v>
      </c>
      <c r="F1963">
        <v>2</v>
      </c>
      <c r="G1963">
        <v>0</v>
      </c>
      <c r="H1963">
        <v>0</v>
      </c>
      <c r="I1963">
        <v>1</v>
      </c>
      <c r="J1963">
        <v>0</v>
      </c>
    </row>
    <row r="1964" spans="1:10" x14ac:dyDescent="0.25">
      <c r="A1964" t="s">
        <v>89</v>
      </c>
      <c r="B1964">
        <v>7172022009000200</v>
      </c>
      <c r="C1964">
        <v>74</v>
      </c>
      <c r="D1964">
        <v>0</v>
      </c>
      <c r="E1964">
        <v>0</v>
      </c>
      <c r="F1964">
        <v>74</v>
      </c>
      <c r="G1964">
        <v>0</v>
      </c>
      <c r="H1964">
        <v>0</v>
      </c>
      <c r="I1964">
        <v>0</v>
      </c>
      <c r="J1964">
        <v>0</v>
      </c>
    </row>
    <row r="1965" spans="1:10" x14ac:dyDescent="0.25">
      <c r="A1965" t="s">
        <v>89</v>
      </c>
      <c r="B1965">
        <v>7172022009000400</v>
      </c>
      <c r="C1965">
        <v>61</v>
      </c>
      <c r="D1965">
        <v>43</v>
      </c>
      <c r="E1965">
        <v>12</v>
      </c>
      <c r="F1965">
        <v>5</v>
      </c>
      <c r="G1965">
        <v>0</v>
      </c>
      <c r="H1965">
        <v>0</v>
      </c>
      <c r="I1965">
        <v>1</v>
      </c>
      <c r="J1965">
        <v>0</v>
      </c>
    </row>
    <row r="1966" spans="1:10" x14ac:dyDescent="0.25">
      <c r="A1966" t="s">
        <v>89</v>
      </c>
      <c r="B1966">
        <v>7172022009000300</v>
      </c>
      <c r="C1966">
        <v>47</v>
      </c>
      <c r="D1966">
        <v>41</v>
      </c>
      <c r="E1966">
        <v>3</v>
      </c>
      <c r="F1966">
        <v>3</v>
      </c>
      <c r="G1966">
        <v>0</v>
      </c>
      <c r="H1966">
        <v>0</v>
      </c>
      <c r="I1966">
        <v>0</v>
      </c>
      <c r="J1966">
        <v>0</v>
      </c>
    </row>
    <row r="1967" spans="1:10" x14ac:dyDescent="0.25">
      <c r="A1967" t="s">
        <v>89</v>
      </c>
      <c r="B1967">
        <v>7172022008000500</v>
      </c>
      <c r="C1967">
        <v>44</v>
      </c>
      <c r="D1967">
        <v>11</v>
      </c>
      <c r="E1967">
        <v>2</v>
      </c>
      <c r="F1967">
        <v>31</v>
      </c>
      <c r="G1967">
        <v>0</v>
      </c>
      <c r="H1967">
        <v>0</v>
      </c>
      <c r="I1967">
        <v>0</v>
      </c>
      <c r="J1967">
        <v>0</v>
      </c>
    </row>
    <row r="1968" spans="1:10" x14ac:dyDescent="0.25">
      <c r="A1968" t="s">
        <v>90</v>
      </c>
      <c r="B1968">
        <v>7172030006000100</v>
      </c>
      <c r="C1968">
        <v>110</v>
      </c>
      <c r="D1968">
        <v>0</v>
      </c>
      <c r="E1968">
        <v>0</v>
      </c>
      <c r="F1968">
        <v>110</v>
      </c>
      <c r="G1968">
        <v>0</v>
      </c>
      <c r="H1968">
        <v>0</v>
      </c>
      <c r="I1968">
        <v>0</v>
      </c>
      <c r="J1968">
        <v>0</v>
      </c>
    </row>
    <row r="1969" spans="1:10" x14ac:dyDescent="0.25">
      <c r="A1969" t="s">
        <v>90</v>
      </c>
      <c r="B1969">
        <v>7172030006000600</v>
      </c>
      <c r="C1969">
        <v>108</v>
      </c>
      <c r="D1969">
        <v>38</v>
      </c>
      <c r="E1969">
        <v>0</v>
      </c>
      <c r="F1969">
        <v>56</v>
      </c>
      <c r="G1969">
        <v>0</v>
      </c>
      <c r="H1969">
        <v>0</v>
      </c>
      <c r="I1969">
        <v>13</v>
      </c>
      <c r="J1969">
        <v>1</v>
      </c>
    </row>
    <row r="1970" spans="1:10" x14ac:dyDescent="0.25">
      <c r="A1970" t="s">
        <v>90</v>
      </c>
      <c r="B1970">
        <v>7172030006000900</v>
      </c>
      <c r="C1970">
        <v>92</v>
      </c>
      <c r="D1970">
        <v>44</v>
      </c>
      <c r="E1970">
        <v>0</v>
      </c>
      <c r="F1970">
        <v>41</v>
      </c>
      <c r="G1970">
        <v>0</v>
      </c>
      <c r="H1970">
        <v>0</v>
      </c>
      <c r="I1970">
        <v>7</v>
      </c>
      <c r="J1970">
        <v>0</v>
      </c>
    </row>
    <row r="1971" spans="1:10" x14ac:dyDescent="0.25">
      <c r="A1971" t="s">
        <v>90</v>
      </c>
      <c r="B1971">
        <v>7172030006000800</v>
      </c>
      <c r="C1971">
        <v>86</v>
      </c>
      <c r="D1971">
        <v>69</v>
      </c>
      <c r="E1971">
        <v>0</v>
      </c>
      <c r="F1971">
        <v>13</v>
      </c>
      <c r="G1971">
        <v>0</v>
      </c>
      <c r="H1971">
        <v>0</v>
      </c>
      <c r="I1971">
        <v>4</v>
      </c>
      <c r="J1971">
        <v>0</v>
      </c>
    </row>
    <row r="1972" spans="1:10" x14ac:dyDescent="0.25">
      <c r="A1972" t="s">
        <v>90</v>
      </c>
      <c r="B1972">
        <v>7172030006000200</v>
      </c>
      <c r="C1972">
        <v>77</v>
      </c>
      <c r="D1972">
        <v>20</v>
      </c>
      <c r="E1972">
        <v>1</v>
      </c>
      <c r="F1972">
        <v>52</v>
      </c>
      <c r="G1972">
        <v>1</v>
      </c>
      <c r="H1972">
        <v>0</v>
      </c>
      <c r="I1972">
        <v>3</v>
      </c>
      <c r="J1972">
        <v>0</v>
      </c>
    </row>
    <row r="1973" spans="1:10" x14ac:dyDescent="0.25">
      <c r="A1973" t="s">
        <v>90</v>
      </c>
      <c r="B1973">
        <v>7172030006000700</v>
      </c>
      <c r="C1973">
        <v>73</v>
      </c>
      <c r="D1973">
        <v>28</v>
      </c>
      <c r="E1973">
        <v>0</v>
      </c>
      <c r="F1973">
        <v>42</v>
      </c>
      <c r="G1973">
        <v>0</v>
      </c>
      <c r="H1973">
        <v>0</v>
      </c>
      <c r="I1973">
        <v>3</v>
      </c>
      <c r="J1973">
        <v>0</v>
      </c>
    </row>
    <row r="1974" spans="1:10" x14ac:dyDescent="0.25">
      <c r="A1974" t="s">
        <v>90</v>
      </c>
      <c r="B1974">
        <v>7172030006000300</v>
      </c>
      <c r="C1974">
        <v>70</v>
      </c>
      <c r="D1974">
        <v>44</v>
      </c>
      <c r="E1974">
        <v>0</v>
      </c>
      <c r="F1974">
        <v>25</v>
      </c>
      <c r="G1974">
        <v>0</v>
      </c>
      <c r="H1974">
        <v>1</v>
      </c>
      <c r="I1974">
        <v>0</v>
      </c>
      <c r="J1974">
        <v>0</v>
      </c>
    </row>
    <row r="1975" spans="1:10" x14ac:dyDescent="0.25">
      <c r="A1975" t="s">
        <v>90</v>
      </c>
      <c r="B1975">
        <v>7172030006000400</v>
      </c>
      <c r="C1975">
        <v>64</v>
      </c>
      <c r="D1975">
        <v>63</v>
      </c>
      <c r="E1975">
        <v>0</v>
      </c>
      <c r="F1975">
        <v>0</v>
      </c>
      <c r="G1975">
        <v>0</v>
      </c>
      <c r="H1975">
        <v>1</v>
      </c>
      <c r="I1975">
        <v>0</v>
      </c>
      <c r="J1975">
        <v>0</v>
      </c>
    </row>
    <row r="1976" spans="1:10" x14ac:dyDescent="0.25">
      <c r="A1976" t="s">
        <v>90</v>
      </c>
      <c r="B1976">
        <v>7172030006000500</v>
      </c>
      <c r="C1976">
        <v>51</v>
      </c>
      <c r="D1976">
        <v>31</v>
      </c>
      <c r="E1976">
        <v>0</v>
      </c>
      <c r="F1976">
        <v>18</v>
      </c>
      <c r="G1976">
        <v>0</v>
      </c>
      <c r="H1976">
        <v>0</v>
      </c>
      <c r="I1976">
        <v>2</v>
      </c>
      <c r="J1976">
        <v>0</v>
      </c>
    </row>
    <row r="1977" spans="1:10" x14ac:dyDescent="0.25">
      <c r="A1977" t="s">
        <v>91</v>
      </c>
      <c r="B1977">
        <v>7172030006001100</v>
      </c>
      <c r="C1977">
        <v>108</v>
      </c>
      <c r="D1977">
        <v>23</v>
      </c>
      <c r="E1977">
        <v>17</v>
      </c>
      <c r="F1977">
        <v>67</v>
      </c>
      <c r="G1977">
        <v>1</v>
      </c>
      <c r="H1977">
        <v>0</v>
      </c>
      <c r="I1977">
        <v>0</v>
      </c>
      <c r="J1977">
        <v>0</v>
      </c>
    </row>
    <row r="1978" spans="1:10" x14ac:dyDescent="0.25">
      <c r="A1978" t="s">
        <v>91</v>
      </c>
      <c r="B1978">
        <v>7172030006001200</v>
      </c>
      <c r="C1978">
        <v>101</v>
      </c>
      <c r="D1978">
        <v>1</v>
      </c>
      <c r="E1978">
        <v>0</v>
      </c>
      <c r="F1978">
        <v>100</v>
      </c>
      <c r="G1978">
        <v>0</v>
      </c>
      <c r="H1978">
        <v>0</v>
      </c>
      <c r="I1978">
        <v>0</v>
      </c>
      <c r="J1978">
        <v>0</v>
      </c>
    </row>
    <row r="1979" spans="1:10" x14ac:dyDescent="0.25">
      <c r="A1979" t="s">
        <v>91</v>
      </c>
      <c r="B1979">
        <v>7172030006001000</v>
      </c>
      <c r="C1979">
        <v>73</v>
      </c>
      <c r="D1979">
        <v>2</v>
      </c>
      <c r="E1979">
        <v>0</v>
      </c>
      <c r="F1979">
        <v>71</v>
      </c>
      <c r="G1979">
        <v>0</v>
      </c>
      <c r="H1979">
        <v>0</v>
      </c>
      <c r="I1979">
        <v>0</v>
      </c>
      <c r="J1979">
        <v>0</v>
      </c>
    </row>
    <row r="1980" spans="1:10" x14ac:dyDescent="0.25">
      <c r="A1980" t="s">
        <v>91</v>
      </c>
      <c r="B1980">
        <v>7172030006001600</v>
      </c>
      <c r="C1980">
        <v>69</v>
      </c>
      <c r="D1980">
        <v>56</v>
      </c>
      <c r="E1980">
        <v>0</v>
      </c>
      <c r="F1980">
        <v>11</v>
      </c>
      <c r="G1980">
        <v>0</v>
      </c>
      <c r="H1980">
        <v>0</v>
      </c>
      <c r="I1980">
        <v>2</v>
      </c>
      <c r="J1980">
        <v>0</v>
      </c>
    </row>
    <row r="1981" spans="1:10" x14ac:dyDescent="0.25">
      <c r="A1981" t="s">
        <v>91</v>
      </c>
      <c r="B1981">
        <v>7172030006001300</v>
      </c>
      <c r="C1981">
        <v>57</v>
      </c>
      <c r="D1981">
        <v>14</v>
      </c>
      <c r="E1981">
        <v>1</v>
      </c>
      <c r="F1981">
        <v>42</v>
      </c>
      <c r="G1981">
        <v>0</v>
      </c>
      <c r="H1981">
        <v>0</v>
      </c>
      <c r="I1981">
        <v>0</v>
      </c>
      <c r="J1981">
        <v>0</v>
      </c>
    </row>
    <row r="1982" spans="1:10" x14ac:dyDescent="0.25">
      <c r="A1982" t="s">
        <v>91</v>
      </c>
      <c r="B1982">
        <v>7172030006001400</v>
      </c>
      <c r="C1982">
        <v>57</v>
      </c>
      <c r="D1982">
        <v>20</v>
      </c>
      <c r="E1982">
        <v>8</v>
      </c>
      <c r="F1982">
        <v>12</v>
      </c>
      <c r="G1982">
        <v>3</v>
      </c>
      <c r="H1982">
        <v>0</v>
      </c>
      <c r="I1982">
        <v>14</v>
      </c>
      <c r="J1982">
        <v>0</v>
      </c>
    </row>
    <row r="1983" spans="1:10" x14ac:dyDescent="0.25">
      <c r="A1983" t="s">
        <v>91</v>
      </c>
      <c r="B1983">
        <v>7172030006001700</v>
      </c>
      <c r="C1983">
        <v>57</v>
      </c>
      <c r="D1983">
        <v>48</v>
      </c>
      <c r="E1983">
        <v>0</v>
      </c>
      <c r="F1983">
        <v>7</v>
      </c>
      <c r="G1983">
        <v>0</v>
      </c>
      <c r="H1983">
        <v>0</v>
      </c>
      <c r="I1983">
        <v>2</v>
      </c>
      <c r="J1983">
        <v>0</v>
      </c>
    </row>
    <row r="1984" spans="1:10" x14ac:dyDescent="0.25">
      <c r="A1984" t="s">
        <v>91</v>
      </c>
      <c r="B1984">
        <v>7172030006001800</v>
      </c>
      <c r="C1984">
        <v>52</v>
      </c>
      <c r="D1984">
        <v>46</v>
      </c>
      <c r="E1984">
        <v>0</v>
      </c>
      <c r="F1984">
        <v>6</v>
      </c>
      <c r="G1984">
        <v>0</v>
      </c>
      <c r="H1984">
        <v>0</v>
      </c>
      <c r="I1984">
        <v>0</v>
      </c>
      <c r="J1984">
        <v>0</v>
      </c>
    </row>
    <row r="1985" spans="1:10" x14ac:dyDescent="0.25">
      <c r="A1985" t="s">
        <v>91</v>
      </c>
      <c r="B1985">
        <v>7172030006001500</v>
      </c>
      <c r="C1985">
        <v>49</v>
      </c>
      <c r="D1985">
        <v>41</v>
      </c>
      <c r="E1985">
        <v>1</v>
      </c>
      <c r="F1985">
        <v>6</v>
      </c>
      <c r="G1985">
        <v>0</v>
      </c>
      <c r="H1985">
        <v>0</v>
      </c>
      <c r="I1985">
        <v>1</v>
      </c>
      <c r="J1985">
        <v>0</v>
      </c>
    </row>
    <row r="1986" spans="1:10" x14ac:dyDescent="0.25">
      <c r="A1986" t="s">
        <v>91</v>
      </c>
      <c r="B1986">
        <v>7172030006001900</v>
      </c>
      <c r="C1986">
        <v>47</v>
      </c>
      <c r="D1986">
        <v>41</v>
      </c>
      <c r="E1986">
        <v>1</v>
      </c>
      <c r="F1986">
        <v>4</v>
      </c>
      <c r="G1986">
        <v>0</v>
      </c>
      <c r="H1986">
        <v>0</v>
      </c>
      <c r="I1986">
        <v>1</v>
      </c>
      <c r="J1986">
        <v>0</v>
      </c>
    </row>
    <row r="1987" spans="1:10" x14ac:dyDescent="0.25">
      <c r="A1987" t="s">
        <v>233</v>
      </c>
      <c r="B1987">
        <v>7172030007000400</v>
      </c>
      <c r="C1987">
        <v>159</v>
      </c>
      <c r="D1987">
        <v>0</v>
      </c>
      <c r="E1987">
        <v>0</v>
      </c>
      <c r="F1987">
        <v>159</v>
      </c>
      <c r="G1987">
        <v>0</v>
      </c>
      <c r="H1987">
        <v>0</v>
      </c>
      <c r="I1987">
        <v>0</v>
      </c>
      <c r="J1987">
        <v>0</v>
      </c>
    </row>
    <row r="1988" spans="1:10" x14ac:dyDescent="0.25">
      <c r="A1988" t="s">
        <v>233</v>
      </c>
      <c r="B1988">
        <v>7172030007001000</v>
      </c>
      <c r="C1988">
        <v>155</v>
      </c>
      <c r="D1988">
        <v>152</v>
      </c>
      <c r="E1988">
        <v>0</v>
      </c>
      <c r="F1988">
        <v>3</v>
      </c>
      <c r="G1988">
        <v>0</v>
      </c>
      <c r="H1988">
        <v>0</v>
      </c>
      <c r="I1988">
        <v>0</v>
      </c>
      <c r="J1988">
        <v>0</v>
      </c>
    </row>
    <row r="1989" spans="1:10" x14ac:dyDescent="0.25">
      <c r="A1989" t="s">
        <v>233</v>
      </c>
      <c r="B1989">
        <v>7172030007000800</v>
      </c>
      <c r="C1989">
        <v>93</v>
      </c>
      <c r="D1989">
        <v>50</v>
      </c>
      <c r="E1989">
        <v>23</v>
      </c>
      <c r="F1989">
        <v>8</v>
      </c>
      <c r="G1989">
        <v>0</v>
      </c>
      <c r="H1989">
        <v>0</v>
      </c>
      <c r="I1989">
        <v>12</v>
      </c>
      <c r="J1989">
        <v>0</v>
      </c>
    </row>
    <row r="1990" spans="1:10" x14ac:dyDescent="0.25">
      <c r="A1990" t="s">
        <v>233</v>
      </c>
      <c r="B1990">
        <v>7172030007000900</v>
      </c>
      <c r="C1990">
        <v>90</v>
      </c>
      <c r="D1990">
        <v>81</v>
      </c>
      <c r="E1990">
        <v>5</v>
      </c>
      <c r="F1990">
        <v>1</v>
      </c>
      <c r="G1990">
        <v>0</v>
      </c>
      <c r="H1990">
        <v>0</v>
      </c>
      <c r="I1990">
        <v>3</v>
      </c>
      <c r="J1990">
        <v>0</v>
      </c>
    </row>
    <row r="1991" spans="1:10" x14ac:dyDescent="0.25">
      <c r="A1991" t="s">
        <v>233</v>
      </c>
      <c r="B1991">
        <v>7172030007000500</v>
      </c>
      <c r="C1991">
        <v>79</v>
      </c>
      <c r="D1991">
        <v>0</v>
      </c>
      <c r="E1991">
        <v>0</v>
      </c>
      <c r="F1991">
        <v>79</v>
      </c>
      <c r="G1991">
        <v>0</v>
      </c>
      <c r="H1991">
        <v>0</v>
      </c>
      <c r="I1991">
        <v>0</v>
      </c>
      <c r="J1991">
        <v>0</v>
      </c>
    </row>
    <row r="1992" spans="1:10" x14ac:dyDescent="0.25">
      <c r="A1992" t="s">
        <v>233</v>
      </c>
      <c r="B1992">
        <v>7172030007000700</v>
      </c>
      <c r="C1992">
        <v>64</v>
      </c>
      <c r="D1992">
        <v>20</v>
      </c>
      <c r="E1992">
        <v>9</v>
      </c>
      <c r="F1992">
        <v>25</v>
      </c>
      <c r="G1992">
        <v>0</v>
      </c>
      <c r="H1992">
        <v>0</v>
      </c>
      <c r="I1992">
        <v>10</v>
      </c>
      <c r="J1992">
        <v>0</v>
      </c>
    </row>
    <row r="1993" spans="1:10" x14ac:dyDescent="0.25">
      <c r="A1993" t="s">
        <v>234</v>
      </c>
      <c r="B1993">
        <v>7172030008000902</v>
      </c>
      <c r="C1993">
        <v>148</v>
      </c>
      <c r="D1993">
        <v>142</v>
      </c>
      <c r="E1993">
        <v>0</v>
      </c>
      <c r="F1993">
        <v>4</v>
      </c>
      <c r="G1993">
        <v>0</v>
      </c>
      <c r="H1993">
        <v>1</v>
      </c>
      <c r="I1993">
        <v>1</v>
      </c>
      <c r="J1993">
        <v>0</v>
      </c>
    </row>
    <row r="1994" spans="1:10" x14ac:dyDescent="0.25">
      <c r="A1994" t="s">
        <v>234</v>
      </c>
      <c r="B1994">
        <v>7172030008000100</v>
      </c>
      <c r="C1994">
        <v>66</v>
      </c>
      <c r="D1994">
        <v>3</v>
      </c>
      <c r="E1994">
        <v>0</v>
      </c>
      <c r="F1994">
        <v>63</v>
      </c>
      <c r="G1994">
        <v>0</v>
      </c>
      <c r="H1994">
        <v>0</v>
      </c>
      <c r="I1994">
        <v>0</v>
      </c>
      <c r="J1994">
        <v>0</v>
      </c>
    </row>
    <row r="1995" spans="1:10" x14ac:dyDescent="0.25">
      <c r="A1995" t="s">
        <v>234</v>
      </c>
      <c r="B1995">
        <v>7172030008000500</v>
      </c>
      <c r="C1995">
        <v>63</v>
      </c>
      <c r="D1995">
        <v>26</v>
      </c>
      <c r="E1995">
        <v>0</v>
      </c>
      <c r="F1995">
        <v>28</v>
      </c>
      <c r="G1995">
        <v>1</v>
      </c>
      <c r="H1995">
        <v>0</v>
      </c>
      <c r="I1995">
        <v>8</v>
      </c>
      <c r="J1995">
        <v>0</v>
      </c>
    </row>
    <row r="1996" spans="1:10" x14ac:dyDescent="0.25">
      <c r="A1996" t="s">
        <v>234</v>
      </c>
      <c r="B1996">
        <v>7172030008000400</v>
      </c>
      <c r="C1996">
        <v>60</v>
      </c>
      <c r="D1996">
        <v>17</v>
      </c>
      <c r="E1996">
        <v>0</v>
      </c>
      <c r="F1996">
        <v>43</v>
      </c>
      <c r="G1996">
        <v>0</v>
      </c>
      <c r="H1996">
        <v>0</v>
      </c>
      <c r="I1996">
        <v>0</v>
      </c>
      <c r="J1996">
        <v>0</v>
      </c>
    </row>
    <row r="1997" spans="1:10" x14ac:dyDescent="0.25">
      <c r="A1997" t="s">
        <v>234</v>
      </c>
      <c r="B1997">
        <v>7172030008000200</v>
      </c>
      <c r="C1997">
        <v>57</v>
      </c>
      <c r="D1997">
        <v>1</v>
      </c>
      <c r="E1997">
        <v>0</v>
      </c>
      <c r="F1997">
        <v>56</v>
      </c>
      <c r="G1997">
        <v>0</v>
      </c>
      <c r="H1997">
        <v>0</v>
      </c>
      <c r="I1997">
        <v>0</v>
      </c>
      <c r="J1997">
        <v>0</v>
      </c>
    </row>
    <row r="1998" spans="1:10" x14ac:dyDescent="0.25">
      <c r="A1998" t="s">
        <v>234</v>
      </c>
      <c r="B1998">
        <v>7172030008000600</v>
      </c>
      <c r="C1998">
        <v>57</v>
      </c>
      <c r="D1998">
        <v>53</v>
      </c>
      <c r="E1998">
        <v>0</v>
      </c>
      <c r="F1998">
        <v>0</v>
      </c>
      <c r="G1998">
        <v>4</v>
      </c>
      <c r="H1998">
        <v>0</v>
      </c>
      <c r="I1998">
        <v>0</v>
      </c>
      <c r="J1998">
        <v>0</v>
      </c>
    </row>
    <row r="1999" spans="1:10" x14ac:dyDescent="0.25">
      <c r="A1999" t="s">
        <v>234</v>
      </c>
      <c r="B1999">
        <v>7172030008000901</v>
      </c>
      <c r="C1999">
        <v>54</v>
      </c>
      <c r="D1999">
        <v>48</v>
      </c>
      <c r="E1999">
        <v>0</v>
      </c>
      <c r="F1999">
        <v>3</v>
      </c>
      <c r="G1999">
        <v>0</v>
      </c>
      <c r="H1999">
        <v>0</v>
      </c>
      <c r="I1999">
        <v>3</v>
      </c>
      <c r="J1999">
        <v>0</v>
      </c>
    </row>
    <row r="2000" spans="1:10" x14ac:dyDescent="0.25">
      <c r="A2000" t="s">
        <v>234</v>
      </c>
      <c r="B2000">
        <v>7172030008000700</v>
      </c>
      <c r="C2000">
        <v>51</v>
      </c>
      <c r="D2000">
        <v>45</v>
      </c>
      <c r="E2000">
        <v>0</v>
      </c>
      <c r="F2000">
        <v>4</v>
      </c>
      <c r="G2000">
        <v>1</v>
      </c>
      <c r="H2000">
        <v>0</v>
      </c>
      <c r="I2000">
        <v>1</v>
      </c>
      <c r="J2000">
        <v>0</v>
      </c>
    </row>
    <row r="2001" spans="1:10" x14ac:dyDescent="0.25">
      <c r="A2001" t="s">
        <v>234</v>
      </c>
      <c r="B2001">
        <v>7172030008000800</v>
      </c>
      <c r="C2001">
        <v>43</v>
      </c>
      <c r="D2001">
        <v>9</v>
      </c>
      <c r="E2001">
        <v>0</v>
      </c>
      <c r="F2001">
        <v>17</v>
      </c>
      <c r="G2001">
        <v>5</v>
      </c>
      <c r="H2001">
        <v>0</v>
      </c>
      <c r="I2001">
        <v>12</v>
      </c>
      <c r="J2001">
        <v>0</v>
      </c>
    </row>
    <row r="2002" spans="1:10" x14ac:dyDescent="0.25">
      <c r="A2002" t="s">
        <v>234</v>
      </c>
      <c r="B2002">
        <v>7172030008000300</v>
      </c>
      <c r="C2002">
        <v>35</v>
      </c>
      <c r="D2002">
        <v>8</v>
      </c>
      <c r="E2002">
        <v>2</v>
      </c>
      <c r="F2002">
        <v>25</v>
      </c>
      <c r="G2002">
        <v>0</v>
      </c>
      <c r="H2002">
        <v>0</v>
      </c>
      <c r="I2002">
        <v>0</v>
      </c>
      <c r="J2002">
        <v>0</v>
      </c>
    </row>
    <row r="2003" spans="1:10" x14ac:dyDescent="0.25">
      <c r="A2003" t="s">
        <v>234</v>
      </c>
      <c r="B2003">
        <v>7172030008200100</v>
      </c>
      <c r="C2003">
        <v>2</v>
      </c>
      <c r="D2003">
        <v>0</v>
      </c>
      <c r="E2003">
        <v>0</v>
      </c>
      <c r="F2003">
        <v>1</v>
      </c>
      <c r="G2003">
        <v>0</v>
      </c>
      <c r="H2003">
        <v>0</v>
      </c>
      <c r="I2003">
        <v>1</v>
      </c>
      <c r="J2003">
        <v>0</v>
      </c>
    </row>
    <row r="2004" spans="1:10" x14ac:dyDescent="0.25">
      <c r="A2004" t="s">
        <v>92</v>
      </c>
      <c r="B2004">
        <v>7172030007000200</v>
      </c>
      <c r="C2004">
        <v>143</v>
      </c>
      <c r="D2004">
        <v>89</v>
      </c>
      <c r="E2004">
        <v>8</v>
      </c>
      <c r="F2004">
        <v>46</v>
      </c>
      <c r="G2004">
        <v>0</v>
      </c>
      <c r="H2004">
        <v>0</v>
      </c>
      <c r="I2004">
        <v>0</v>
      </c>
      <c r="J2004">
        <v>0</v>
      </c>
    </row>
    <row r="2005" spans="1:10" x14ac:dyDescent="0.25">
      <c r="A2005" t="s">
        <v>92</v>
      </c>
      <c r="B2005">
        <v>7172030012000700</v>
      </c>
      <c r="C2005">
        <v>119</v>
      </c>
      <c r="D2005">
        <v>114</v>
      </c>
      <c r="E2005">
        <v>3</v>
      </c>
      <c r="F2005">
        <v>1</v>
      </c>
      <c r="G2005">
        <v>0</v>
      </c>
      <c r="H2005">
        <v>0</v>
      </c>
      <c r="I2005">
        <v>1</v>
      </c>
      <c r="J2005">
        <v>0</v>
      </c>
    </row>
    <row r="2006" spans="1:10" x14ac:dyDescent="0.25">
      <c r="A2006" t="s">
        <v>92</v>
      </c>
      <c r="B2006">
        <v>7172030012000500</v>
      </c>
      <c r="C2006">
        <v>107</v>
      </c>
      <c r="D2006">
        <v>68</v>
      </c>
      <c r="E2006">
        <v>12</v>
      </c>
      <c r="F2006">
        <v>8</v>
      </c>
      <c r="G2006">
        <v>0</v>
      </c>
      <c r="H2006">
        <v>0</v>
      </c>
      <c r="I2006">
        <v>19</v>
      </c>
      <c r="J2006">
        <v>0</v>
      </c>
    </row>
    <row r="2007" spans="1:10" x14ac:dyDescent="0.25">
      <c r="A2007" t="s">
        <v>92</v>
      </c>
      <c r="B2007">
        <v>7172030012000200</v>
      </c>
      <c r="C2007">
        <v>92</v>
      </c>
      <c r="D2007">
        <v>0</v>
      </c>
      <c r="E2007">
        <v>3</v>
      </c>
      <c r="F2007">
        <v>87</v>
      </c>
      <c r="G2007">
        <v>0</v>
      </c>
      <c r="H2007">
        <v>0</v>
      </c>
      <c r="I2007">
        <v>2</v>
      </c>
      <c r="J2007">
        <v>0</v>
      </c>
    </row>
    <row r="2008" spans="1:10" x14ac:dyDescent="0.25">
      <c r="A2008" t="s">
        <v>92</v>
      </c>
      <c r="B2008">
        <v>7172030007000100</v>
      </c>
      <c r="C2008">
        <v>61</v>
      </c>
      <c r="D2008">
        <v>61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</row>
    <row r="2009" spans="1:10" x14ac:dyDescent="0.25">
      <c r="A2009" t="s">
        <v>92</v>
      </c>
      <c r="B2009">
        <v>7172030007000300</v>
      </c>
      <c r="C2009">
        <v>44</v>
      </c>
      <c r="D2009">
        <v>0</v>
      </c>
      <c r="E2009">
        <v>0</v>
      </c>
      <c r="F2009">
        <v>44</v>
      </c>
      <c r="G2009">
        <v>0</v>
      </c>
      <c r="H2009">
        <v>0</v>
      </c>
      <c r="I2009">
        <v>0</v>
      </c>
      <c r="J2009">
        <v>0</v>
      </c>
    </row>
    <row r="2010" spans="1:10" x14ac:dyDescent="0.25">
      <c r="A2010" t="s">
        <v>92</v>
      </c>
      <c r="B2010">
        <v>7172030012000400</v>
      </c>
      <c r="C2010">
        <v>44</v>
      </c>
      <c r="D2010">
        <v>5</v>
      </c>
      <c r="E2010">
        <v>2</v>
      </c>
      <c r="F2010">
        <v>18</v>
      </c>
      <c r="G2010">
        <v>0</v>
      </c>
      <c r="H2010">
        <v>0</v>
      </c>
      <c r="I2010">
        <v>19</v>
      </c>
      <c r="J2010">
        <v>0</v>
      </c>
    </row>
    <row r="2011" spans="1:10" x14ac:dyDescent="0.25">
      <c r="A2011" t="s">
        <v>92</v>
      </c>
      <c r="B2011">
        <v>7172030007000600</v>
      </c>
      <c r="C2011">
        <v>34</v>
      </c>
      <c r="D2011">
        <v>0</v>
      </c>
      <c r="E2011">
        <v>0</v>
      </c>
      <c r="F2011">
        <v>34</v>
      </c>
      <c r="G2011">
        <v>0</v>
      </c>
      <c r="H2011">
        <v>0</v>
      </c>
      <c r="I2011">
        <v>0</v>
      </c>
      <c r="J2011">
        <v>0</v>
      </c>
    </row>
    <row r="2012" spans="1:10" x14ac:dyDescent="0.25">
      <c r="A2012" t="s">
        <v>99</v>
      </c>
      <c r="B2012">
        <v>7172030013000100</v>
      </c>
      <c r="C2012">
        <v>176</v>
      </c>
      <c r="D2012">
        <v>27</v>
      </c>
      <c r="E2012">
        <v>9</v>
      </c>
      <c r="F2012">
        <v>124</v>
      </c>
      <c r="G2012">
        <v>0</v>
      </c>
      <c r="H2012">
        <v>0</v>
      </c>
      <c r="I2012">
        <v>16</v>
      </c>
      <c r="J2012">
        <v>0</v>
      </c>
    </row>
    <row r="2013" spans="1:10" x14ac:dyDescent="0.25">
      <c r="A2013" t="s">
        <v>99</v>
      </c>
      <c r="B2013">
        <v>7172030012001200</v>
      </c>
      <c r="C2013">
        <v>85</v>
      </c>
      <c r="D2013">
        <v>40</v>
      </c>
      <c r="E2013">
        <v>11</v>
      </c>
      <c r="F2013">
        <v>20</v>
      </c>
      <c r="G2013">
        <v>3</v>
      </c>
      <c r="H2013">
        <v>1</v>
      </c>
      <c r="I2013">
        <v>10</v>
      </c>
      <c r="J2013">
        <v>0</v>
      </c>
    </row>
    <row r="2014" spans="1:10" x14ac:dyDescent="0.25">
      <c r="A2014" t="s">
        <v>99</v>
      </c>
      <c r="B2014">
        <v>7172030012001900</v>
      </c>
      <c r="C2014">
        <v>80</v>
      </c>
      <c r="D2014">
        <v>35</v>
      </c>
      <c r="E2014">
        <v>14</v>
      </c>
      <c r="F2014">
        <v>24</v>
      </c>
      <c r="G2014">
        <v>1</v>
      </c>
      <c r="H2014">
        <v>0</v>
      </c>
      <c r="I2014">
        <v>6</v>
      </c>
      <c r="J2014">
        <v>0</v>
      </c>
    </row>
    <row r="2015" spans="1:10" x14ac:dyDescent="0.25">
      <c r="A2015" t="s">
        <v>99</v>
      </c>
      <c r="B2015">
        <v>7172030012001700</v>
      </c>
      <c r="C2015">
        <v>79</v>
      </c>
      <c r="D2015">
        <v>62</v>
      </c>
      <c r="E2015">
        <v>3</v>
      </c>
      <c r="F2015">
        <v>5</v>
      </c>
      <c r="G2015">
        <v>1</v>
      </c>
      <c r="H2015">
        <v>0</v>
      </c>
      <c r="I2015">
        <v>8</v>
      </c>
      <c r="J2015">
        <v>0</v>
      </c>
    </row>
    <row r="2016" spans="1:10" x14ac:dyDescent="0.25">
      <c r="A2016" t="s">
        <v>99</v>
      </c>
      <c r="B2016">
        <v>7172030012001800</v>
      </c>
      <c r="C2016">
        <v>74</v>
      </c>
      <c r="D2016">
        <v>38</v>
      </c>
      <c r="E2016">
        <v>1</v>
      </c>
      <c r="F2016">
        <v>29</v>
      </c>
      <c r="G2016">
        <v>0</v>
      </c>
      <c r="H2016">
        <v>0</v>
      </c>
      <c r="I2016">
        <v>6</v>
      </c>
      <c r="J2016">
        <v>0</v>
      </c>
    </row>
    <row r="2017" spans="1:10" x14ac:dyDescent="0.25">
      <c r="A2017" t="s">
        <v>99</v>
      </c>
      <c r="B2017">
        <v>7172030012001600</v>
      </c>
      <c r="C2017">
        <v>60</v>
      </c>
      <c r="D2017">
        <v>36</v>
      </c>
      <c r="E2017">
        <v>0</v>
      </c>
      <c r="F2017">
        <v>24</v>
      </c>
      <c r="G2017">
        <v>0</v>
      </c>
      <c r="H2017">
        <v>0</v>
      </c>
      <c r="I2017">
        <v>0</v>
      </c>
      <c r="J2017">
        <v>0</v>
      </c>
    </row>
    <row r="2018" spans="1:10" x14ac:dyDescent="0.25">
      <c r="A2018" t="s">
        <v>99</v>
      </c>
      <c r="B2018">
        <v>7172030012002000</v>
      </c>
      <c r="C2018">
        <v>52</v>
      </c>
      <c r="D2018">
        <v>22</v>
      </c>
      <c r="E2018">
        <v>5</v>
      </c>
      <c r="F2018">
        <v>22</v>
      </c>
      <c r="G2018">
        <v>0</v>
      </c>
      <c r="H2018">
        <v>0</v>
      </c>
      <c r="I2018">
        <v>3</v>
      </c>
      <c r="J2018">
        <v>0</v>
      </c>
    </row>
    <row r="2019" spans="1:10" x14ac:dyDescent="0.25">
      <c r="A2019" t="s">
        <v>99</v>
      </c>
      <c r="B2019">
        <v>7172030013000300</v>
      </c>
      <c r="C2019">
        <v>52</v>
      </c>
      <c r="D2019">
        <v>22</v>
      </c>
      <c r="E2019">
        <v>4</v>
      </c>
      <c r="F2019">
        <v>15</v>
      </c>
      <c r="G2019">
        <v>0</v>
      </c>
      <c r="H2019">
        <v>0</v>
      </c>
      <c r="I2019">
        <v>11</v>
      </c>
      <c r="J2019">
        <v>0</v>
      </c>
    </row>
    <row r="2020" spans="1:10" x14ac:dyDescent="0.25">
      <c r="A2020" t="s">
        <v>118</v>
      </c>
      <c r="B2020">
        <v>7172031004001700</v>
      </c>
      <c r="C2020">
        <v>141</v>
      </c>
      <c r="D2020">
        <v>7</v>
      </c>
      <c r="E2020">
        <v>0</v>
      </c>
      <c r="F2020">
        <v>134</v>
      </c>
      <c r="G2020">
        <v>0</v>
      </c>
      <c r="H2020">
        <v>0</v>
      </c>
      <c r="I2020">
        <v>0</v>
      </c>
      <c r="J2020">
        <v>0</v>
      </c>
    </row>
    <row r="2021" spans="1:10" x14ac:dyDescent="0.25">
      <c r="A2021" t="s">
        <v>118</v>
      </c>
      <c r="B2021">
        <v>7172031004001400</v>
      </c>
      <c r="C2021">
        <v>129</v>
      </c>
      <c r="D2021">
        <v>71</v>
      </c>
      <c r="E2021">
        <v>4</v>
      </c>
      <c r="F2021">
        <v>54</v>
      </c>
      <c r="G2021">
        <v>0</v>
      </c>
      <c r="H2021">
        <v>0</v>
      </c>
      <c r="I2021">
        <v>0</v>
      </c>
      <c r="J2021">
        <v>0</v>
      </c>
    </row>
    <row r="2022" spans="1:10" x14ac:dyDescent="0.25">
      <c r="A2022" t="s">
        <v>118</v>
      </c>
      <c r="B2022">
        <v>7172031004001800</v>
      </c>
      <c r="C2022">
        <v>91</v>
      </c>
      <c r="D2022">
        <v>30</v>
      </c>
      <c r="E2022">
        <v>0</v>
      </c>
      <c r="F2022">
        <v>61</v>
      </c>
      <c r="G2022">
        <v>0</v>
      </c>
      <c r="H2022">
        <v>0</v>
      </c>
      <c r="I2022">
        <v>0</v>
      </c>
      <c r="J2022">
        <v>0</v>
      </c>
    </row>
    <row r="2023" spans="1:10" x14ac:dyDescent="0.25">
      <c r="A2023" t="s">
        <v>118</v>
      </c>
      <c r="B2023">
        <v>7172031004001300</v>
      </c>
      <c r="C2023">
        <v>72</v>
      </c>
      <c r="D2023">
        <v>67</v>
      </c>
      <c r="E2023">
        <v>5</v>
      </c>
      <c r="F2023">
        <v>0</v>
      </c>
      <c r="G2023">
        <v>0</v>
      </c>
      <c r="H2023">
        <v>0</v>
      </c>
      <c r="I2023">
        <v>0</v>
      </c>
      <c r="J2023">
        <v>0</v>
      </c>
    </row>
    <row r="2024" spans="1:10" x14ac:dyDescent="0.25">
      <c r="A2024" t="s">
        <v>118</v>
      </c>
      <c r="B2024">
        <v>7172031004001200</v>
      </c>
      <c r="C2024">
        <v>58</v>
      </c>
      <c r="D2024">
        <v>58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</row>
    <row r="2025" spans="1:10" x14ac:dyDescent="0.25">
      <c r="A2025" t="s">
        <v>118</v>
      </c>
      <c r="B2025">
        <v>7172031004001500</v>
      </c>
      <c r="C2025">
        <v>51</v>
      </c>
      <c r="D2025">
        <v>34</v>
      </c>
      <c r="E2025">
        <v>14</v>
      </c>
      <c r="F2025">
        <v>0</v>
      </c>
      <c r="G2025">
        <v>3</v>
      </c>
      <c r="H2025">
        <v>0</v>
      </c>
      <c r="I2025">
        <v>0</v>
      </c>
      <c r="J2025">
        <v>0</v>
      </c>
    </row>
    <row r="2026" spans="1:10" x14ac:dyDescent="0.25">
      <c r="A2026" t="s">
        <v>118</v>
      </c>
      <c r="B2026">
        <v>7172031004001600</v>
      </c>
      <c r="C2026">
        <v>48</v>
      </c>
      <c r="D2026">
        <v>26</v>
      </c>
      <c r="E2026">
        <v>0</v>
      </c>
      <c r="F2026">
        <v>21</v>
      </c>
      <c r="G2026">
        <v>1</v>
      </c>
      <c r="H2026">
        <v>0</v>
      </c>
      <c r="I2026">
        <v>0</v>
      </c>
      <c r="J2026">
        <v>0</v>
      </c>
    </row>
    <row r="2027" spans="1:10" x14ac:dyDescent="0.25">
      <c r="A2027" t="s">
        <v>118</v>
      </c>
      <c r="B2027">
        <v>7172031004100200</v>
      </c>
      <c r="C2027">
        <v>2</v>
      </c>
      <c r="D2027">
        <v>0</v>
      </c>
      <c r="E2027">
        <v>0</v>
      </c>
      <c r="F2027">
        <v>2</v>
      </c>
      <c r="G2027">
        <v>0</v>
      </c>
      <c r="H2027">
        <v>0</v>
      </c>
      <c r="I2027">
        <v>0</v>
      </c>
      <c r="J2027">
        <v>0</v>
      </c>
    </row>
    <row r="2028" spans="1:10" x14ac:dyDescent="0.25">
      <c r="A2028" t="s">
        <v>978</v>
      </c>
      <c r="B2028">
        <v>7172031005000400</v>
      </c>
      <c r="C2028">
        <v>85</v>
      </c>
      <c r="D2028">
        <v>71</v>
      </c>
      <c r="E2028">
        <v>1</v>
      </c>
      <c r="F2028">
        <v>13</v>
      </c>
      <c r="G2028">
        <v>0</v>
      </c>
      <c r="H2028">
        <v>0</v>
      </c>
      <c r="I2028">
        <v>0</v>
      </c>
      <c r="J2028">
        <v>0</v>
      </c>
    </row>
    <row r="2029" spans="1:10" x14ac:dyDescent="0.25">
      <c r="A2029" t="s">
        <v>978</v>
      </c>
      <c r="B2029">
        <v>7172031005000500</v>
      </c>
      <c r="C2029">
        <v>84</v>
      </c>
      <c r="D2029">
        <v>48</v>
      </c>
      <c r="E2029">
        <v>0</v>
      </c>
      <c r="F2029">
        <v>36</v>
      </c>
      <c r="G2029">
        <v>0</v>
      </c>
      <c r="H2029">
        <v>0</v>
      </c>
      <c r="I2029">
        <v>0</v>
      </c>
      <c r="J2029">
        <v>0</v>
      </c>
    </row>
    <row r="2030" spans="1:10" x14ac:dyDescent="0.25">
      <c r="A2030" t="s">
        <v>978</v>
      </c>
      <c r="B2030">
        <v>7172031005001200</v>
      </c>
      <c r="C2030">
        <v>73</v>
      </c>
      <c r="D2030">
        <v>16</v>
      </c>
      <c r="E2030">
        <v>0</v>
      </c>
      <c r="F2030">
        <v>57</v>
      </c>
      <c r="G2030">
        <v>0</v>
      </c>
      <c r="H2030">
        <v>0</v>
      </c>
      <c r="I2030">
        <v>0</v>
      </c>
      <c r="J2030">
        <v>0</v>
      </c>
    </row>
    <row r="2031" spans="1:10" x14ac:dyDescent="0.25">
      <c r="A2031" t="s">
        <v>978</v>
      </c>
      <c r="B2031">
        <v>7172031005000900</v>
      </c>
      <c r="C2031">
        <v>60</v>
      </c>
      <c r="D2031">
        <v>25</v>
      </c>
      <c r="E2031">
        <v>12</v>
      </c>
      <c r="F2031">
        <v>22</v>
      </c>
      <c r="G2031">
        <v>1</v>
      </c>
      <c r="H2031">
        <v>0</v>
      </c>
      <c r="I2031">
        <v>0</v>
      </c>
      <c r="J2031">
        <v>0</v>
      </c>
    </row>
    <row r="2032" spans="1:10" x14ac:dyDescent="0.25">
      <c r="A2032" t="s">
        <v>978</v>
      </c>
      <c r="B2032">
        <v>7172031005001700</v>
      </c>
      <c r="C2032">
        <v>58</v>
      </c>
      <c r="D2032">
        <v>56</v>
      </c>
      <c r="E2032">
        <v>2</v>
      </c>
      <c r="F2032">
        <v>0</v>
      </c>
      <c r="G2032">
        <v>0</v>
      </c>
      <c r="H2032">
        <v>0</v>
      </c>
      <c r="I2032">
        <v>0</v>
      </c>
      <c r="J2032">
        <v>0</v>
      </c>
    </row>
    <row r="2033" spans="1:10" x14ac:dyDescent="0.25">
      <c r="A2033" t="s">
        <v>978</v>
      </c>
      <c r="B2033">
        <v>7172031005000300</v>
      </c>
      <c r="C2033">
        <v>53</v>
      </c>
      <c r="D2033">
        <v>45</v>
      </c>
      <c r="E2033">
        <v>5</v>
      </c>
      <c r="F2033">
        <v>3</v>
      </c>
      <c r="G2033">
        <v>0</v>
      </c>
      <c r="H2033">
        <v>0</v>
      </c>
      <c r="I2033">
        <v>0</v>
      </c>
      <c r="J2033">
        <v>0</v>
      </c>
    </row>
    <row r="2034" spans="1:10" x14ac:dyDescent="0.25">
      <c r="A2034" t="s">
        <v>978</v>
      </c>
      <c r="B2034">
        <v>7172031005000700</v>
      </c>
      <c r="C2034">
        <v>50</v>
      </c>
      <c r="D2034">
        <v>9</v>
      </c>
      <c r="E2034">
        <v>4</v>
      </c>
      <c r="F2034">
        <v>37</v>
      </c>
      <c r="G2034">
        <v>0</v>
      </c>
      <c r="H2034">
        <v>0</v>
      </c>
      <c r="I2034">
        <v>0</v>
      </c>
      <c r="J2034">
        <v>0</v>
      </c>
    </row>
    <row r="2035" spans="1:10" x14ac:dyDescent="0.25">
      <c r="A2035" t="s">
        <v>978</v>
      </c>
      <c r="B2035">
        <v>7172031005000200</v>
      </c>
      <c r="C2035">
        <v>48</v>
      </c>
      <c r="D2035">
        <v>36</v>
      </c>
      <c r="E2035">
        <v>0</v>
      </c>
      <c r="F2035">
        <v>12</v>
      </c>
      <c r="G2035">
        <v>0</v>
      </c>
      <c r="H2035">
        <v>0</v>
      </c>
      <c r="I2035">
        <v>0</v>
      </c>
      <c r="J2035">
        <v>0</v>
      </c>
    </row>
    <row r="2036" spans="1:10" x14ac:dyDescent="0.25">
      <c r="A2036" t="s">
        <v>978</v>
      </c>
      <c r="B2036">
        <v>7172031005000600</v>
      </c>
      <c r="C2036">
        <v>47</v>
      </c>
      <c r="D2036">
        <v>27</v>
      </c>
      <c r="E2036">
        <v>1</v>
      </c>
      <c r="F2036">
        <v>19</v>
      </c>
      <c r="G2036">
        <v>0</v>
      </c>
      <c r="H2036">
        <v>0</v>
      </c>
      <c r="I2036">
        <v>0</v>
      </c>
      <c r="J2036">
        <v>0</v>
      </c>
    </row>
    <row r="2037" spans="1:10" x14ac:dyDescent="0.25">
      <c r="A2037" t="s">
        <v>978</v>
      </c>
      <c r="B2037">
        <v>7172031005001000</v>
      </c>
      <c r="C2037">
        <v>41</v>
      </c>
      <c r="D2037">
        <v>8</v>
      </c>
      <c r="E2037">
        <v>0</v>
      </c>
      <c r="F2037">
        <v>33</v>
      </c>
      <c r="G2037">
        <v>0</v>
      </c>
      <c r="H2037">
        <v>0</v>
      </c>
      <c r="I2037">
        <v>0</v>
      </c>
      <c r="J2037">
        <v>0</v>
      </c>
    </row>
    <row r="2038" spans="1:10" x14ac:dyDescent="0.25">
      <c r="A2038" t="s">
        <v>978</v>
      </c>
      <c r="B2038">
        <v>7172031005000100</v>
      </c>
      <c r="C2038">
        <v>32</v>
      </c>
      <c r="D2038">
        <v>29</v>
      </c>
      <c r="E2038">
        <v>1</v>
      </c>
      <c r="F2038">
        <v>2</v>
      </c>
      <c r="G2038">
        <v>0</v>
      </c>
      <c r="H2038">
        <v>0</v>
      </c>
      <c r="I2038">
        <v>0</v>
      </c>
      <c r="J2038">
        <v>0</v>
      </c>
    </row>
    <row r="2039" spans="1:10" x14ac:dyDescent="0.25">
      <c r="A2039" t="s">
        <v>978</v>
      </c>
      <c r="B2039">
        <v>7172031005001100</v>
      </c>
      <c r="C2039">
        <v>31</v>
      </c>
      <c r="D2039">
        <v>9</v>
      </c>
      <c r="E2039">
        <v>5</v>
      </c>
      <c r="F2039">
        <v>17</v>
      </c>
      <c r="G2039">
        <v>0</v>
      </c>
      <c r="H2039">
        <v>0</v>
      </c>
      <c r="I2039">
        <v>0</v>
      </c>
      <c r="J2039">
        <v>0</v>
      </c>
    </row>
    <row r="2040" spans="1:10" x14ac:dyDescent="0.25">
      <c r="A2040" t="s">
        <v>980</v>
      </c>
      <c r="B2040">
        <v>7172030017001100</v>
      </c>
      <c r="C2040">
        <v>38</v>
      </c>
      <c r="D2040">
        <v>0</v>
      </c>
      <c r="E2040">
        <v>2</v>
      </c>
      <c r="F2040">
        <v>36</v>
      </c>
      <c r="G2040">
        <v>0</v>
      </c>
      <c r="H2040">
        <v>0</v>
      </c>
      <c r="I2040">
        <v>0</v>
      </c>
      <c r="J2040">
        <v>0</v>
      </c>
    </row>
    <row r="2041" spans="1:10" x14ac:dyDescent="0.25">
      <c r="A2041" t="s">
        <v>980</v>
      </c>
      <c r="B2041">
        <v>7172030017001500</v>
      </c>
      <c r="C2041">
        <v>38</v>
      </c>
      <c r="D2041">
        <v>0</v>
      </c>
      <c r="E2041">
        <v>0</v>
      </c>
      <c r="F2041">
        <v>28</v>
      </c>
      <c r="G2041">
        <v>0</v>
      </c>
      <c r="H2041">
        <v>0</v>
      </c>
      <c r="I2041">
        <v>10</v>
      </c>
      <c r="J2041">
        <v>0</v>
      </c>
    </row>
    <row r="2042" spans="1:10" x14ac:dyDescent="0.25">
      <c r="A2042" t="s">
        <v>988</v>
      </c>
      <c r="B2042">
        <v>7172012004001600</v>
      </c>
      <c r="C2042">
        <v>186</v>
      </c>
      <c r="D2042">
        <v>71</v>
      </c>
      <c r="E2042">
        <v>14</v>
      </c>
      <c r="F2042">
        <v>77</v>
      </c>
      <c r="G2042">
        <v>0</v>
      </c>
      <c r="H2042">
        <v>0</v>
      </c>
      <c r="I2042">
        <v>24</v>
      </c>
      <c r="J2042">
        <v>0</v>
      </c>
    </row>
    <row r="2043" spans="1:10" x14ac:dyDescent="0.25">
      <c r="A2043" t="s">
        <v>988</v>
      </c>
      <c r="B2043">
        <v>7172012004001801</v>
      </c>
      <c r="C2043">
        <v>138</v>
      </c>
      <c r="D2043">
        <v>1</v>
      </c>
      <c r="E2043">
        <v>4</v>
      </c>
      <c r="F2043">
        <v>133</v>
      </c>
      <c r="G2043">
        <v>0</v>
      </c>
      <c r="H2043">
        <v>0</v>
      </c>
      <c r="I2043">
        <v>0</v>
      </c>
      <c r="J2043">
        <v>0</v>
      </c>
    </row>
    <row r="2044" spans="1:10" x14ac:dyDescent="0.25">
      <c r="A2044" t="s">
        <v>988</v>
      </c>
      <c r="B2044">
        <v>7172012004001203</v>
      </c>
      <c r="C2044">
        <v>134</v>
      </c>
      <c r="D2044">
        <v>133</v>
      </c>
      <c r="E2044">
        <v>0</v>
      </c>
      <c r="F2044">
        <v>1</v>
      </c>
      <c r="G2044">
        <v>0</v>
      </c>
      <c r="H2044">
        <v>0</v>
      </c>
      <c r="I2044">
        <v>0</v>
      </c>
      <c r="J2044">
        <v>0</v>
      </c>
    </row>
    <row r="2045" spans="1:10" x14ac:dyDescent="0.25">
      <c r="A2045" t="s">
        <v>988</v>
      </c>
      <c r="B2045">
        <v>7172012004001702</v>
      </c>
      <c r="C2045">
        <v>128</v>
      </c>
      <c r="D2045">
        <v>49</v>
      </c>
      <c r="E2045">
        <v>0</v>
      </c>
      <c r="F2045">
        <v>79</v>
      </c>
      <c r="G2045">
        <v>0</v>
      </c>
      <c r="H2045">
        <v>0</v>
      </c>
      <c r="I2045">
        <v>0</v>
      </c>
      <c r="J2045">
        <v>0</v>
      </c>
    </row>
    <row r="2046" spans="1:10" x14ac:dyDescent="0.25">
      <c r="A2046" t="s">
        <v>988</v>
      </c>
      <c r="B2046">
        <v>7172012004001500</v>
      </c>
      <c r="C2046">
        <v>116</v>
      </c>
      <c r="D2046">
        <v>45</v>
      </c>
      <c r="E2046">
        <v>3</v>
      </c>
      <c r="F2046">
        <v>64</v>
      </c>
      <c r="G2046">
        <v>0</v>
      </c>
      <c r="H2046">
        <v>0</v>
      </c>
      <c r="I2046">
        <v>4</v>
      </c>
      <c r="J2046">
        <v>0</v>
      </c>
    </row>
    <row r="2047" spans="1:10" x14ac:dyDescent="0.25">
      <c r="A2047" t="s">
        <v>988</v>
      </c>
      <c r="B2047">
        <v>7172012004001300</v>
      </c>
      <c r="C2047">
        <v>96</v>
      </c>
      <c r="D2047">
        <v>89</v>
      </c>
      <c r="E2047">
        <v>4</v>
      </c>
      <c r="F2047">
        <v>3</v>
      </c>
      <c r="G2047">
        <v>0</v>
      </c>
      <c r="H2047">
        <v>0</v>
      </c>
      <c r="I2047">
        <v>0</v>
      </c>
      <c r="J2047">
        <v>0</v>
      </c>
    </row>
    <row r="2048" spans="1:10" x14ac:dyDescent="0.25">
      <c r="A2048" t="s">
        <v>983</v>
      </c>
      <c r="B2048">
        <v>7172011003000600</v>
      </c>
      <c r="C2048">
        <v>239</v>
      </c>
      <c r="D2048">
        <v>107</v>
      </c>
      <c r="E2048">
        <v>15</v>
      </c>
      <c r="F2048">
        <v>50</v>
      </c>
      <c r="G2048">
        <v>1</v>
      </c>
      <c r="H2048">
        <v>0</v>
      </c>
      <c r="I2048">
        <v>66</v>
      </c>
      <c r="J2048">
        <v>0</v>
      </c>
    </row>
    <row r="2049" spans="1:10" x14ac:dyDescent="0.25">
      <c r="A2049" t="s">
        <v>983</v>
      </c>
      <c r="B2049">
        <v>7172011003000300</v>
      </c>
      <c r="C2049">
        <v>208</v>
      </c>
      <c r="D2049">
        <v>178</v>
      </c>
      <c r="E2049">
        <v>0</v>
      </c>
      <c r="F2049">
        <v>30</v>
      </c>
      <c r="G2049">
        <v>0</v>
      </c>
      <c r="H2049">
        <v>0</v>
      </c>
      <c r="I2049">
        <v>0</v>
      </c>
      <c r="J2049">
        <v>0</v>
      </c>
    </row>
    <row r="2050" spans="1:10" x14ac:dyDescent="0.25">
      <c r="A2050" t="s">
        <v>983</v>
      </c>
      <c r="B2050">
        <v>7172011003000500</v>
      </c>
      <c r="C2050">
        <v>128</v>
      </c>
      <c r="D2050">
        <v>0</v>
      </c>
      <c r="E2050">
        <v>0</v>
      </c>
      <c r="F2050">
        <v>124</v>
      </c>
      <c r="G2050">
        <v>0</v>
      </c>
      <c r="H2050">
        <v>0</v>
      </c>
      <c r="I2050">
        <v>4</v>
      </c>
      <c r="J2050">
        <v>0</v>
      </c>
    </row>
    <row r="2051" spans="1:10" x14ac:dyDescent="0.25">
      <c r="A2051" t="s">
        <v>983</v>
      </c>
      <c r="B2051">
        <v>7172011003001001</v>
      </c>
      <c r="C2051">
        <v>103</v>
      </c>
      <c r="D2051">
        <v>0</v>
      </c>
      <c r="E2051">
        <v>0</v>
      </c>
      <c r="F2051">
        <v>103</v>
      </c>
      <c r="G2051">
        <v>0</v>
      </c>
      <c r="H2051">
        <v>0</v>
      </c>
      <c r="I2051">
        <v>0</v>
      </c>
      <c r="J2051">
        <v>0</v>
      </c>
    </row>
    <row r="2052" spans="1:10" x14ac:dyDescent="0.25">
      <c r="A2052" t="s">
        <v>981</v>
      </c>
      <c r="B2052">
        <v>7172011012000900</v>
      </c>
      <c r="C2052">
        <v>59</v>
      </c>
      <c r="D2052">
        <v>1</v>
      </c>
      <c r="E2052">
        <v>0</v>
      </c>
      <c r="F2052">
        <v>57</v>
      </c>
      <c r="G2052">
        <v>0</v>
      </c>
      <c r="H2052">
        <v>0</v>
      </c>
      <c r="I2052">
        <v>1</v>
      </c>
      <c r="J2052">
        <v>0</v>
      </c>
    </row>
    <row r="2053" spans="1:10" x14ac:dyDescent="0.25">
      <c r="A2053" t="s">
        <v>981</v>
      </c>
      <c r="B2053">
        <v>7172011012000800</v>
      </c>
      <c r="C2053">
        <v>56</v>
      </c>
      <c r="D2053">
        <v>0</v>
      </c>
      <c r="E2053">
        <v>0</v>
      </c>
      <c r="F2053">
        <v>56</v>
      </c>
      <c r="G2053">
        <v>0</v>
      </c>
      <c r="H2053">
        <v>0</v>
      </c>
      <c r="I2053">
        <v>0</v>
      </c>
      <c r="J2053">
        <v>0</v>
      </c>
    </row>
    <row r="2054" spans="1:10" x14ac:dyDescent="0.25">
      <c r="A2054" t="s">
        <v>981</v>
      </c>
      <c r="B2054">
        <v>7172011012000100</v>
      </c>
      <c r="C2054">
        <v>55</v>
      </c>
      <c r="D2054">
        <v>0</v>
      </c>
      <c r="E2054">
        <v>0</v>
      </c>
      <c r="F2054">
        <v>55</v>
      </c>
      <c r="G2054">
        <v>0</v>
      </c>
      <c r="H2054">
        <v>0</v>
      </c>
      <c r="I2054">
        <v>0</v>
      </c>
      <c r="J2054">
        <v>0</v>
      </c>
    </row>
    <row r="2055" spans="1:10" x14ac:dyDescent="0.25">
      <c r="A2055" t="s">
        <v>981</v>
      </c>
      <c r="B2055">
        <v>7172011012000600</v>
      </c>
      <c r="C2055">
        <v>42</v>
      </c>
      <c r="D2055">
        <v>6</v>
      </c>
      <c r="E2055">
        <v>1</v>
      </c>
      <c r="F2055">
        <v>35</v>
      </c>
      <c r="G2055">
        <v>0</v>
      </c>
      <c r="H2055">
        <v>0</v>
      </c>
      <c r="I2055">
        <v>0</v>
      </c>
      <c r="J2055">
        <v>0</v>
      </c>
    </row>
    <row r="2056" spans="1:10" x14ac:dyDescent="0.25">
      <c r="A2056" t="s">
        <v>982</v>
      </c>
      <c r="B2056">
        <v>7172021006001200</v>
      </c>
      <c r="C2056">
        <v>89</v>
      </c>
      <c r="D2056">
        <v>13</v>
      </c>
      <c r="E2056">
        <v>0</v>
      </c>
      <c r="F2056">
        <v>76</v>
      </c>
      <c r="G2056">
        <v>0</v>
      </c>
      <c r="H2056">
        <v>0</v>
      </c>
      <c r="I2056">
        <v>0</v>
      </c>
      <c r="J2056">
        <v>0</v>
      </c>
    </row>
    <row r="2057" spans="1:10" x14ac:dyDescent="0.25">
      <c r="A2057" t="s">
        <v>982</v>
      </c>
      <c r="B2057">
        <v>7172021006001400</v>
      </c>
      <c r="C2057">
        <v>83</v>
      </c>
      <c r="D2057">
        <v>54</v>
      </c>
      <c r="E2057">
        <v>0</v>
      </c>
      <c r="F2057">
        <v>29</v>
      </c>
      <c r="G2057">
        <v>0</v>
      </c>
      <c r="H2057">
        <v>0</v>
      </c>
      <c r="I2057">
        <v>0</v>
      </c>
      <c r="J2057">
        <v>0</v>
      </c>
    </row>
    <row r="2058" spans="1:10" x14ac:dyDescent="0.25">
      <c r="A2058" t="s">
        <v>982</v>
      </c>
      <c r="B2058">
        <v>7172021006001500</v>
      </c>
      <c r="C2058">
        <v>71</v>
      </c>
      <c r="D2058">
        <v>22</v>
      </c>
      <c r="E2058">
        <v>0</v>
      </c>
      <c r="F2058">
        <v>40</v>
      </c>
      <c r="G2058">
        <v>0</v>
      </c>
      <c r="H2058">
        <v>0</v>
      </c>
      <c r="I2058">
        <v>9</v>
      </c>
      <c r="J2058">
        <v>0</v>
      </c>
    </row>
    <row r="2059" spans="1:10" x14ac:dyDescent="0.25">
      <c r="A2059" t="s">
        <v>982</v>
      </c>
      <c r="B2059">
        <v>7172021006000900</v>
      </c>
      <c r="C2059">
        <v>64</v>
      </c>
      <c r="D2059">
        <v>60</v>
      </c>
      <c r="E2059">
        <v>0</v>
      </c>
      <c r="F2059">
        <v>4</v>
      </c>
      <c r="G2059">
        <v>0</v>
      </c>
      <c r="H2059">
        <v>0</v>
      </c>
      <c r="I2059">
        <v>0</v>
      </c>
      <c r="J2059">
        <v>0</v>
      </c>
    </row>
    <row r="2060" spans="1:10" x14ac:dyDescent="0.25">
      <c r="A2060" t="s">
        <v>982</v>
      </c>
      <c r="B2060">
        <v>7172021006001000</v>
      </c>
      <c r="C2060">
        <v>58</v>
      </c>
      <c r="D2060">
        <v>10</v>
      </c>
      <c r="E2060">
        <v>0</v>
      </c>
      <c r="F2060">
        <v>48</v>
      </c>
      <c r="G2060">
        <v>0</v>
      </c>
      <c r="H2060">
        <v>0</v>
      </c>
      <c r="I2060">
        <v>0</v>
      </c>
      <c r="J2060">
        <v>0</v>
      </c>
    </row>
    <row r="2061" spans="1:10" x14ac:dyDescent="0.25">
      <c r="A2061" t="s">
        <v>982</v>
      </c>
      <c r="B2061">
        <v>7172021006000800</v>
      </c>
      <c r="C2061">
        <v>54</v>
      </c>
      <c r="D2061">
        <v>51</v>
      </c>
      <c r="E2061">
        <v>0</v>
      </c>
      <c r="F2061">
        <v>3</v>
      </c>
      <c r="G2061">
        <v>0</v>
      </c>
      <c r="H2061">
        <v>0</v>
      </c>
      <c r="I2061">
        <v>0</v>
      </c>
      <c r="J2061">
        <v>0</v>
      </c>
    </row>
    <row r="2062" spans="1:10" x14ac:dyDescent="0.25">
      <c r="A2062" t="s">
        <v>982</v>
      </c>
      <c r="B2062">
        <v>7172021006001300</v>
      </c>
      <c r="C2062">
        <v>45</v>
      </c>
      <c r="D2062">
        <v>44</v>
      </c>
      <c r="E2062">
        <v>0</v>
      </c>
      <c r="F2062">
        <v>0</v>
      </c>
      <c r="G2062">
        <v>0</v>
      </c>
      <c r="H2062">
        <v>1</v>
      </c>
      <c r="I2062">
        <v>0</v>
      </c>
      <c r="J2062">
        <v>0</v>
      </c>
    </row>
    <row r="2063" spans="1:10" x14ac:dyDescent="0.25">
      <c r="A2063" t="s">
        <v>982</v>
      </c>
      <c r="B2063">
        <v>7172021006001100</v>
      </c>
      <c r="C2063">
        <v>42</v>
      </c>
      <c r="D2063">
        <v>6</v>
      </c>
      <c r="E2063">
        <v>0</v>
      </c>
      <c r="F2063">
        <v>36</v>
      </c>
      <c r="G2063">
        <v>0</v>
      </c>
      <c r="H2063">
        <v>0</v>
      </c>
      <c r="I2063">
        <v>0</v>
      </c>
      <c r="J2063">
        <v>0</v>
      </c>
    </row>
    <row r="2064" spans="1:10" x14ac:dyDescent="0.25">
      <c r="A2064" t="s">
        <v>989</v>
      </c>
      <c r="B2064">
        <v>7172011013000800</v>
      </c>
      <c r="C2064">
        <v>92</v>
      </c>
      <c r="D2064">
        <v>71</v>
      </c>
      <c r="E2064">
        <v>1</v>
      </c>
      <c r="F2064">
        <v>20</v>
      </c>
      <c r="G2064">
        <v>0</v>
      </c>
      <c r="H2064">
        <v>0</v>
      </c>
      <c r="I2064">
        <v>0</v>
      </c>
      <c r="J2064">
        <v>0</v>
      </c>
    </row>
    <row r="2065" spans="1:10" x14ac:dyDescent="0.25">
      <c r="A2065" t="s">
        <v>989</v>
      </c>
      <c r="B2065">
        <v>7172011013000900</v>
      </c>
      <c r="C2065">
        <v>82</v>
      </c>
      <c r="D2065">
        <v>77</v>
      </c>
      <c r="E2065">
        <v>0</v>
      </c>
      <c r="F2065">
        <v>5</v>
      </c>
      <c r="G2065">
        <v>0</v>
      </c>
      <c r="H2065">
        <v>0</v>
      </c>
      <c r="I2065">
        <v>0</v>
      </c>
      <c r="J2065">
        <v>0</v>
      </c>
    </row>
    <row r="2066" spans="1:10" x14ac:dyDescent="0.25">
      <c r="A2066" t="s">
        <v>989</v>
      </c>
      <c r="B2066">
        <v>7172011013001200</v>
      </c>
      <c r="C2066">
        <v>67</v>
      </c>
      <c r="D2066">
        <v>23</v>
      </c>
      <c r="E2066">
        <v>0</v>
      </c>
      <c r="F2066">
        <v>22</v>
      </c>
      <c r="G2066">
        <v>3</v>
      </c>
      <c r="H2066">
        <v>0</v>
      </c>
      <c r="I2066">
        <v>19</v>
      </c>
      <c r="J2066">
        <v>0</v>
      </c>
    </row>
    <row r="2067" spans="1:10" x14ac:dyDescent="0.25">
      <c r="A2067" t="s">
        <v>989</v>
      </c>
      <c r="B2067">
        <v>7172011013000700</v>
      </c>
      <c r="C2067">
        <v>64</v>
      </c>
      <c r="D2067">
        <v>0</v>
      </c>
      <c r="E2067">
        <v>0</v>
      </c>
      <c r="F2067">
        <v>64</v>
      </c>
      <c r="G2067">
        <v>0</v>
      </c>
      <c r="H2067">
        <v>0</v>
      </c>
      <c r="I2067">
        <v>0</v>
      </c>
      <c r="J2067">
        <v>0</v>
      </c>
    </row>
    <row r="2068" spans="1:10" x14ac:dyDescent="0.25">
      <c r="A2068" t="s">
        <v>989</v>
      </c>
      <c r="B2068">
        <v>7172011013001100</v>
      </c>
      <c r="C2068">
        <v>59</v>
      </c>
      <c r="D2068">
        <v>16</v>
      </c>
      <c r="E2068">
        <v>2</v>
      </c>
      <c r="F2068">
        <v>21</v>
      </c>
      <c r="G2068">
        <v>0</v>
      </c>
      <c r="H2068">
        <v>0</v>
      </c>
      <c r="I2068">
        <v>20</v>
      </c>
      <c r="J2068">
        <v>0</v>
      </c>
    </row>
    <row r="2069" spans="1:10" x14ac:dyDescent="0.25">
      <c r="A2069" t="s">
        <v>989</v>
      </c>
      <c r="B2069">
        <v>7172011013000600</v>
      </c>
      <c r="C2069">
        <v>55</v>
      </c>
      <c r="D2069">
        <v>36</v>
      </c>
      <c r="E2069">
        <v>0</v>
      </c>
      <c r="F2069">
        <v>19</v>
      </c>
      <c r="G2069">
        <v>0</v>
      </c>
      <c r="H2069">
        <v>0</v>
      </c>
      <c r="I2069">
        <v>0</v>
      </c>
      <c r="J2069">
        <v>0</v>
      </c>
    </row>
    <row r="2070" spans="1:10" x14ac:dyDescent="0.25">
      <c r="A2070" t="s">
        <v>989</v>
      </c>
      <c r="B2070">
        <v>7172011013000500</v>
      </c>
      <c r="C2070">
        <v>50</v>
      </c>
      <c r="D2070">
        <v>0</v>
      </c>
      <c r="E2070">
        <v>0</v>
      </c>
      <c r="F2070">
        <v>50</v>
      </c>
      <c r="G2070">
        <v>0</v>
      </c>
      <c r="H2070">
        <v>0</v>
      </c>
      <c r="I2070">
        <v>0</v>
      </c>
      <c r="J2070">
        <v>0</v>
      </c>
    </row>
    <row r="2071" spans="1:10" x14ac:dyDescent="0.25">
      <c r="A2071" t="s">
        <v>989</v>
      </c>
      <c r="B2071">
        <v>7172011013000300</v>
      </c>
      <c r="C2071">
        <v>45</v>
      </c>
      <c r="D2071">
        <v>1</v>
      </c>
      <c r="E2071">
        <v>10</v>
      </c>
      <c r="F2071">
        <v>28</v>
      </c>
      <c r="G2071">
        <v>0</v>
      </c>
      <c r="H2071">
        <v>0</v>
      </c>
      <c r="I2071">
        <v>6</v>
      </c>
      <c r="J2071">
        <v>0</v>
      </c>
    </row>
    <row r="2072" spans="1:10" x14ac:dyDescent="0.25">
      <c r="A2072" t="s">
        <v>989</v>
      </c>
      <c r="B2072">
        <v>7172011013001400</v>
      </c>
      <c r="C2072">
        <v>37</v>
      </c>
      <c r="D2072">
        <v>36</v>
      </c>
      <c r="E2072">
        <v>1</v>
      </c>
      <c r="F2072">
        <v>0</v>
      </c>
      <c r="G2072">
        <v>0</v>
      </c>
      <c r="H2072">
        <v>0</v>
      </c>
      <c r="I2072">
        <v>0</v>
      </c>
      <c r="J2072">
        <v>0</v>
      </c>
    </row>
    <row r="2073" spans="1:10" x14ac:dyDescent="0.25">
      <c r="A2073" t="s">
        <v>989</v>
      </c>
      <c r="B2073">
        <v>7172011013000400</v>
      </c>
      <c r="C2073">
        <v>36</v>
      </c>
      <c r="D2073">
        <v>23</v>
      </c>
      <c r="E2073">
        <v>0</v>
      </c>
      <c r="F2073">
        <v>13</v>
      </c>
      <c r="G2073">
        <v>0</v>
      </c>
      <c r="H2073">
        <v>0</v>
      </c>
      <c r="I2073">
        <v>0</v>
      </c>
      <c r="J2073">
        <v>0</v>
      </c>
    </row>
    <row r="2074" spans="1:10" x14ac:dyDescent="0.25">
      <c r="A2074" t="s">
        <v>989</v>
      </c>
      <c r="B2074">
        <v>7172011013001000</v>
      </c>
      <c r="C2074">
        <v>36</v>
      </c>
      <c r="D2074">
        <v>0</v>
      </c>
      <c r="E2074">
        <v>0</v>
      </c>
      <c r="F2074">
        <v>36</v>
      </c>
      <c r="G2074">
        <v>0</v>
      </c>
      <c r="H2074">
        <v>0</v>
      </c>
      <c r="I2074">
        <v>0</v>
      </c>
      <c r="J2074">
        <v>0</v>
      </c>
    </row>
    <row r="2075" spans="1:10" x14ac:dyDescent="0.25">
      <c r="A2075" t="s">
        <v>989</v>
      </c>
      <c r="B2075">
        <v>7172011013001300</v>
      </c>
      <c r="C2075">
        <v>31</v>
      </c>
      <c r="D2075">
        <v>27</v>
      </c>
      <c r="E2075">
        <v>1</v>
      </c>
      <c r="F2075">
        <v>2</v>
      </c>
      <c r="G2075">
        <v>0</v>
      </c>
      <c r="H2075">
        <v>0</v>
      </c>
      <c r="I2075">
        <v>1</v>
      </c>
      <c r="J2075">
        <v>0</v>
      </c>
    </row>
    <row r="2076" spans="1:10" x14ac:dyDescent="0.25">
      <c r="A2076" t="s">
        <v>989</v>
      </c>
      <c r="B2076">
        <v>7172011013100100</v>
      </c>
      <c r="C2076">
        <v>2</v>
      </c>
      <c r="D2076">
        <v>0</v>
      </c>
      <c r="E2076">
        <v>0</v>
      </c>
      <c r="F2076">
        <v>2</v>
      </c>
      <c r="G2076">
        <v>0</v>
      </c>
      <c r="H2076">
        <v>0</v>
      </c>
      <c r="I2076">
        <v>0</v>
      </c>
      <c r="J2076">
        <v>0</v>
      </c>
    </row>
    <row r="2077" spans="1:10" x14ac:dyDescent="0.25">
      <c r="A2077" t="s">
        <v>989</v>
      </c>
      <c r="B2077">
        <v>7172011013100200</v>
      </c>
      <c r="C2077">
        <v>2</v>
      </c>
      <c r="D2077">
        <v>0</v>
      </c>
      <c r="E2077">
        <v>0</v>
      </c>
      <c r="F2077">
        <v>2</v>
      </c>
      <c r="G2077">
        <v>0</v>
      </c>
      <c r="H2077">
        <v>0</v>
      </c>
      <c r="I2077">
        <v>0</v>
      </c>
      <c r="J2077">
        <v>0</v>
      </c>
    </row>
    <row r="2078" spans="1:10" x14ac:dyDescent="0.25">
      <c r="A2078" t="s">
        <v>990</v>
      </c>
      <c r="B2078">
        <v>7172010010000600</v>
      </c>
      <c r="C2078">
        <v>89</v>
      </c>
      <c r="D2078">
        <v>79</v>
      </c>
      <c r="E2078">
        <v>0</v>
      </c>
      <c r="F2078">
        <v>10</v>
      </c>
      <c r="G2078">
        <v>0</v>
      </c>
      <c r="H2078">
        <v>0</v>
      </c>
      <c r="I2078">
        <v>0</v>
      </c>
      <c r="J2078">
        <v>0</v>
      </c>
    </row>
    <row r="2079" spans="1:10" x14ac:dyDescent="0.25">
      <c r="A2079" t="s">
        <v>990</v>
      </c>
      <c r="B2079">
        <v>7172010010001500</v>
      </c>
      <c r="C2079">
        <v>75</v>
      </c>
      <c r="D2079">
        <v>71</v>
      </c>
      <c r="E2079">
        <v>0</v>
      </c>
      <c r="F2079">
        <v>4</v>
      </c>
      <c r="G2079">
        <v>0</v>
      </c>
      <c r="H2079">
        <v>0</v>
      </c>
      <c r="I2079">
        <v>0</v>
      </c>
      <c r="J2079">
        <v>0</v>
      </c>
    </row>
    <row r="2080" spans="1:10" x14ac:dyDescent="0.25">
      <c r="A2080" t="s">
        <v>990</v>
      </c>
      <c r="B2080">
        <v>7172010010001200</v>
      </c>
      <c r="C2080">
        <v>66</v>
      </c>
      <c r="D2080">
        <v>0</v>
      </c>
      <c r="E2080">
        <v>0</v>
      </c>
      <c r="F2080">
        <v>66</v>
      </c>
      <c r="G2080">
        <v>0</v>
      </c>
      <c r="H2080">
        <v>0</v>
      </c>
      <c r="I2080">
        <v>0</v>
      </c>
      <c r="J2080">
        <v>0</v>
      </c>
    </row>
    <row r="2081" spans="1:10" x14ac:dyDescent="0.25">
      <c r="A2081" t="s">
        <v>990</v>
      </c>
      <c r="B2081">
        <v>7172010010000800</v>
      </c>
      <c r="C2081">
        <v>65</v>
      </c>
      <c r="D2081">
        <v>0</v>
      </c>
      <c r="E2081">
        <v>1</v>
      </c>
      <c r="F2081">
        <v>64</v>
      </c>
      <c r="G2081">
        <v>0</v>
      </c>
      <c r="H2081">
        <v>0</v>
      </c>
      <c r="I2081">
        <v>0</v>
      </c>
      <c r="J2081">
        <v>0</v>
      </c>
    </row>
    <row r="2082" spans="1:10" x14ac:dyDescent="0.25">
      <c r="A2082" t="s">
        <v>990</v>
      </c>
      <c r="B2082">
        <v>7172010010000700</v>
      </c>
      <c r="C2082">
        <v>64</v>
      </c>
      <c r="D2082">
        <v>29</v>
      </c>
      <c r="E2082">
        <v>1</v>
      </c>
      <c r="F2082">
        <v>30</v>
      </c>
      <c r="G2082">
        <v>0</v>
      </c>
      <c r="H2082">
        <v>0</v>
      </c>
      <c r="I2082">
        <v>4</v>
      </c>
      <c r="J2082">
        <v>0</v>
      </c>
    </row>
    <row r="2083" spans="1:10" x14ac:dyDescent="0.25">
      <c r="A2083" t="s">
        <v>990</v>
      </c>
      <c r="B2083">
        <v>7172010010001100</v>
      </c>
      <c r="C2083">
        <v>53</v>
      </c>
      <c r="D2083">
        <v>48</v>
      </c>
      <c r="E2083">
        <v>0</v>
      </c>
      <c r="F2083">
        <v>4</v>
      </c>
      <c r="G2083">
        <v>0</v>
      </c>
      <c r="H2083">
        <v>0</v>
      </c>
      <c r="I2083">
        <v>1</v>
      </c>
      <c r="J2083">
        <v>0</v>
      </c>
    </row>
    <row r="2084" spans="1:10" x14ac:dyDescent="0.25">
      <c r="A2084" t="s">
        <v>990</v>
      </c>
      <c r="B2084">
        <v>7172010010001300</v>
      </c>
      <c r="C2084">
        <v>53</v>
      </c>
      <c r="D2084">
        <v>4</v>
      </c>
      <c r="E2084">
        <v>0</v>
      </c>
      <c r="F2084">
        <v>37</v>
      </c>
      <c r="G2084">
        <v>0</v>
      </c>
      <c r="H2084">
        <v>0</v>
      </c>
      <c r="I2084">
        <v>12</v>
      </c>
      <c r="J2084">
        <v>0</v>
      </c>
    </row>
    <row r="2085" spans="1:10" x14ac:dyDescent="0.25">
      <c r="A2085" t="s">
        <v>990</v>
      </c>
      <c r="B2085">
        <v>7172010010001400</v>
      </c>
      <c r="C2085">
        <v>53</v>
      </c>
      <c r="D2085">
        <v>38</v>
      </c>
      <c r="E2085">
        <v>1</v>
      </c>
      <c r="F2085">
        <v>2</v>
      </c>
      <c r="G2085">
        <v>0</v>
      </c>
      <c r="H2085">
        <v>1</v>
      </c>
      <c r="I2085">
        <v>11</v>
      </c>
      <c r="J2085">
        <v>0</v>
      </c>
    </row>
    <row r="2086" spans="1:10" x14ac:dyDescent="0.25">
      <c r="A2086" t="s">
        <v>990</v>
      </c>
      <c r="B2086">
        <v>7172010010001000</v>
      </c>
      <c r="C2086">
        <v>32</v>
      </c>
      <c r="D2086">
        <v>0</v>
      </c>
      <c r="E2086">
        <v>1</v>
      </c>
      <c r="F2086">
        <v>31</v>
      </c>
      <c r="G2086">
        <v>0</v>
      </c>
      <c r="H2086">
        <v>0</v>
      </c>
      <c r="I2086">
        <v>0</v>
      </c>
      <c r="J2086">
        <v>0</v>
      </c>
    </row>
    <row r="2087" spans="1:10" x14ac:dyDescent="0.25">
      <c r="A2087" t="s">
        <v>990</v>
      </c>
      <c r="B2087">
        <v>7172010010000900</v>
      </c>
      <c r="C2087">
        <v>23</v>
      </c>
      <c r="D2087">
        <v>0</v>
      </c>
      <c r="E2087">
        <v>0</v>
      </c>
      <c r="F2087">
        <v>23</v>
      </c>
      <c r="G2087">
        <v>0</v>
      </c>
      <c r="H2087">
        <v>0</v>
      </c>
      <c r="I2087">
        <v>0</v>
      </c>
      <c r="J2087">
        <v>0</v>
      </c>
    </row>
    <row r="2088" spans="1:10" x14ac:dyDescent="0.25">
      <c r="A2088" t="s">
        <v>60</v>
      </c>
      <c r="B2088">
        <v>7172012004001900</v>
      </c>
      <c r="C2088">
        <v>180</v>
      </c>
      <c r="D2088">
        <v>176</v>
      </c>
      <c r="E2088">
        <v>4</v>
      </c>
      <c r="F2088">
        <v>0</v>
      </c>
      <c r="G2088">
        <v>0</v>
      </c>
      <c r="H2088">
        <v>0</v>
      </c>
      <c r="I2088">
        <v>0</v>
      </c>
      <c r="J2088">
        <v>0</v>
      </c>
    </row>
    <row r="2089" spans="1:10" x14ac:dyDescent="0.25">
      <c r="A2089" t="s">
        <v>60</v>
      </c>
      <c r="B2089">
        <v>7172012004000900</v>
      </c>
      <c r="C2089">
        <v>136</v>
      </c>
      <c r="D2089">
        <v>2</v>
      </c>
      <c r="E2089">
        <v>0</v>
      </c>
      <c r="F2089">
        <v>134</v>
      </c>
      <c r="G2089">
        <v>0</v>
      </c>
      <c r="H2089">
        <v>0</v>
      </c>
      <c r="I2089">
        <v>0</v>
      </c>
      <c r="J2089">
        <v>0</v>
      </c>
    </row>
    <row r="2090" spans="1:10" x14ac:dyDescent="0.25">
      <c r="A2090" t="s">
        <v>60</v>
      </c>
      <c r="B2090">
        <v>7172012004001802</v>
      </c>
      <c r="C2090">
        <v>107</v>
      </c>
      <c r="D2090">
        <v>23</v>
      </c>
      <c r="E2090">
        <v>16</v>
      </c>
      <c r="F2090">
        <v>63</v>
      </c>
      <c r="G2090">
        <v>0</v>
      </c>
      <c r="H2090">
        <v>0</v>
      </c>
      <c r="I2090">
        <v>5</v>
      </c>
      <c r="J2090">
        <v>0</v>
      </c>
    </row>
    <row r="2091" spans="1:10" x14ac:dyDescent="0.25">
      <c r="A2091" t="s">
        <v>60</v>
      </c>
      <c r="B2091">
        <v>7172012004002101</v>
      </c>
      <c r="C2091">
        <v>104</v>
      </c>
      <c r="D2091">
        <v>18</v>
      </c>
      <c r="E2091">
        <v>15</v>
      </c>
      <c r="F2091">
        <v>71</v>
      </c>
      <c r="G2091">
        <v>0</v>
      </c>
      <c r="H2091">
        <v>0</v>
      </c>
      <c r="I2091">
        <v>0</v>
      </c>
      <c r="J2091">
        <v>0</v>
      </c>
    </row>
    <row r="2092" spans="1:10" x14ac:dyDescent="0.25">
      <c r="A2092" t="s">
        <v>60</v>
      </c>
      <c r="B2092">
        <v>7172012004001400</v>
      </c>
      <c r="C2092">
        <v>88</v>
      </c>
      <c r="D2092">
        <v>69</v>
      </c>
      <c r="E2092">
        <v>2</v>
      </c>
      <c r="F2092">
        <v>17</v>
      </c>
      <c r="G2092">
        <v>0</v>
      </c>
      <c r="H2092">
        <v>0</v>
      </c>
      <c r="I2092">
        <v>0</v>
      </c>
      <c r="J209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60"/>
  <sheetViews>
    <sheetView tabSelected="1" topLeftCell="A139" workbookViewId="0">
      <selection activeCell="E155" sqref="E155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379</v>
      </c>
      <c r="B1" t="s">
        <v>245</v>
      </c>
      <c r="C1" t="s">
        <v>246</v>
      </c>
      <c r="D1" t="s">
        <v>380</v>
      </c>
      <c r="E1" t="s">
        <v>389</v>
      </c>
      <c r="F1" t="s">
        <v>381</v>
      </c>
      <c r="G1" t="s">
        <v>382</v>
      </c>
      <c r="H1" t="s">
        <v>378</v>
      </c>
      <c r="I1" s="2" t="s">
        <v>390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313</v>
      </c>
      <c r="F2">
        <v>316</v>
      </c>
      <c r="G2">
        <f>VLOOKUP(A2,PPL!B:M,12,0)</f>
        <v>335</v>
      </c>
      <c r="H2">
        <f>G2-F2</f>
        <v>19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370</v>
      </c>
      <c r="F3">
        <v>384</v>
      </c>
      <c r="G3">
        <f>VLOOKUP(A3,PPL!B:M,12,0)</f>
        <v>396</v>
      </c>
      <c r="H3">
        <f t="shared" ref="H3:H62" si="0">G3-F3</f>
        <v>12</v>
      </c>
      <c r="I3" t="b">
        <f t="shared" ref="I3:I63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504</v>
      </c>
      <c r="F4">
        <v>513</v>
      </c>
      <c r="G4">
        <f>VLOOKUP(A4,PPL!B:M,12,0)</f>
        <v>523</v>
      </c>
      <c r="H4">
        <f t="shared" si="0"/>
        <v>10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392</v>
      </c>
      <c r="F5">
        <v>410</v>
      </c>
      <c r="G5">
        <f>VLOOKUP(A5,PPL!B:M,12,0)</f>
        <v>429</v>
      </c>
      <c r="H5">
        <f t="shared" si="0"/>
        <v>19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383</v>
      </c>
      <c r="F6">
        <v>388</v>
      </c>
      <c r="G6">
        <f>VLOOKUP(A6,PPL!B:M,12,0)</f>
        <v>400</v>
      </c>
      <c r="H6">
        <f t="shared" si="0"/>
        <v>12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391</v>
      </c>
      <c r="F7">
        <v>395</v>
      </c>
      <c r="G7">
        <f>VLOOKUP(A7,PPL!B:M,12,0)</f>
        <v>410</v>
      </c>
      <c r="H7">
        <f t="shared" si="0"/>
        <v>15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484</v>
      </c>
      <c r="F8">
        <v>484</v>
      </c>
      <c r="G8">
        <f>VLOOKUP(A8,PPL!B:M,12,0)</f>
        <v>484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387</v>
      </c>
      <c r="F9">
        <v>431</v>
      </c>
      <c r="G9">
        <f>VLOOKUP(A9,PPL!B:M,12,0)</f>
        <v>448</v>
      </c>
      <c r="H9">
        <f t="shared" si="0"/>
        <v>17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361</v>
      </c>
      <c r="F10">
        <v>374</v>
      </c>
      <c r="G10">
        <f>VLOOKUP(A10,PPL!B:M,12,0)</f>
        <v>390</v>
      </c>
      <c r="H10">
        <f t="shared" si="0"/>
        <v>16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630</v>
      </c>
      <c r="F11">
        <v>632</v>
      </c>
      <c r="G11">
        <f>VLOOKUP(A11,PPL!B:M,12,0)</f>
        <v>636</v>
      </c>
      <c r="H11">
        <f t="shared" si="0"/>
        <v>4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358</v>
      </c>
      <c r="F12">
        <v>375</v>
      </c>
      <c r="G12">
        <f>VLOOKUP(A12,PPL!B:M,12,0)</f>
        <v>390</v>
      </c>
      <c r="H12">
        <f t="shared" si="0"/>
        <v>15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378</v>
      </c>
      <c r="F13">
        <v>379</v>
      </c>
      <c r="G13">
        <f>VLOOKUP(A13,PPL!B:M,12,0)</f>
        <v>399</v>
      </c>
      <c r="H13">
        <f t="shared" si="0"/>
        <v>20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396</v>
      </c>
      <c r="F14">
        <v>396</v>
      </c>
      <c r="G14">
        <f>VLOOKUP(A14,PPL!B:M,12,0)</f>
        <v>397</v>
      </c>
      <c r="H14">
        <f t="shared" si="0"/>
        <v>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366</v>
      </c>
      <c r="F15">
        <v>381</v>
      </c>
      <c r="G15">
        <f>VLOOKUP(A15,PPL!B:M,12,0)</f>
        <v>407</v>
      </c>
      <c r="H15">
        <f t="shared" si="0"/>
        <v>26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315</v>
      </c>
      <c r="F16">
        <v>315</v>
      </c>
      <c r="G16">
        <f>VLOOKUP(A16,PPL!B:M,12,0)</f>
        <v>315</v>
      </c>
      <c r="H16">
        <f t="shared" si="0"/>
        <v>0</v>
      </c>
      <c r="I16" t="b">
        <f t="shared" si="1"/>
        <v>1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385</v>
      </c>
      <c r="F17">
        <v>401</v>
      </c>
      <c r="G17">
        <f>VLOOKUP(A17,PPL!B:M,12,0)</f>
        <v>407</v>
      </c>
      <c r="H17">
        <f t="shared" si="0"/>
        <v>6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438</v>
      </c>
      <c r="F18">
        <v>446</v>
      </c>
      <c r="G18">
        <f>VLOOKUP(A18,PPL!B:M,12,0)</f>
        <v>463</v>
      </c>
      <c r="H18">
        <f t="shared" si="0"/>
        <v>17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393</v>
      </c>
      <c r="F19">
        <v>401</v>
      </c>
      <c r="G19">
        <f>VLOOKUP(A19,PPL!B:M,12,0)</f>
        <v>409</v>
      </c>
      <c r="H19">
        <f t="shared" si="0"/>
        <v>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377</v>
      </c>
      <c r="F20">
        <v>381</v>
      </c>
      <c r="G20">
        <f>VLOOKUP(A20,PPL!B:M,12,0)</f>
        <v>381</v>
      </c>
      <c r="H20">
        <f t="shared" si="0"/>
        <v>0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348</v>
      </c>
      <c r="F21">
        <v>348</v>
      </c>
      <c r="G21">
        <f>VLOOKUP(A21,PPL!B:M,12,0)</f>
        <v>348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326</v>
      </c>
      <c r="F22">
        <v>333</v>
      </c>
      <c r="G22">
        <f>VLOOKUP(A22,PPL!B:M,12,0)</f>
        <v>345</v>
      </c>
      <c r="H22">
        <f t="shared" si="0"/>
        <v>12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464</v>
      </c>
      <c r="F23">
        <v>473</v>
      </c>
      <c r="G23">
        <f>VLOOKUP(A23,PPL!B:M,12,0)</f>
        <v>500</v>
      </c>
      <c r="H23">
        <f t="shared" si="0"/>
        <v>27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340</v>
      </c>
      <c r="F24">
        <v>354</v>
      </c>
      <c r="G24">
        <f>VLOOKUP(A24,PPL!B:M,12,0)</f>
        <v>359</v>
      </c>
      <c r="H24">
        <f t="shared" si="0"/>
        <v>5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480</v>
      </c>
      <c r="F25">
        <v>490</v>
      </c>
      <c r="G25">
        <f>VLOOKUP(A25,PPL!B:M,12,0)</f>
        <v>493</v>
      </c>
      <c r="H25">
        <f t="shared" si="0"/>
        <v>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343</v>
      </c>
      <c r="F26">
        <v>343</v>
      </c>
      <c r="G26">
        <f>VLOOKUP(A26,PPL!B:M,12,0)</f>
        <v>350</v>
      </c>
      <c r="H26">
        <f t="shared" si="0"/>
        <v>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378</v>
      </c>
      <c r="F27">
        <v>400</v>
      </c>
      <c r="G27">
        <f>VLOOKUP(A27,PPL!B:M,12,0)</f>
        <v>400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334</v>
      </c>
      <c r="F28">
        <v>334</v>
      </c>
      <c r="G28">
        <f>VLOOKUP(A28,PPL!B:M,12,0)</f>
        <v>346</v>
      </c>
      <c r="H28">
        <f t="shared" si="0"/>
        <v>12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352</v>
      </c>
      <c r="F29">
        <v>352</v>
      </c>
      <c r="G29">
        <f>VLOOKUP(A29,PPL!B:M,12,0)</f>
        <v>365</v>
      </c>
      <c r="H29">
        <f t="shared" si="0"/>
        <v>13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295</v>
      </c>
      <c r="F30">
        <v>292</v>
      </c>
      <c r="G30">
        <f>VLOOKUP(A30,PPL!B:M,12,0)</f>
        <v>308</v>
      </c>
      <c r="H30">
        <f t="shared" si="0"/>
        <v>16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419</v>
      </c>
      <c r="F31">
        <v>444</v>
      </c>
      <c r="G31">
        <f>VLOOKUP(A31,PPL!B:M,12,0)</f>
        <v>472</v>
      </c>
      <c r="H31">
        <f t="shared" si="0"/>
        <v>28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426</v>
      </c>
      <c r="F32">
        <v>426</v>
      </c>
      <c r="G32">
        <f>VLOOKUP(A32,PPL!B:M,12,0)</f>
        <v>426</v>
      </c>
      <c r="H32">
        <f t="shared" si="0"/>
        <v>0</v>
      </c>
      <c r="I32" t="b">
        <f t="shared" si="1"/>
        <v>1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420</v>
      </c>
      <c r="F33">
        <v>429</v>
      </c>
      <c r="G33">
        <f>VLOOKUP(A33,PPL!B:M,12,0)</f>
        <v>449</v>
      </c>
      <c r="H33">
        <f t="shared" si="0"/>
        <v>20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348</v>
      </c>
      <c r="F34">
        <v>361</v>
      </c>
      <c r="G34">
        <f>VLOOKUP(A34,PPL!B:M,12,0)</f>
        <v>371</v>
      </c>
      <c r="H34">
        <f t="shared" si="0"/>
        <v>10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324</v>
      </c>
      <c r="F35">
        <v>337</v>
      </c>
      <c r="G35">
        <f>VLOOKUP(A35,PPL!B:M,12,0)</f>
        <v>343</v>
      </c>
      <c r="H35">
        <f t="shared" si="0"/>
        <v>6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539</v>
      </c>
      <c r="F36">
        <v>550</v>
      </c>
      <c r="G36">
        <f>VLOOKUP(A36,PPL!B:M,12,0)</f>
        <v>576</v>
      </c>
      <c r="H36">
        <f t="shared" si="0"/>
        <v>26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309</v>
      </c>
      <c r="F37">
        <v>319</v>
      </c>
      <c r="G37">
        <f>VLOOKUP(A37,PPL!B:M,12,0)</f>
        <v>325</v>
      </c>
      <c r="H37">
        <f t="shared" si="0"/>
        <v>6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353</v>
      </c>
      <c r="F38">
        <v>357</v>
      </c>
      <c r="G38">
        <f>VLOOKUP(A38,PPL!B:M,12,0)</f>
        <v>362</v>
      </c>
      <c r="H38">
        <f t="shared" si="0"/>
        <v>5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301</v>
      </c>
      <c r="F39">
        <v>301</v>
      </c>
      <c r="G39">
        <f>VLOOKUP(A39,PPL!B:M,12,0)</f>
        <v>301</v>
      </c>
      <c r="H39">
        <f t="shared" si="0"/>
        <v>0</v>
      </c>
      <c r="I39" t="b">
        <f t="shared" si="1"/>
        <v>1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287</v>
      </c>
      <c r="F40">
        <v>298</v>
      </c>
      <c r="G40">
        <f>VLOOKUP(A40,PPL!B:M,12,0)</f>
        <v>312</v>
      </c>
      <c r="H40">
        <f t="shared" si="0"/>
        <v>14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Lina Aprilia</v>
      </c>
      <c r="C41" t="str">
        <f>VLOOKUP(A41,PPL!B:D,3,0)</f>
        <v>Firly</v>
      </c>
      <c r="D41" t="s">
        <v>244</v>
      </c>
      <c r="E41">
        <v>432</v>
      </c>
      <c r="F41">
        <v>465</v>
      </c>
      <c r="G41">
        <f>VLOOKUP(A41,PPL!B:M,12,0)</f>
        <v>468</v>
      </c>
      <c r="H41">
        <f t="shared" si="0"/>
        <v>3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Retnowati Sumelung</v>
      </c>
      <c r="C42" t="str">
        <f>VLOOKUP(A42,PPL!B:D,3,0)</f>
        <v>Vera</v>
      </c>
      <c r="D42" t="s">
        <v>244</v>
      </c>
      <c r="E42">
        <v>477</v>
      </c>
      <c r="F42">
        <v>494</v>
      </c>
      <c r="G42">
        <f>VLOOKUP(A42,PPL!B:M,12,0)</f>
        <v>513</v>
      </c>
      <c r="H42">
        <f t="shared" si="0"/>
        <v>19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Syerel Sinta Tulus</v>
      </c>
      <c r="C43" t="str">
        <f>VLOOKUP(A43,PPL!B:D,3,0)</f>
        <v>Handoko</v>
      </c>
      <c r="D43" t="s">
        <v>244</v>
      </c>
      <c r="E43">
        <v>298</v>
      </c>
      <c r="F43">
        <v>298</v>
      </c>
      <c r="G43">
        <f>VLOOKUP(A43,PPL!B:M,12,0)</f>
        <v>299</v>
      </c>
      <c r="H43">
        <f t="shared" si="0"/>
        <v>1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Emy Oktaviani Syah</v>
      </c>
      <c r="C44" t="str">
        <f>VLOOKUP(A44,PPL!B:D,3,0)</f>
        <v>Rudy</v>
      </c>
      <c r="D44" t="s">
        <v>244</v>
      </c>
      <c r="E44">
        <v>363</v>
      </c>
      <c r="F44">
        <v>369</v>
      </c>
      <c r="G44">
        <f>VLOOKUP(A44,PPL!B:M,12,0)</f>
        <v>375</v>
      </c>
      <c r="H44">
        <f t="shared" si="0"/>
        <v>6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Syifa Fauziah Suleman</v>
      </c>
      <c r="C45" t="str">
        <f>VLOOKUP(A45,PPL!B:D,3,0)</f>
        <v>Iska</v>
      </c>
      <c r="D45" t="s">
        <v>244</v>
      </c>
      <c r="E45">
        <v>295</v>
      </c>
      <c r="F45">
        <v>303</v>
      </c>
      <c r="G45">
        <f>VLOOKUP(A45,PPL!B:M,12,0)</f>
        <v>311</v>
      </c>
      <c r="H45">
        <f t="shared" si="0"/>
        <v>8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Emy Oktaviani Syah</v>
      </c>
      <c r="C46" t="str">
        <f>VLOOKUP(A46,PPL!B:D,3,0)</f>
        <v>Rudy</v>
      </c>
      <c r="D46" t="s">
        <v>244</v>
      </c>
      <c r="E46">
        <v>337</v>
      </c>
      <c r="F46">
        <v>341</v>
      </c>
      <c r="G46">
        <f>VLOOKUP(A46,PPL!B:M,12,0)</f>
        <v>358</v>
      </c>
      <c r="H46">
        <f t="shared" si="0"/>
        <v>17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331</v>
      </c>
      <c r="F47">
        <v>331</v>
      </c>
      <c r="G47">
        <f>VLOOKUP(A47,PPL!B:M,12,0)</f>
        <v>369</v>
      </c>
      <c r="H47">
        <f t="shared" si="0"/>
        <v>38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328</v>
      </c>
      <c r="F48">
        <v>342</v>
      </c>
      <c r="G48">
        <f>VLOOKUP(A48,PPL!B:M,12,0)</f>
        <v>352</v>
      </c>
      <c r="H48">
        <f t="shared" si="0"/>
        <v>10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317</v>
      </c>
      <c r="F49">
        <v>337</v>
      </c>
      <c r="G49">
        <f>VLOOKUP(A49,PPL!B:M,12,0)</f>
        <v>342</v>
      </c>
      <c r="H49">
        <f t="shared" si="0"/>
        <v>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324</v>
      </c>
      <c r="F50">
        <v>325</v>
      </c>
      <c r="G50">
        <f>VLOOKUP(A50,PPL!B:M,12,0)</f>
        <v>331</v>
      </c>
      <c r="H50">
        <f t="shared" si="0"/>
        <v>6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384</v>
      </c>
      <c r="F51">
        <v>390</v>
      </c>
      <c r="G51">
        <f>VLOOKUP(A51,PPL!B:M,12,0)</f>
        <v>411</v>
      </c>
      <c r="H51">
        <f t="shared" si="0"/>
        <v>21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298</v>
      </c>
      <c r="F52">
        <v>313</v>
      </c>
      <c r="G52">
        <f>VLOOKUP(A52,PPL!B:M,12,0)</f>
        <v>313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461</v>
      </c>
      <c r="F53">
        <v>471</v>
      </c>
      <c r="G53">
        <f>VLOOKUP(A53,PPL!B:M,12,0)</f>
        <v>482</v>
      </c>
      <c r="H53">
        <f t="shared" si="0"/>
        <v>11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288</v>
      </c>
      <c r="F54">
        <v>293</v>
      </c>
      <c r="G54">
        <f>VLOOKUP(A54,PPL!B:M,12,0)</f>
        <v>293</v>
      </c>
      <c r="H54">
        <f t="shared" si="0"/>
        <v>0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331</v>
      </c>
      <c r="F55">
        <v>334</v>
      </c>
      <c r="G55">
        <f>VLOOKUP(A55,PPL!B:M,12,0)</f>
        <v>341</v>
      </c>
      <c r="H55">
        <f t="shared" si="0"/>
        <v>7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Syerel Sinta Tulus</v>
      </c>
      <c r="C56" t="str">
        <f>VLOOKUP(A56,PPL!B:D,3,0)</f>
        <v>Handoko</v>
      </c>
      <c r="D56" t="s">
        <v>244</v>
      </c>
      <c r="E56">
        <v>290</v>
      </c>
      <c r="F56">
        <v>295</v>
      </c>
      <c r="G56">
        <f>VLOOKUP(A56,PPL!B:M,12,0)</f>
        <v>300</v>
      </c>
      <c r="H56">
        <f t="shared" si="0"/>
        <v>5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427</v>
      </c>
      <c r="F57">
        <v>447</v>
      </c>
      <c r="G57">
        <f>VLOOKUP(A57,PPL!B:M,12,0)</f>
        <v>457</v>
      </c>
      <c r="H57">
        <f t="shared" si="0"/>
        <v>10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Deasy Natalia Hengkeng</v>
      </c>
      <c r="C58" t="str">
        <f>VLOOKUP(A58,PPL!B:D,3,0)</f>
        <v>Alfian</v>
      </c>
      <c r="D58" t="s">
        <v>244</v>
      </c>
      <c r="E58">
        <v>374</v>
      </c>
      <c r="F58">
        <v>374</v>
      </c>
      <c r="G58">
        <f>VLOOKUP(A58,PPL!B:M,12,0)</f>
        <v>397</v>
      </c>
      <c r="H58">
        <f t="shared" si="0"/>
        <v>23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333</v>
      </c>
      <c r="F59">
        <v>347</v>
      </c>
      <c r="G59">
        <f>VLOOKUP(A59,PPL!B:M,12,0)</f>
        <v>357</v>
      </c>
      <c r="H59">
        <f t="shared" si="0"/>
        <v>10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373</v>
      </c>
      <c r="F60">
        <v>379</v>
      </c>
      <c r="G60">
        <f>VLOOKUP(A60,PPL!B:M,12,0)</f>
        <v>388</v>
      </c>
      <c r="H60">
        <f t="shared" si="0"/>
        <v>9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Emy Oktaviani Syah</v>
      </c>
      <c r="C61" t="str">
        <f>VLOOKUP(A61,PPL!B:D,3,0)</f>
        <v>Rudy</v>
      </c>
      <c r="D61" t="s">
        <v>244</v>
      </c>
      <c r="E61">
        <v>343</v>
      </c>
      <c r="F61">
        <v>343</v>
      </c>
      <c r="G61">
        <f>VLOOKUP(A61,PPL!B:M,12,0)</f>
        <v>343</v>
      </c>
      <c r="H61">
        <f t="shared" si="0"/>
        <v>0</v>
      </c>
      <c r="I61" t="b">
        <f t="shared" si="1"/>
        <v>1</v>
      </c>
    </row>
    <row r="62" spans="1:9" x14ac:dyDescent="0.25">
      <c r="A62" t="s">
        <v>307</v>
      </c>
      <c r="B62" t="str">
        <f>VLOOKUP(A62,PPL!B:C,2,0)</f>
        <v>Syerel Sinta Tulus</v>
      </c>
      <c r="C62" t="str">
        <f>VLOOKUP(A62,PPL!B:D,3,0)</f>
        <v>Handoko</v>
      </c>
      <c r="D62" t="s">
        <v>244</v>
      </c>
      <c r="E62">
        <v>383</v>
      </c>
      <c r="F62">
        <v>392</v>
      </c>
      <c r="G62">
        <f>VLOOKUP(A62,PPL!B:M,12,0)</f>
        <v>412</v>
      </c>
      <c r="H62">
        <f t="shared" si="0"/>
        <v>20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324</v>
      </c>
      <c r="F63">
        <v>326</v>
      </c>
      <c r="G63">
        <f>VLOOKUP(A63,PPL!B:M,12,0)</f>
        <v>328</v>
      </c>
      <c r="H63">
        <f t="shared" ref="H63:H125" si="2">G63-F63</f>
        <v>2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378</v>
      </c>
      <c r="F64">
        <v>396</v>
      </c>
      <c r="G64">
        <f>VLOOKUP(A64,PPL!B:M,12,0)</f>
        <v>398</v>
      </c>
      <c r="H64">
        <f t="shared" si="2"/>
        <v>2</v>
      </c>
      <c r="I64" t="b">
        <f t="shared" ref="I64:I126" si="3">E64=G64</f>
        <v>0</v>
      </c>
    </row>
    <row r="65" spans="1:9" x14ac:dyDescent="0.25">
      <c r="A65" t="s">
        <v>310</v>
      </c>
      <c r="B65" t="str">
        <f>VLOOKUP(A65,PPL!B:C,2,0)</f>
        <v>Emy Oktaviani Syah</v>
      </c>
      <c r="C65" t="str">
        <f>VLOOKUP(A65,PPL!B:D,3,0)</f>
        <v>Rudy</v>
      </c>
      <c r="D65" t="s">
        <v>244</v>
      </c>
      <c r="E65">
        <v>305</v>
      </c>
      <c r="F65">
        <v>305</v>
      </c>
      <c r="G65">
        <f>VLOOKUP(A65,PPL!B:M,12,0)</f>
        <v>305</v>
      </c>
      <c r="H65">
        <f t="shared" si="2"/>
        <v>0</v>
      </c>
      <c r="I65" t="b">
        <f t="shared" si="3"/>
        <v>1</v>
      </c>
    </row>
    <row r="66" spans="1:9" x14ac:dyDescent="0.25">
      <c r="A66" t="s">
        <v>311</v>
      </c>
      <c r="B66" t="str">
        <f>VLOOKUP(A66,PPL!B:C,2,0)</f>
        <v>Syerel Sinta Tulus</v>
      </c>
      <c r="C66" t="str">
        <f>VLOOKUP(A66,PPL!B:D,3,0)</f>
        <v>Handoko</v>
      </c>
      <c r="D66" t="s">
        <v>244</v>
      </c>
      <c r="E66">
        <v>292</v>
      </c>
      <c r="F66">
        <v>292</v>
      </c>
      <c r="G66">
        <f>VLOOKUP(A66,PPL!B:M,12,0)</f>
        <v>299</v>
      </c>
      <c r="H66">
        <f t="shared" si="2"/>
        <v>7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263</v>
      </c>
      <c r="F67">
        <v>263</v>
      </c>
      <c r="G67">
        <f>VLOOKUP(A67,PPL!B:M,12,0)</f>
        <v>273</v>
      </c>
      <c r="H67">
        <f t="shared" si="2"/>
        <v>10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225</v>
      </c>
      <c r="F68">
        <v>233</v>
      </c>
      <c r="G68">
        <f>VLOOKUP(A68,PPL!B:M,12,0)</f>
        <v>242</v>
      </c>
      <c r="H68">
        <f t="shared" si="2"/>
        <v>9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263</v>
      </c>
      <c r="F69">
        <v>265</v>
      </c>
      <c r="G69">
        <f>VLOOKUP(A69,PPL!B:M,12,0)</f>
        <v>272</v>
      </c>
      <c r="H69">
        <f t="shared" si="2"/>
        <v>7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276</v>
      </c>
      <c r="F70">
        <v>282</v>
      </c>
      <c r="G70">
        <f>VLOOKUP(A70,PPL!B:M,12,0)</f>
        <v>293</v>
      </c>
      <c r="H70">
        <f t="shared" si="2"/>
        <v>11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287</v>
      </c>
      <c r="F71">
        <v>296</v>
      </c>
      <c r="G71">
        <f>VLOOKUP(A71,PPL!B:M,12,0)</f>
        <v>305</v>
      </c>
      <c r="H71">
        <f t="shared" si="2"/>
        <v>9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252</v>
      </c>
      <c r="F72">
        <v>264</v>
      </c>
      <c r="G72">
        <f>VLOOKUP(A72,PPL!B:M,12,0)</f>
        <v>272</v>
      </c>
      <c r="H72">
        <f t="shared" si="2"/>
        <v>8</v>
      </c>
      <c r="I72" t="b">
        <f t="shared" si="3"/>
        <v>0</v>
      </c>
    </row>
    <row r="73" spans="1:9" x14ac:dyDescent="0.25">
      <c r="A73" t="s">
        <v>396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272</v>
      </c>
      <c r="F73">
        <v>278</v>
      </c>
      <c r="G73">
        <f>VLOOKUP(A73,PPL!B:M,12,0)</f>
        <v>284</v>
      </c>
      <c r="H73">
        <f t="shared" si="2"/>
        <v>6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237</v>
      </c>
      <c r="F74">
        <v>239</v>
      </c>
      <c r="G74">
        <f>VLOOKUP(A74,PPL!B:M,12,0)</f>
        <v>247</v>
      </c>
      <c r="H74">
        <f t="shared" si="2"/>
        <v>8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206</v>
      </c>
      <c r="F75">
        <v>206</v>
      </c>
      <c r="G75">
        <f>VLOOKUP(A75,PPL!B:M,12,0)</f>
        <v>206</v>
      </c>
      <c r="H75">
        <f t="shared" si="2"/>
        <v>0</v>
      </c>
      <c r="I75" t="b">
        <f t="shared" si="3"/>
        <v>1</v>
      </c>
    </row>
    <row r="76" spans="1:9" x14ac:dyDescent="0.25">
      <c r="A76" t="s">
        <v>321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273</v>
      </c>
      <c r="F76">
        <v>279</v>
      </c>
      <c r="G76">
        <f>VLOOKUP(A76,PPL!B:M,12,0)</f>
        <v>281</v>
      </c>
      <c r="H76">
        <f t="shared" si="2"/>
        <v>2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233</v>
      </c>
      <c r="F77">
        <v>246</v>
      </c>
      <c r="G77">
        <f>VLOOKUP(A77,PPL!B:M,12,0)</f>
        <v>246</v>
      </c>
      <c r="H77">
        <f t="shared" si="2"/>
        <v>0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213</v>
      </c>
      <c r="F78">
        <v>213</v>
      </c>
      <c r="G78">
        <f>VLOOKUP(A78,PPL!B:M,12,0)</f>
        <v>226</v>
      </c>
      <c r="H78">
        <f t="shared" si="2"/>
        <v>13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211</v>
      </c>
      <c r="F79">
        <v>217</v>
      </c>
      <c r="G79">
        <f>VLOOKUP(A79,PPL!B:M,12,0)</f>
        <v>230</v>
      </c>
      <c r="H79">
        <f t="shared" si="2"/>
        <v>13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193</v>
      </c>
      <c r="F80">
        <v>198</v>
      </c>
      <c r="G80">
        <f>VLOOKUP(A80,PPL!B:M,12,0)</f>
        <v>213</v>
      </c>
      <c r="H80">
        <f t="shared" si="2"/>
        <v>15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209</v>
      </c>
      <c r="F81">
        <v>211</v>
      </c>
      <c r="G81">
        <f>VLOOKUP(A81,PPL!B:M,12,0)</f>
        <v>212</v>
      </c>
      <c r="H81">
        <f t="shared" si="2"/>
        <v>1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Yuche Lahay</v>
      </c>
      <c r="C82" t="str">
        <f>VLOOKUP(A82,PPL!B:D,3,0)</f>
        <v>Uneth</v>
      </c>
      <c r="D82" t="s">
        <v>244</v>
      </c>
      <c r="E82">
        <v>368</v>
      </c>
      <c r="F82">
        <v>368</v>
      </c>
      <c r="G82">
        <f>VLOOKUP(A82,PPL!B:M,12,0)</f>
        <v>373</v>
      </c>
      <c r="H82">
        <f t="shared" si="2"/>
        <v>5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Nur Ain Entengo</v>
      </c>
      <c r="C83" t="str">
        <f>VLOOKUP(A83,PPL!B:D,3,0)</f>
        <v>Aji</v>
      </c>
      <c r="D83" t="s">
        <v>244</v>
      </c>
      <c r="E83">
        <v>316</v>
      </c>
      <c r="F83">
        <v>315</v>
      </c>
      <c r="G83">
        <f>VLOOKUP(A83,PPL!B:M,12,0)</f>
        <v>316</v>
      </c>
      <c r="H83">
        <f t="shared" si="2"/>
        <v>1</v>
      </c>
      <c r="I83" t="b">
        <f t="shared" si="3"/>
        <v>1</v>
      </c>
    </row>
    <row r="84" spans="1:9" x14ac:dyDescent="0.25">
      <c r="A84" t="s">
        <v>329</v>
      </c>
      <c r="B84" t="str">
        <f>VLOOKUP(A84,PPL!B:C,2,0)</f>
        <v>Erlinda Kirojan</v>
      </c>
      <c r="C84" t="str">
        <f>VLOOKUP(A84,PPL!B:D,3,0)</f>
        <v>Alan</v>
      </c>
      <c r="D84" t="s">
        <v>244</v>
      </c>
      <c r="E84">
        <v>371</v>
      </c>
      <c r="F84">
        <v>378</v>
      </c>
      <c r="G84">
        <f>VLOOKUP(A84,PPL!B:M,12,0)</f>
        <v>378</v>
      </c>
      <c r="H84">
        <f t="shared" si="2"/>
        <v>0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Yuche Lahay</v>
      </c>
      <c r="C85" t="str">
        <f>VLOOKUP(A85,PPL!B:D,3,0)</f>
        <v>Uneth</v>
      </c>
      <c r="D85" t="s">
        <v>244</v>
      </c>
      <c r="E85">
        <v>309</v>
      </c>
      <c r="F85">
        <v>317</v>
      </c>
      <c r="G85">
        <f>VLOOKUP(A85,PPL!B:M,12,0)</f>
        <v>328</v>
      </c>
      <c r="H85">
        <f t="shared" si="2"/>
        <v>11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Nur Ain Entengo</v>
      </c>
      <c r="C86" t="str">
        <f>VLOOKUP(A86,PPL!B:D,3,0)</f>
        <v>Aji</v>
      </c>
      <c r="D86" t="s">
        <v>244</v>
      </c>
      <c r="E86">
        <v>253</v>
      </c>
      <c r="F86">
        <v>254</v>
      </c>
      <c r="G86">
        <f>VLOOKUP(A86,PPL!B:M,12,0)</f>
        <v>255</v>
      </c>
      <c r="H86">
        <f t="shared" si="2"/>
        <v>1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Yuche Lahay</v>
      </c>
      <c r="C87" t="str">
        <f>VLOOKUP(A87,PPL!B:D,3,0)</f>
        <v>Uneth</v>
      </c>
      <c r="D87" t="s">
        <v>244</v>
      </c>
      <c r="E87">
        <v>374</v>
      </c>
      <c r="F87">
        <v>381</v>
      </c>
      <c r="G87">
        <f>VLOOKUP(A87,PPL!B:M,12,0)</f>
        <v>390</v>
      </c>
      <c r="H87">
        <f t="shared" si="2"/>
        <v>9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286</v>
      </c>
      <c r="F88">
        <v>286</v>
      </c>
      <c r="G88">
        <f>VLOOKUP(A88,PPL!B:M,12,0)</f>
        <v>272</v>
      </c>
      <c r="H88">
        <f t="shared" si="2"/>
        <v>-14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Erlinda Kirojan</v>
      </c>
      <c r="C89" t="str">
        <f>VLOOKUP(A89,PPL!B:D,3,0)</f>
        <v>Alan</v>
      </c>
      <c r="D89" t="s">
        <v>244</v>
      </c>
      <c r="E89">
        <v>296</v>
      </c>
      <c r="F89">
        <v>303</v>
      </c>
      <c r="G89">
        <f>VLOOKUP(A89,PPL!B:M,12,0)</f>
        <v>303</v>
      </c>
      <c r="H89">
        <f t="shared" si="2"/>
        <v>0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330</v>
      </c>
      <c r="F90">
        <v>333</v>
      </c>
      <c r="G90">
        <f>VLOOKUP(A90,PPL!B:M,12,0)</f>
        <v>336</v>
      </c>
      <c r="H90">
        <f t="shared" si="2"/>
        <v>3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Nur Ain Entengo</v>
      </c>
      <c r="C91" t="str">
        <f>VLOOKUP(A91,PPL!B:D,3,0)</f>
        <v>Aji</v>
      </c>
      <c r="D91" t="s">
        <v>244</v>
      </c>
      <c r="E91">
        <v>346</v>
      </c>
      <c r="F91">
        <v>346</v>
      </c>
      <c r="G91">
        <f>VLOOKUP(A91,PPL!B:M,12,0)</f>
        <v>348</v>
      </c>
      <c r="H91">
        <f t="shared" si="2"/>
        <v>2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273</v>
      </c>
      <c r="F92">
        <v>273</v>
      </c>
      <c r="G92">
        <f>VLOOKUP(A92,PPL!B:M,12,0)</f>
        <v>273</v>
      </c>
      <c r="H92">
        <f t="shared" si="2"/>
        <v>0</v>
      </c>
      <c r="I92" t="b">
        <f t="shared" si="3"/>
        <v>1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314</v>
      </c>
      <c r="F93">
        <v>337</v>
      </c>
      <c r="G93">
        <f>VLOOKUP(A93,PPL!B:M,12,0)</f>
        <v>337</v>
      </c>
      <c r="H93">
        <f t="shared" si="2"/>
        <v>0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Erlinda Kirojan</v>
      </c>
      <c r="C94" t="str">
        <f>VLOOKUP(A94,PPL!B:D,3,0)</f>
        <v>Alan</v>
      </c>
      <c r="D94" t="s">
        <v>244</v>
      </c>
      <c r="E94">
        <v>328</v>
      </c>
      <c r="F94">
        <v>331</v>
      </c>
      <c r="G94">
        <f>VLOOKUP(A94,PPL!B:M,12,0)</f>
        <v>331</v>
      </c>
      <c r="H94">
        <f t="shared" si="2"/>
        <v>0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454</v>
      </c>
      <c r="F95">
        <v>467</v>
      </c>
      <c r="G95">
        <f>VLOOKUP(A95,PPL!B:M,12,0)</f>
        <v>473</v>
      </c>
      <c r="H95">
        <f t="shared" si="2"/>
        <v>6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Yuche Lahay</v>
      </c>
      <c r="C96" t="str">
        <f>VLOOKUP(A96,PPL!B:D,3,0)</f>
        <v>Uneth</v>
      </c>
      <c r="D96" t="s">
        <v>244</v>
      </c>
      <c r="E96">
        <v>394</v>
      </c>
      <c r="F96">
        <v>421</v>
      </c>
      <c r="G96">
        <f>VLOOKUP(A96,PPL!B:M,12,0)</f>
        <v>438</v>
      </c>
      <c r="H96">
        <f t="shared" si="2"/>
        <v>17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272</v>
      </c>
      <c r="F97">
        <v>273</v>
      </c>
      <c r="G97">
        <f>VLOOKUP(A97,PPL!B:M,12,0)</f>
        <v>275</v>
      </c>
      <c r="H97">
        <f t="shared" si="2"/>
        <v>2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323</v>
      </c>
      <c r="F98">
        <v>327</v>
      </c>
      <c r="G98">
        <f>VLOOKUP(A98,PPL!B:M,12,0)</f>
        <v>331</v>
      </c>
      <c r="H98">
        <f t="shared" si="2"/>
        <v>4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273</v>
      </c>
      <c r="F99">
        <v>273</v>
      </c>
      <c r="G99">
        <f>VLOOKUP(A99,PPL!B:M,12,0)</f>
        <v>273</v>
      </c>
      <c r="H99">
        <f t="shared" si="2"/>
        <v>0</v>
      </c>
      <c r="I99" t="b">
        <f t="shared" si="3"/>
        <v>1</v>
      </c>
    </row>
    <row r="100" spans="1:9" x14ac:dyDescent="0.25">
      <c r="A100" t="s">
        <v>345</v>
      </c>
      <c r="B100" t="str">
        <f>VLOOKUP(A100,PPL!B:C,2,0)</f>
        <v>Nur Ain Entengo</v>
      </c>
      <c r="C100" t="str">
        <f>VLOOKUP(A100,PPL!B:D,3,0)</f>
        <v>Aji</v>
      </c>
      <c r="D100" t="s">
        <v>244</v>
      </c>
      <c r="E100">
        <v>333</v>
      </c>
      <c r="F100">
        <v>347</v>
      </c>
      <c r="G100">
        <f>VLOOKUP(A100,PPL!B:M,12,0)</f>
        <v>364</v>
      </c>
      <c r="H100">
        <f t="shared" si="2"/>
        <v>17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413</v>
      </c>
      <c r="F101">
        <v>423</v>
      </c>
      <c r="G101">
        <f>VLOOKUP(A101,PPL!B:M,12,0)</f>
        <v>438</v>
      </c>
      <c r="H101">
        <f t="shared" si="2"/>
        <v>15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614</v>
      </c>
      <c r="F102">
        <v>616</v>
      </c>
      <c r="G102">
        <f>VLOOKUP(A102,PPL!B:M,12,0)</f>
        <v>636</v>
      </c>
      <c r="H102">
        <f t="shared" si="2"/>
        <v>20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Jayanty Indrianna Gaghansa</v>
      </c>
      <c r="C103" t="str">
        <f>VLOOKUP(A103,PPL!B:D,3,0)</f>
        <v>Gabe</v>
      </c>
      <c r="D103" t="s">
        <v>244</v>
      </c>
      <c r="E103">
        <v>296</v>
      </c>
      <c r="F103">
        <v>305</v>
      </c>
      <c r="G103">
        <f>VLOOKUP(A103,PPL!B:M,12,0)</f>
        <v>311</v>
      </c>
      <c r="H103">
        <f t="shared" si="2"/>
        <v>6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Jayanty Indrianna Gaghansa</v>
      </c>
      <c r="C104" t="str">
        <f>VLOOKUP(A104,PPL!B:D,3,0)</f>
        <v>Gabe</v>
      </c>
      <c r="D104" t="s">
        <v>244</v>
      </c>
      <c r="E104">
        <v>434</v>
      </c>
      <c r="F104">
        <v>435</v>
      </c>
      <c r="G104">
        <f>VLOOKUP(A104,PPL!B:M,12,0)</f>
        <v>449</v>
      </c>
      <c r="H104">
        <f t="shared" si="2"/>
        <v>14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Grace Marchel Theresia Senduk</v>
      </c>
      <c r="C105" t="str">
        <f>VLOOKUP(A105,PPL!B:D,3,0)</f>
        <v>Neivrid</v>
      </c>
      <c r="D105" t="s">
        <v>244</v>
      </c>
      <c r="E105">
        <v>389</v>
      </c>
      <c r="F105">
        <v>428</v>
      </c>
      <c r="G105">
        <f>VLOOKUP(A105,PPL!B:M,12,0)</f>
        <v>429</v>
      </c>
      <c r="H105">
        <f t="shared" si="2"/>
        <v>1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383</v>
      </c>
      <c r="F106">
        <v>389</v>
      </c>
      <c r="G106">
        <f>VLOOKUP(A106,PPL!B:M,12,0)</f>
        <v>400</v>
      </c>
      <c r="H106">
        <f t="shared" si="2"/>
        <v>11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352</v>
      </c>
      <c r="F107">
        <v>364</v>
      </c>
      <c r="G107">
        <f>VLOOKUP(A107,PPL!B:M,12,0)</f>
        <v>371</v>
      </c>
      <c r="H107">
        <f t="shared" si="2"/>
        <v>7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404</v>
      </c>
      <c r="F108">
        <v>416</v>
      </c>
      <c r="G108">
        <f>VLOOKUP(A108,PPL!B:M,12,0)</f>
        <v>443</v>
      </c>
      <c r="H108">
        <f t="shared" si="2"/>
        <v>27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317</v>
      </c>
      <c r="F109">
        <v>317</v>
      </c>
      <c r="G109">
        <f>VLOOKUP(A109,PPL!B:M,12,0)</f>
        <v>322</v>
      </c>
      <c r="H109">
        <f t="shared" si="2"/>
        <v>5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291</v>
      </c>
      <c r="F110">
        <v>297</v>
      </c>
      <c r="G110">
        <f>VLOOKUP(A110,PPL!B:M,12,0)</f>
        <v>297</v>
      </c>
      <c r="H110">
        <f t="shared" si="2"/>
        <v>0</v>
      </c>
      <c r="I110" t="b">
        <f t="shared" si="3"/>
        <v>0</v>
      </c>
    </row>
    <row r="111" spans="1:9" x14ac:dyDescent="0.25">
      <c r="A111" t="s">
        <v>979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360</v>
      </c>
      <c r="F111">
        <v>364</v>
      </c>
      <c r="G111">
        <f>VLOOKUP(A111,PPL!B:M,12,0)</f>
        <v>380</v>
      </c>
      <c r="H111">
        <f t="shared" si="2"/>
        <v>16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325</v>
      </c>
      <c r="F112">
        <v>325</v>
      </c>
      <c r="G112">
        <f>VLOOKUP(A112,PPL!B:M,12,0)</f>
        <v>325</v>
      </c>
      <c r="H112">
        <f t="shared" si="2"/>
        <v>0</v>
      </c>
      <c r="I112" t="b">
        <f t="shared" si="3"/>
        <v>1</v>
      </c>
    </row>
    <row r="113" spans="1:9" x14ac:dyDescent="0.25">
      <c r="A113" t="s">
        <v>357</v>
      </c>
      <c r="B113" t="str">
        <f>VLOOKUP(A113,PPL!B:C,2,0)</f>
        <v>Jayanty Indrianna Gaghansa</v>
      </c>
      <c r="C113" t="str">
        <f>VLOOKUP(A113,PPL!B:D,3,0)</f>
        <v>Gabe</v>
      </c>
      <c r="D113" t="s">
        <v>244</v>
      </c>
      <c r="E113">
        <v>373</v>
      </c>
      <c r="F113">
        <v>375</v>
      </c>
      <c r="G113">
        <f>VLOOKUP(A113,PPL!B:M,12,0)</f>
        <v>375</v>
      </c>
      <c r="H113">
        <f t="shared" si="2"/>
        <v>0</v>
      </c>
      <c r="I113" t="b">
        <f t="shared" si="3"/>
        <v>0</v>
      </c>
    </row>
    <row r="114" spans="1:9" x14ac:dyDescent="0.25">
      <c r="A114" t="s">
        <v>358</v>
      </c>
      <c r="B114" t="str">
        <f>VLOOKUP(A114,PPL!B:C,2,0)</f>
        <v>Jayanty Indrianna Gaghansa</v>
      </c>
      <c r="C114" t="str">
        <f>VLOOKUP(A114,PPL!B:D,3,0)</f>
        <v>Gabe</v>
      </c>
      <c r="D114" t="s">
        <v>244</v>
      </c>
      <c r="E114">
        <v>267</v>
      </c>
      <c r="F114">
        <v>267</v>
      </c>
      <c r="G114">
        <f>VLOOKUP(A114,PPL!B:M,12,0)</f>
        <v>308</v>
      </c>
      <c r="H114">
        <f t="shared" si="2"/>
        <v>41</v>
      </c>
      <c r="I114" t="b">
        <f t="shared" si="3"/>
        <v>0</v>
      </c>
    </row>
    <row r="115" spans="1:9" x14ac:dyDescent="0.25">
      <c r="A115" t="s">
        <v>359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406</v>
      </c>
      <c r="F115">
        <v>406</v>
      </c>
      <c r="G115">
        <f>VLOOKUP(A115,PPL!B:M,12,0)</f>
        <v>406</v>
      </c>
      <c r="H115">
        <f t="shared" si="2"/>
        <v>0</v>
      </c>
      <c r="I115" t="b">
        <f t="shared" si="3"/>
        <v>1</v>
      </c>
    </row>
    <row r="116" spans="1:9" x14ac:dyDescent="0.25">
      <c r="A116" t="s">
        <v>360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417</v>
      </c>
      <c r="F116">
        <v>423</v>
      </c>
      <c r="G116">
        <f>VLOOKUP(A116,PPL!B:M,12,0)</f>
        <v>424</v>
      </c>
      <c r="H116">
        <f t="shared" si="2"/>
        <v>1</v>
      </c>
      <c r="I116" t="b">
        <f t="shared" si="3"/>
        <v>0</v>
      </c>
    </row>
    <row r="117" spans="1:9" x14ac:dyDescent="0.25">
      <c r="A117" t="s">
        <v>361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460</v>
      </c>
      <c r="F117">
        <v>486</v>
      </c>
      <c r="G117">
        <f>VLOOKUP(A117,PPL!B:M,12,0)</f>
        <v>493</v>
      </c>
      <c r="H117">
        <f t="shared" si="2"/>
        <v>7</v>
      </c>
      <c r="I117" t="b">
        <f t="shared" si="3"/>
        <v>0</v>
      </c>
    </row>
    <row r="118" spans="1:9" x14ac:dyDescent="0.25">
      <c r="A118" t="s">
        <v>362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308</v>
      </c>
      <c r="F118">
        <v>322</v>
      </c>
      <c r="G118">
        <f>VLOOKUP(A118,PPL!B:M,12,0)</f>
        <v>332</v>
      </c>
      <c r="H118">
        <f t="shared" si="2"/>
        <v>10</v>
      </c>
      <c r="I118" t="b">
        <f t="shared" si="3"/>
        <v>0</v>
      </c>
    </row>
    <row r="119" spans="1:9" x14ac:dyDescent="0.25">
      <c r="A119" t="s">
        <v>363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385</v>
      </c>
      <c r="F119">
        <v>393</v>
      </c>
      <c r="G119">
        <f>VLOOKUP(A119,PPL!B:M,12,0)</f>
        <v>396</v>
      </c>
      <c r="H119">
        <f t="shared" si="2"/>
        <v>3</v>
      </c>
      <c r="I119" t="b">
        <f t="shared" si="3"/>
        <v>0</v>
      </c>
    </row>
    <row r="120" spans="1:9" x14ac:dyDescent="0.25">
      <c r="A120" t="s">
        <v>364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381</v>
      </c>
      <c r="F120">
        <v>395</v>
      </c>
      <c r="G120">
        <f>VLOOKUP(A120,PPL!B:M,12,0)</f>
        <v>396</v>
      </c>
      <c r="H120">
        <f t="shared" si="2"/>
        <v>1</v>
      </c>
      <c r="I120" t="b">
        <f t="shared" si="3"/>
        <v>0</v>
      </c>
    </row>
    <row r="121" spans="1:9" x14ac:dyDescent="0.25">
      <c r="A121" t="s">
        <v>365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332</v>
      </c>
      <c r="F121">
        <v>333</v>
      </c>
      <c r="G121">
        <f>VLOOKUP(A121,PPL!B:M,12,0)</f>
        <v>333</v>
      </c>
      <c r="H121">
        <f t="shared" si="2"/>
        <v>0</v>
      </c>
      <c r="I121" t="b">
        <f t="shared" si="3"/>
        <v>0</v>
      </c>
    </row>
    <row r="122" spans="1:9" x14ac:dyDescent="0.25">
      <c r="A122" t="s">
        <v>366</v>
      </c>
      <c r="B122" t="str">
        <f>VLOOKUP(A122,PPL!B:C,2,0)</f>
        <v>Lidia Bawonte</v>
      </c>
      <c r="C122" t="str">
        <f>VLOOKUP(A122,PPL!B:D,3,0)</f>
        <v>Saul</v>
      </c>
      <c r="D122" t="s">
        <v>244</v>
      </c>
      <c r="E122">
        <v>272</v>
      </c>
      <c r="F122">
        <v>276</v>
      </c>
      <c r="G122">
        <f>VLOOKUP(A122,PPL!B:M,12,0)</f>
        <v>279</v>
      </c>
      <c r="H122">
        <f t="shared" si="2"/>
        <v>3</v>
      </c>
      <c r="I122" t="b">
        <f t="shared" si="3"/>
        <v>0</v>
      </c>
    </row>
    <row r="123" spans="1:9" x14ac:dyDescent="0.25">
      <c r="A123" t="s">
        <v>367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284</v>
      </c>
      <c r="F123">
        <v>284</v>
      </c>
      <c r="G123">
        <f>VLOOKUP(A123,PPL!B:M,12,0)</f>
        <v>290</v>
      </c>
      <c r="H123">
        <f t="shared" si="2"/>
        <v>6</v>
      </c>
      <c r="I123" t="b">
        <f t="shared" si="3"/>
        <v>0</v>
      </c>
    </row>
    <row r="124" spans="1:9" x14ac:dyDescent="0.25">
      <c r="A124" t="s">
        <v>368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317</v>
      </c>
      <c r="F124">
        <v>357</v>
      </c>
      <c r="G124">
        <f>VLOOKUP(A124,PPL!B:M,12,0)</f>
        <v>357</v>
      </c>
      <c r="H124">
        <f t="shared" si="2"/>
        <v>0</v>
      </c>
      <c r="I124" t="b">
        <f t="shared" si="3"/>
        <v>0</v>
      </c>
    </row>
    <row r="125" spans="1:9" x14ac:dyDescent="0.25">
      <c r="A125" t="s">
        <v>369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328</v>
      </c>
      <c r="F125">
        <v>328</v>
      </c>
      <c r="G125">
        <f>VLOOKUP(A125,PPL!B:M,12,0)</f>
        <v>345</v>
      </c>
      <c r="H125">
        <f t="shared" si="2"/>
        <v>17</v>
      </c>
      <c r="I125" t="b">
        <f t="shared" si="3"/>
        <v>0</v>
      </c>
    </row>
    <row r="126" spans="1:9" x14ac:dyDescent="0.25">
      <c r="A126" t="s">
        <v>370</v>
      </c>
      <c r="B126" t="str">
        <f>VLOOKUP(A126,PPL!B:C,2,0)</f>
        <v>Deasy Natalia Hengkeng</v>
      </c>
      <c r="C126" t="str">
        <f>VLOOKUP(A126,PPL!B:D,3,0)</f>
        <v>Alfian</v>
      </c>
      <c r="D126" t="s">
        <v>244</v>
      </c>
      <c r="E126">
        <v>272</v>
      </c>
      <c r="F126">
        <v>287</v>
      </c>
      <c r="G126">
        <f>VLOOKUP(A126,PPL!B:M,12,0)</f>
        <v>302</v>
      </c>
      <c r="H126">
        <f t="shared" ref="H126:H153" si="4">G126-F126</f>
        <v>15</v>
      </c>
      <c r="I126" t="b">
        <f t="shared" si="3"/>
        <v>0</v>
      </c>
    </row>
    <row r="127" spans="1:9" x14ac:dyDescent="0.25">
      <c r="A127" t="s">
        <v>371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272</v>
      </c>
      <c r="F127">
        <v>277</v>
      </c>
      <c r="G127">
        <f>VLOOKUP(A127,PPL!B:M,12,0)</f>
        <v>277</v>
      </c>
      <c r="H127">
        <f t="shared" si="4"/>
        <v>0</v>
      </c>
      <c r="I127" t="b">
        <f t="shared" ref="I127:I153" si="5">E127=G127</f>
        <v>0</v>
      </c>
    </row>
    <row r="128" spans="1:9" x14ac:dyDescent="0.25">
      <c r="A128" t="s">
        <v>372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349</v>
      </c>
      <c r="F128">
        <v>357</v>
      </c>
      <c r="G128">
        <f>VLOOKUP(A128,PPL!B:M,12,0)</f>
        <v>377</v>
      </c>
      <c r="H128">
        <f t="shared" si="4"/>
        <v>20</v>
      </c>
      <c r="I128" t="b">
        <f t="shared" si="5"/>
        <v>0</v>
      </c>
    </row>
    <row r="129" spans="1:9" x14ac:dyDescent="0.25">
      <c r="A129" t="s">
        <v>373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280</v>
      </c>
      <c r="F129">
        <v>294</v>
      </c>
      <c r="G129">
        <f>VLOOKUP(A129,PPL!B:M,12,0)</f>
        <v>299</v>
      </c>
      <c r="H129">
        <f t="shared" si="4"/>
        <v>5</v>
      </c>
      <c r="I129" t="b">
        <f t="shared" si="5"/>
        <v>0</v>
      </c>
    </row>
    <row r="130" spans="1:9" x14ac:dyDescent="0.25">
      <c r="A130" t="s">
        <v>374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270</v>
      </c>
      <c r="F130">
        <v>283</v>
      </c>
      <c r="G130">
        <f>VLOOKUP(A130,PPL!B:M,12,0)</f>
        <v>288</v>
      </c>
      <c r="H130">
        <f t="shared" si="4"/>
        <v>5</v>
      </c>
      <c r="I130" t="b">
        <f t="shared" si="5"/>
        <v>0</v>
      </c>
    </row>
    <row r="131" spans="1:9" x14ac:dyDescent="0.25">
      <c r="A131" t="s">
        <v>375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386</v>
      </c>
      <c r="F131">
        <v>399</v>
      </c>
      <c r="G131">
        <f>VLOOKUP(A131,PPL!B:M,12,0)</f>
        <v>408</v>
      </c>
      <c r="H131">
        <f t="shared" si="4"/>
        <v>9</v>
      </c>
      <c r="I131" t="b">
        <f t="shared" si="5"/>
        <v>0</v>
      </c>
    </row>
    <row r="132" spans="1:9" x14ac:dyDescent="0.25">
      <c r="A132" t="s">
        <v>376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373</v>
      </c>
      <c r="F132">
        <v>378</v>
      </c>
      <c r="G132">
        <f>VLOOKUP(A132,PPL!B:M,12,0)</f>
        <v>382</v>
      </c>
      <c r="H132">
        <f t="shared" si="4"/>
        <v>4</v>
      </c>
      <c r="I132" t="b">
        <f t="shared" si="5"/>
        <v>0</v>
      </c>
    </row>
    <row r="133" spans="1:9" x14ac:dyDescent="0.25">
      <c r="A133" t="s">
        <v>377</v>
      </c>
      <c r="B133" t="str">
        <f>VLOOKUP(A133,PPL!B:C,2,0)</f>
        <v>Lidia Bawonte</v>
      </c>
      <c r="C133" t="str">
        <f>VLOOKUP(A133,PPL!B:D,3,0)</f>
        <v>Saul</v>
      </c>
      <c r="D133" t="s">
        <v>244</v>
      </c>
      <c r="E133">
        <v>367</v>
      </c>
      <c r="F133">
        <v>380</v>
      </c>
      <c r="G133">
        <f>VLOOKUP(A133,PPL!B:M,12,0)</f>
        <v>384</v>
      </c>
      <c r="H133">
        <f t="shared" si="4"/>
        <v>4</v>
      </c>
      <c r="I133" t="b">
        <f t="shared" si="5"/>
        <v>0</v>
      </c>
    </row>
    <row r="134" spans="1:9" x14ac:dyDescent="0.25">
      <c r="A134" t="s">
        <v>385</v>
      </c>
      <c r="B134" t="str">
        <f>VLOOKUP(A134,PPL!B:C,2,0)</f>
        <v>Deasy Natalia Hengkeng</v>
      </c>
      <c r="C134" t="str">
        <f>VLOOKUP(A134,PPL!B:D,3,0)</f>
        <v>Alfian</v>
      </c>
      <c r="D134" t="s">
        <v>244</v>
      </c>
      <c r="E134">
        <v>477</v>
      </c>
      <c r="F134">
        <v>484</v>
      </c>
      <c r="G134">
        <f>VLOOKUP(A134,PPL!B:M,12,0)</f>
        <v>484</v>
      </c>
      <c r="H134">
        <f t="shared" si="4"/>
        <v>0</v>
      </c>
      <c r="I134" t="b">
        <f t="shared" si="5"/>
        <v>0</v>
      </c>
    </row>
    <row r="135" spans="1:9" x14ac:dyDescent="0.25">
      <c r="A135" t="s">
        <v>162</v>
      </c>
      <c r="B135" t="s">
        <v>383</v>
      </c>
      <c r="C135" t="str">
        <f>VLOOKUP(A135,PML!A:B,2,0)</f>
        <v>Meidy</v>
      </c>
      <c r="D135" t="s">
        <v>245</v>
      </c>
      <c r="E135">
        <v>2052</v>
      </c>
      <c r="F135">
        <v>2052</v>
      </c>
      <c r="G135">
        <f>VLOOKUP(A135,PML!A:K,11,0)</f>
        <v>2052</v>
      </c>
      <c r="H135">
        <f t="shared" si="4"/>
        <v>0</v>
      </c>
      <c r="I135" t="b">
        <f t="shared" si="5"/>
        <v>1</v>
      </c>
    </row>
    <row r="136" spans="1:9" x14ac:dyDescent="0.25">
      <c r="A136" t="s">
        <v>163</v>
      </c>
      <c r="B136" t="s">
        <v>383</v>
      </c>
      <c r="C136" t="str">
        <f>VLOOKUP(A136,PML!A:B,2,0)</f>
        <v>Lasimran</v>
      </c>
      <c r="D136" t="s">
        <v>245</v>
      </c>
      <c r="E136">
        <v>2267</v>
      </c>
      <c r="F136">
        <v>2286</v>
      </c>
      <c r="G136">
        <f>VLOOKUP(A136,PML!A:K,11,0)</f>
        <v>2287</v>
      </c>
      <c r="H136">
        <f t="shared" si="4"/>
        <v>1</v>
      </c>
      <c r="I136" t="b">
        <f t="shared" si="5"/>
        <v>0</v>
      </c>
    </row>
    <row r="137" spans="1:9" x14ac:dyDescent="0.25">
      <c r="A137" t="s">
        <v>164</v>
      </c>
      <c r="B137" t="s">
        <v>383</v>
      </c>
      <c r="C137" t="str">
        <f>VLOOKUP(A137,PML!A:B,2,0)</f>
        <v>Oliv</v>
      </c>
      <c r="D137" t="s">
        <v>245</v>
      </c>
      <c r="E137">
        <v>2224</v>
      </c>
      <c r="F137">
        <v>2226</v>
      </c>
      <c r="G137">
        <f>VLOOKUP(A137,PML!A:K,11,0)</f>
        <v>2224</v>
      </c>
      <c r="H137">
        <f t="shared" si="4"/>
        <v>-2</v>
      </c>
      <c r="I137" t="b">
        <f t="shared" si="5"/>
        <v>1</v>
      </c>
    </row>
    <row r="138" spans="1:9" x14ac:dyDescent="0.25">
      <c r="A138" t="s">
        <v>165</v>
      </c>
      <c r="B138" t="s">
        <v>383</v>
      </c>
      <c r="C138" t="str">
        <f>VLOOKUP(A138,PML!A:B,2,0)</f>
        <v>Vera</v>
      </c>
      <c r="D138" t="s">
        <v>245</v>
      </c>
      <c r="E138">
        <v>2601</v>
      </c>
      <c r="F138">
        <v>2601</v>
      </c>
      <c r="G138">
        <f>VLOOKUP(A138,PML!A:K,11,0)</f>
        <v>2614</v>
      </c>
      <c r="H138">
        <f t="shared" si="4"/>
        <v>13</v>
      </c>
      <c r="I138" t="b">
        <f t="shared" si="5"/>
        <v>0</v>
      </c>
    </row>
    <row r="139" spans="1:9" x14ac:dyDescent="0.25">
      <c r="A139" t="s">
        <v>166</v>
      </c>
      <c r="B139" t="s">
        <v>383</v>
      </c>
      <c r="C139" t="str">
        <f>VLOOKUP(A139,PML!A:B,2,0)</f>
        <v>NurAlamsyah</v>
      </c>
      <c r="D139" t="s">
        <v>245</v>
      </c>
      <c r="E139">
        <v>2534</v>
      </c>
      <c r="F139">
        <v>2536</v>
      </c>
      <c r="G139">
        <f>VLOOKUP(A139,PML!A:K,11,0)</f>
        <v>2615</v>
      </c>
      <c r="H139">
        <f t="shared" si="4"/>
        <v>79</v>
      </c>
      <c r="I139" t="b">
        <f t="shared" si="5"/>
        <v>0</v>
      </c>
    </row>
    <row r="140" spans="1:9" x14ac:dyDescent="0.25">
      <c r="A140" t="s">
        <v>167</v>
      </c>
      <c r="B140" t="s">
        <v>383</v>
      </c>
      <c r="C140" t="str">
        <f>VLOOKUP(A140,PML!A:B,2,0)</f>
        <v>Firly</v>
      </c>
      <c r="D140" t="s">
        <v>245</v>
      </c>
      <c r="E140">
        <v>1956</v>
      </c>
      <c r="F140">
        <v>2246</v>
      </c>
      <c r="G140">
        <f>VLOOKUP(A140,PML!A:K,11,0)</f>
        <v>2267</v>
      </c>
      <c r="H140">
        <f t="shared" si="4"/>
        <v>21</v>
      </c>
      <c r="I140" t="b">
        <f t="shared" si="5"/>
        <v>0</v>
      </c>
    </row>
    <row r="141" spans="1:9" x14ac:dyDescent="0.25">
      <c r="A141" t="s">
        <v>168</v>
      </c>
      <c r="B141" t="s">
        <v>383</v>
      </c>
      <c r="C141" t="str">
        <f>VLOOKUP(A141,PML!A:B,2,0)</f>
        <v>Handoko</v>
      </c>
      <c r="D141" t="s">
        <v>245</v>
      </c>
      <c r="E141">
        <v>2152</v>
      </c>
      <c r="F141">
        <v>2210</v>
      </c>
      <c r="G141">
        <f>VLOOKUP(A141,PML!A:K,11,0)</f>
        <v>2245</v>
      </c>
      <c r="H141">
        <f t="shared" si="4"/>
        <v>35</v>
      </c>
      <c r="I141" t="b">
        <f t="shared" si="5"/>
        <v>0</v>
      </c>
    </row>
    <row r="142" spans="1:9" x14ac:dyDescent="0.25">
      <c r="A142" t="s">
        <v>169</v>
      </c>
      <c r="B142" t="s">
        <v>383</v>
      </c>
      <c r="C142" t="str">
        <f>VLOOKUP(A142,PML!A:B,2,0)</f>
        <v>Rudy</v>
      </c>
      <c r="D142" t="s">
        <v>245</v>
      </c>
      <c r="E142">
        <v>2422</v>
      </c>
      <c r="F142">
        <v>2472</v>
      </c>
      <c r="G142">
        <f>VLOOKUP(A142,PML!A:K,11,0)</f>
        <v>2515</v>
      </c>
      <c r="H142">
        <f t="shared" si="4"/>
        <v>43</v>
      </c>
      <c r="I142" t="b">
        <f t="shared" si="5"/>
        <v>0</v>
      </c>
    </row>
    <row r="143" spans="1:9" x14ac:dyDescent="0.25">
      <c r="A143" t="s">
        <v>170</v>
      </c>
      <c r="B143" t="s">
        <v>383</v>
      </c>
      <c r="C143" t="str">
        <f>VLOOKUP(A143,PML!A:B,2,0)</f>
        <v>Iska</v>
      </c>
      <c r="D143" t="s">
        <v>245</v>
      </c>
      <c r="E143">
        <v>2577</v>
      </c>
      <c r="F143">
        <v>2585</v>
      </c>
      <c r="G143">
        <f>VLOOKUP(A143,PML!A:K,11,0)</f>
        <v>2599</v>
      </c>
      <c r="H143">
        <f t="shared" si="4"/>
        <v>14</v>
      </c>
      <c r="I143" t="b">
        <f t="shared" si="5"/>
        <v>0</v>
      </c>
    </row>
    <row r="144" spans="1:9" x14ac:dyDescent="0.25">
      <c r="A144" t="s">
        <v>171</v>
      </c>
      <c r="B144" t="s">
        <v>383</v>
      </c>
      <c r="C144" t="str">
        <f>VLOOKUP(A144,PML!A:B,2,0)</f>
        <v>Puput</v>
      </c>
      <c r="D144" t="s">
        <v>245</v>
      </c>
      <c r="E144">
        <v>1909</v>
      </c>
      <c r="F144">
        <v>1953</v>
      </c>
      <c r="G144">
        <f>VLOOKUP(A144,PML!A:K,11,0)</f>
        <v>1966</v>
      </c>
      <c r="H144">
        <f t="shared" si="4"/>
        <v>13</v>
      </c>
      <c r="I144" t="b">
        <f t="shared" si="5"/>
        <v>0</v>
      </c>
    </row>
    <row r="145" spans="1:9" x14ac:dyDescent="0.25">
      <c r="A145" t="s">
        <v>172</v>
      </c>
      <c r="B145" t="s">
        <v>383</v>
      </c>
      <c r="C145" t="str">
        <f>VLOOKUP(A145,PML!A:B,2,0)</f>
        <v>Ijan</v>
      </c>
      <c r="D145" t="s">
        <v>245</v>
      </c>
      <c r="E145">
        <v>1607</v>
      </c>
      <c r="F145">
        <v>1616</v>
      </c>
      <c r="G145">
        <f>VLOOKUP(A145,PML!A:K,11,0)</f>
        <v>1619</v>
      </c>
      <c r="H145">
        <f t="shared" si="4"/>
        <v>3</v>
      </c>
      <c r="I145" t="b">
        <f t="shared" si="5"/>
        <v>0</v>
      </c>
    </row>
    <row r="146" spans="1:9" x14ac:dyDescent="0.25">
      <c r="A146" t="s">
        <v>173</v>
      </c>
      <c r="B146" t="s">
        <v>383</v>
      </c>
      <c r="C146" t="str">
        <f>VLOOKUP(A146,PML!A:B,2,0)</f>
        <v>Uneth</v>
      </c>
      <c r="D146" t="s">
        <v>245</v>
      </c>
      <c r="E146">
        <v>1992</v>
      </c>
      <c r="F146">
        <v>2039</v>
      </c>
      <c r="G146">
        <f>VLOOKUP(A146,PML!A:K,11,0)</f>
        <v>2052</v>
      </c>
      <c r="H146">
        <f t="shared" si="4"/>
        <v>13</v>
      </c>
      <c r="I146" t="b">
        <f t="shared" si="5"/>
        <v>0</v>
      </c>
    </row>
    <row r="147" spans="1:9" x14ac:dyDescent="0.25">
      <c r="A147" t="s">
        <v>174</v>
      </c>
      <c r="B147" t="s">
        <v>383</v>
      </c>
      <c r="C147" t="str">
        <f>VLOOKUP(A147,PML!A:B,2,0)</f>
        <v>Aji</v>
      </c>
      <c r="D147" t="s">
        <v>245</v>
      </c>
      <c r="E147">
        <v>1672</v>
      </c>
      <c r="F147">
        <v>1674</v>
      </c>
      <c r="G147">
        <f>VLOOKUP(A147,PML!A:K,11,0)</f>
        <v>1679</v>
      </c>
      <c r="H147">
        <f t="shared" si="4"/>
        <v>5</v>
      </c>
      <c r="I147" t="b">
        <f t="shared" si="5"/>
        <v>0</v>
      </c>
    </row>
    <row r="148" spans="1:9" x14ac:dyDescent="0.25">
      <c r="A148" t="s">
        <v>175</v>
      </c>
      <c r="B148" t="s">
        <v>383</v>
      </c>
      <c r="C148" t="str">
        <f>VLOOKUP(A148,PML!A:B,2,0)</f>
        <v>Alan</v>
      </c>
      <c r="D148" t="s">
        <v>245</v>
      </c>
      <c r="E148">
        <v>1645</v>
      </c>
      <c r="F148">
        <v>1644</v>
      </c>
      <c r="G148">
        <f>VLOOKUP(A148,PML!A:K,11,0)</f>
        <v>1718</v>
      </c>
      <c r="H148">
        <f t="shared" si="4"/>
        <v>74</v>
      </c>
      <c r="I148" t="b">
        <f t="shared" si="5"/>
        <v>0</v>
      </c>
    </row>
    <row r="149" spans="1:9" x14ac:dyDescent="0.25">
      <c r="A149" t="s">
        <v>176</v>
      </c>
      <c r="B149" t="s">
        <v>383</v>
      </c>
      <c r="C149" t="str">
        <f>VLOOKUP(A149,PML!A:B,2,0)</f>
        <v>Gabe</v>
      </c>
      <c r="D149" t="s">
        <v>245</v>
      </c>
      <c r="E149">
        <v>2632</v>
      </c>
      <c r="F149">
        <v>2658</v>
      </c>
      <c r="G149">
        <f>VLOOKUP(A149,PML!A:K,11,0)</f>
        <v>2687</v>
      </c>
      <c r="H149">
        <f t="shared" si="4"/>
        <v>29</v>
      </c>
      <c r="I149" t="b">
        <f t="shared" si="5"/>
        <v>0</v>
      </c>
    </row>
    <row r="150" spans="1:9" x14ac:dyDescent="0.25">
      <c r="A150" t="s">
        <v>177</v>
      </c>
      <c r="B150" t="s">
        <v>383</v>
      </c>
      <c r="C150" t="str">
        <f>VLOOKUP(A150,PML!A:B,2,0)</f>
        <v>Neivrid</v>
      </c>
      <c r="D150" t="s">
        <v>245</v>
      </c>
      <c r="E150">
        <v>2577</v>
      </c>
      <c r="F150">
        <v>2651</v>
      </c>
      <c r="G150">
        <f>VLOOKUP(A150,PML!A:K,11,0)</f>
        <v>2654</v>
      </c>
      <c r="H150">
        <f t="shared" si="4"/>
        <v>3</v>
      </c>
      <c r="I150" t="b">
        <f t="shared" si="5"/>
        <v>0</v>
      </c>
    </row>
    <row r="151" spans="1:9" x14ac:dyDescent="0.25">
      <c r="A151" t="s">
        <v>178</v>
      </c>
      <c r="B151" t="s">
        <v>383</v>
      </c>
      <c r="C151" t="str">
        <f>VLOOKUP(A151,PML!A:B,2,0)</f>
        <v>Rizky</v>
      </c>
      <c r="D151" t="s">
        <v>245</v>
      </c>
      <c r="E151">
        <v>2501</v>
      </c>
      <c r="F151">
        <v>2544</v>
      </c>
      <c r="G151">
        <f>VLOOKUP(A151,PML!A:K,11,0)</f>
        <v>2605</v>
      </c>
      <c r="H151">
        <f t="shared" si="4"/>
        <v>61</v>
      </c>
      <c r="I151" t="b">
        <f t="shared" si="5"/>
        <v>0</v>
      </c>
    </row>
    <row r="152" spans="1:9" x14ac:dyDescent="0.25">
      <c r="A152" t="s">
        <v>179</v>
      </c>
      <c r="B152" t="s">
        <v>383</v>
      </c>
      <c r="C152" t="str">
        <f>VLOOKUP(A152,PML!A:B,2,0)</f>
        <v>Saul</v>
      </c>
      <c r="D152" t="s">
        <v>245</v>
      </c>
      <c r="E152">
        <v>1630</v>
      </c>
      <c r="F152">
        <v>1625</v>
      </c>
      <c r="G152">
        <f>VLOOKUP(A152,PML!A:K,11,0)</f>
        <v>1681</v>
      </c>
      <c r="H152">
        <f t="shared" si="4"/>
        <v>56</v>
      </c>
      <c r="I152" t="b">
        <f t="shared" si="5"/>
        <v>0</v>
      </c>
    </row>
    <row r="153" spans="1:9" x14ac:dyDescent="0.25">
      <c r="A153" t="s">
        <v>180</v>
      </c>
      <c r="B153" t="s">
        <v>383</v>
      </c>
      <c r="C153" t="str">
        <f>VLOOKUP(A153,PML!A:B,2,0)</f>
        <v>Alfian</v>
      </c>
      <c r="D153" t="s">
        <v>245</v>
      </c>
      <c r="E153">
        <v>2582</v>
      </c>
      <c r="F153">
        <v>2582</v>
      </c>
      <c r="G153">
        <f>VLOOKUP(A153,PML!A:K,11,0)</f>
        <v>2627</v>
      </c>
      <c r="H153">
        <f t="shared" si="4"/>
        <v>45</v>
      </c>
      <c r="I153" t="b">
        <f t="shared" si="5"/>
        <v>0</v>
      </c>
    </row>
    <row r="154" spans="1:9" x14ac:dyDescent="0.25">
      <c r="A154" t="s">
        <v>984</v>
      </c>
      <c r="B154" t="str">
        <f>VLOOKUP(A154,PPL!B:C,2,0)</f>
        <v>Mariska Langi</v>
      </c>
      <c r="C154" t="str">
        <f>VLOOKUP(A154,PPL!B:D,3,0)</f>
        <v>NurAlamsyah</v>
      </c>
      <c r="D154" t="s">
        <v>244</v>
      </c>
      <c r="E154">
        <v>4</v>
      </c>
      <c r="F154">
        <v>8</v>
      </c>
      <c r="G154">
        <f>VLOOKUP(A154,PPL!B:M,12,0)</f>
        <v>8</v>
      </c>
      <c r="H154">
        <f t="shared" ref="H154" si="6">G154-F154</f>
        <v>0</v>
      </c>
      <c r="I154" t="b">
        <f t="shared" ref="I154" si="7">E154=G154</f>
        <v>0</v>
      </c>
    </row>
    <row r="155" spans="1:9" x14ac:dyDescent="0.25">
      <c r="A155" t="s">
        <v>985</v>
      </c>
      <c r="B155" t="str">
        <f>VLOOKUP(A155,PPL!B:C,2,0)</f>
        <v>Ramli Minggu</v>
      </c>
      <c r="C155" t="str">
        <f>VLOOKUP(A155,PPL!B:D,3,0)</f>
        <v>Puput</v>
      </c>
      <c r="D155" t="s">
        <v>244</v>
      </c>
      <c r="E155">
        <v>42</v>
      </c>
      <c r="F155">
        <v>27</v>
      </c>
      <c r="G155">
        <f>VLOOKUP(A155,PPL!B:M,12,0)</f>
        <v>270</v>
      </c>
      <c r="H155">
        <f t="shared" ref="H155:H157" si="8">G155-F155</f>
        <v>243</v>
      </c>
      <c r="I155" t="b">
        <f t="shared" ref="I155:I157" si="9">E155=G155</f>
        <v>0</v>
      </c>
    </row>
    <row r="156" spans="1:9" x14ac:dyDescent="0.25">
      <c r="A156" t="s">
        <v>986</v>
      </c>
      <c r="B156" t="str">
        <f>VLOOKUP(A156,PPL!B:C,2,0)</f>
        <v>Yuche Lahay</v>
      </c>
      <c r="C156" t="str">
        <f>VLOOKUP(A156,PPL!B:D,3,0)</f>
        <v>Uneth</v>
      </c>
      <c r="D156" t="s">
        <v>244</v>
      </c>
      <c r="E156">
        <v>8</v>
      </c>
      <c r="F156">
        <v>10</v>
      </c>
      <c r="G156">
        <f>VLOOKUP(A156,PPL!B:M,12,0)</f>
        <v>10</v>
      </c>
      <c r="H156">
        <f t="shared" si="8"/>
        <v>0</v>
      </c>
      <c r="I156" t="b">
        <f t="shared" si="9"/>
        <v>0</v>
      </c>
    </row>
    <row r="157" spans="1:9" x14ac:dyDescent="0.25">
      <c r="A157" t="s">
        <v>987</v>
      </c>
      <c r="B157" t="str">
        <f>VLOOKUP(A157,PPL!B:C,2,0)</f>
        <v>Lina Aprilia</v>
      </c>
      <c r="C157" t="str">
        <f>VLOOKUP(A157,PPL!B:D,3,0)</f>
        <v>Firly</v>
      </c>
      <c r="D157" t="s">
        <v>244</v>
      </c>
      <c r="E157">
        <v>295</v>
      </c>
      <c r="F157">
        <v>339</v>
      </c>
      <c r="G157">
        <f>VLOOKUP(A157,PPL!B:M,12,0)</f>
        <v>356</v>
      </c>
      <c r="H157">
        <f t="shared" si="8"/>
        <v>17</v>
      </c>
      <c r="I157" t="b">
        <f t="shared" si="9"/>
        <v>0</v>
      </c>
    </row>
    <row r="158" spans="1:9" x14ac:dyDescent="0.25">
      <c r="A158" t="s">
        <v>991</v>
      </c>
      <c r="B158" t="str">
        <f>VLOOKUP(A158,PPL!B:C,2,0)</f>
        <v>Syifa Fauziah Suleman</v>
      </c>
      <c r="C158" t="str">
        <f>VLOOKUP(A158,PPL!B:D,3,0)</f>
        <v>Iska</v>
      </c>
      <c r="D158" t="s">
        <v>244</v>
      </c>
      <c r="E158">
        <v>401</v>
      </c>
      <c r="F158">
        <v>402</v>
      </c>
      <c r="G158">
        <f>VLOOKUP(A158,PPL!B:M,12,0)</f>
        <v>416</v>
      </c>
      <c r="H158">
        <f t="shared" ref="H158:H160" si="10">G158-F158</f>
        <v>14</v>
      </c>
      <c r="I158" t="b">
        <f t="shared" ref="I158:I160" si="11">E158=G158</f>
        <v>0</v>
      </c>
    </row>
    <row r="159" spans="1:9" x14ac:dyDescent="0.25">
      <c r="A159" t="s">
        <v>992</v>
      </c>
      <c r="B159" t="str">
        <f>VLOOKUP(A159,PPL!B:C,2,0)</f>
        <v>Retnowati Sumelung</v>
      </c>
      <c r="C159" t="str">
        <f>VLOOKUP(A159,PPL!B:D,3,0)</f>
        <v>Vera</v>
      </c>
      <c r="D159" t="s">
        <v>244</v>
      </c>
      <c r="E159">
        <v>356</v>
      </c>
      <c r="F159">
        <v>357</v>
      </c>
      <c r="G159">
        <f>VLOOKUP(A159,PPL!B:M,12,0)</f>
        <v>359</v>
      </c>
      <c r="H159">
        <f t="shared" si="10"/>
        <v>2</v>
      </c>
      <c r="I159" t="b">
        <f t="shared" si="11"/>
        <v>0</v>
      </c>
    </row>
    <row r="160" spans="1:9" x14ac:dyDescent="0.25">
      <c r="A160" t="s">
        <v>993</v>
      </c>
      <c r="B160" t="str">
        <f>VLOOKUP(A160,PPL!B:C,2,0)</f>
        <v>Marsila Mayanti Matiune</v>
      </c>
      <c r="C160" t="str">
        <f>VLOOKUP(A160,PPL!B:D,3,0)</f>
        <v>Lasimran</v>
      </c>
      <c r="D160" t="s">
        <v>244</v>
      </c>
      <c r="E160">
        <v>285</v>
      </c>
      <c r="F160">
        <v>286</v>
      </c>
      <c r="G160">
        <f>VLOOKUP(A160,PPL!B:M,12,0)</f>
        <v>298</v>
      </c>
      <c r="H160">
        <f t="shared" si="10"/>
        <v>12</v>
      </c>
      <c r="I160" t="b">
        <f t="shared" si="1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397</v>
      </c>
      <c r="B1" t="s">
        <v>977</v>
      </c>
      <c r="C1" t="s">
        <v>390</v>
      </c>
    </row>
    <row r="2" spans="1:3" x14ac:dyDescent="0.25">
      <c r="A2" t="s">
        <v>850</v>
      </c>
      <c r="C2" t="e">
        <f>VLOOKUP(A2,'UB-DATA'!D:J,7,0)</f>
        <v>#N/A</v>
      </c>
    </row>
    <row r="3" spans="1:3" x14ac:dyDescent="0.25">
      <c r="A3" t="s">
        <v>401</v>
      </c>
      <c r="C3" t="str">
        <f>VLOOKUP(A3,'UB-DATA'!D:J,7,0)</f>
        <v>open</v>
      </c>
    </row>
    <row r="4" spans="1:3" x14ac:dyDescent="0.25">
      <c r="A4" t="s">
        <v>404</v>
      </c>
      <c r="B4" t="s">
        <v>400</v>
      </c>
      <c r="C4" t="e">
        <f>VLOOKUP(A4,'UB-DATA'!D:J,7,0)</f>
        <v>#N/A</v>
      </c>
    </row>
    <row r="5" spans="1:3" x14ac:dyDescent="0.25">
      <c r="A5" t="s">
        <v>407</v>
      </c>
      <c r="B5" t="s">
        <v>400</v>
      </c>
      <c r="C5" t="e">
        <f>VLOOKUP(A5,'UB-DATA'!D:J,7,0)</f>
        <v>#N/A</v>
      </c>
    </row>
    <row r="6" spans="1:3" x14ac:dyDescent="0.25">
      <c r="A6" t="s">
        <v>410</v>
      </c>
      <c r="B6" t="s">
        <v>400</v>
      </c>
      <c r="C6" t="str">
        <f>VLOOKUP(A6,'UB-DATA'!D:J,7,0)</f>
        <v>open</v>
      </c>
    </row>
    <row r="7" spans="1:3" x14ac:dyDescent="0.25">
      <c r="A7" t="s">
        <v>414</v>
      </c>
      <c r="B7" t="s">
        <v>400</v>
      </c>
      <c r="C7" t="e">
        <f>VLOOKUP(A7,'UB-DATA'!D:J,7,0)</f>
        <v>#N/A</v>
      </c>
    </row>
    <row r="8" spans="1:3" x14ac:dyDescent="0.25">
      <c r="A8" t="s">
        <v>416</v>
      </c>
      <c r="B8" t="s">
        <v>400</v>
      </c>
      <c r="C8" t="str">
        <f>VLOOKUP(A8,'UB-DATA'!D:J,7,0)</f>
        <v>open</v>
      </c>
    </row>
    <row r="9" spans="1:3" x14ac:dyDescent="0.25">
      <c r="A9" t="s">
        <v>419</v>
      </c>
      <c r="B9" t="s">
        <v>400</v>
      </c>
      <c r="C9" t="str">
        <f>VLOOKUP(A9,'UB-DATA'!D:J,7,0)</f>
        <v>open</v>
      </c>
    </row>
    <row r="10" spans="1:3" x14ac:dyDescent="0.25">
      <c r="A10" t="s">
        <v>422</v>
      </c>
      <c r="B10" t="s">
        <v>400</v>
      </c>
      <c r="C10" t="e">
        <f>VLOOKUP(A10,'UB-DATA'!D:J,7,0)</f>
        <v>#N/A</v>
      </c>
    </row>
    <row r="11" spans="1:3" x14ac:dyDescent="0.25">
      <c r="A11" t="s">
        <v>423</v>
      </c>
      <c r="B11" t="s">
        <v>400</v>
      </c>
      <c r="C11" t="str">
        <f>VLOOKUP(A11,'UB-DATA'!D:J,7,0)</f>
        <v>open</v>
      </c>
    </row>
    <row r="12" spans="1:3" x14ac:dyDescent="0.25">
      <c r="A12" t="s">
        <v>425</v>
      </c>
      <c r="B12" t="s">
        <v>400</v>
      </c>
      <c r="C12" t="e">
        <f>VLOOKUP(A12,'UB-DATA'!D:J,7,0)</f>
        <v>#N/A</v>
      </c>
    </row>
    <row r="13" spans="1:3" x14ac:dyDescent="0.25">
      <c r="A13" t="s">
        <v>838</v>
      </c>
      <c r="B13" t="s">
        <v>400</v>
      </c>
      <c r="C13" t="e">
        <f>VLOOKUP(A13,'UB-DATA'!D:J,7,0)</f>
        <v>#N/A</v>
      </c>
    </row>
    <row r="14" spans="1:3" x14ac:dyDescent="0.25">
      <c r="A14" t="s">
        <v>429</v>
      </c>
      <c r="B14" t="s">
        <v>400</v>
      </c>
      <c r="C14" t="str">
        <f>VLOOKUP(A14,'UB-DATA'!D:J,7,0)</f>
        <v>open</v>
      </c>
    </row>
    <row r="15" spans="1:3" x14ac:dyDescent="0.25">
      <c r="A15" t="s">
        <v>430</v>
      </c>
      <c r="B15" t="s">
        <v>400</v>
      </c>
      <c r="C15" t="str">
        <f>VLOOKUP(A15,'UB-DATA'!D:J,7,0)</f>
        <v>open</v>
      </c>
    </row>
    <row r="16" spans="1:3" x14ac:dyDescent="0.25">
      <c r="A16" t="s">
        <v>432</v>
      </c>
      <c r="B16" t="s">
        <v>400</v>
      </c>
      <c r="C16" t="str">
        <f>VLOOKUP(A16,'UB-DATA'!D:J,7,0)</f>
        <v>open</v>
      </c>
    </row>
    <row r="17" spans="1:3" x14ac:dyDescent="0.25">
      <c r="A17" t="s">
        <v>898</v>
      </c>
      <c r="B17" t="s">
        <v>400</v>
      </c>
      <c r="C17" t="e">
        <f>VLOOKUP(A17,'UB-DATA'!D:J,7,0)</f>
        <v>#N/A</v>
      </c>
    </row>
    <row r="18" spans="1:3" x14ac:dyDescent="0.25">
      <c r="A18" t="s">
        <v>434</v>
      </c>
      <c r="B18" t="s">
        <v>400</v>
      </c>
      <c r="C18" t="e">
        <f>VLOOKUP(A18,'UB-DATA'!D:J,7,0)</f>
        <v>#N/A</v>
      </c>
    </row>
    <row r="19" spans="1:3" x14ac:dyDescent="0.25">
      <c r="A19" t="s">
        <v>834</v>
      </c>
      <c r="B19" t="s">
        <v>400</v>
      </c>
      <c r="C19" t="str">
        <f>VLOOKUP(A19,'UB-DATA'!D:J,7,0)</f>
        <v>submitted respondent</v>
      </c>
    </row>
    <row r="20" spans="1:3" x14ac:dyDescent="0.25">
      <c r="A20" t="s">
        <v>437</v>
      </c>
      <c r="B20" t="s">
        <v>400</v>
      </c>
      <c r="C20" t="str">
        <f>VLOOKUP(A20,'UB-DATA'!D:J,7,0)</f>
        <v>open</v>
      </c>
    </row>
    <row r="21" spans="1:3" x14ac:dyDescent="0.25">
      <c r="A21" t="s">
        <v>907</v>
      </c>
      <c r="B21" t="s">
        <v>400</v>
      </c>
      <c r="C21" t="str">
        <f>VLOOKUP(A21,'UB-DATA'!D:J,7,0)</f>
        <v>submitted respondent</v>
      </c>
    </row>
    <row r="22" spans="1:3" x14ac:dyDescent="0.25">
      <c r="A22" t="s">
        <v>439</v>
      </c>
      <c r="B22" t="s">
        <v>400</v>
      </c>
      <c r="C22" t="str">
        <f>VLOOKUP(A22,'UB-DATA'!D:J,7,0)</f>
        <v>open</v>
      </c>
    </row>
    <row r="23" spans="1:3" x14ac:dyDescent="0.25">
      <c r="A23" t="s">
        <v>870</v>
      </c>
      <c r="B23" t="s">
        <v>400</v>
      </c>
      <c r="C23" t="e">
        <f>VLOOKUP(A23,'UB-DATA'!D:J,7,0)</f>
        <v>#N/A</v>
      </c>
    </row>
    <row r="24" spans="1:3" x14ac:dyDescent="0.25">
      <c r="A24" t="s">
        <v>893</v>
      </c>
      <c r="B24" t="s">
        <v>400</v>
      </c>
      <c r="C24" t="str">
        <f>VLOOKUP(A24,'UB-DATA'!D:J,7,0)</f>
        <v>submitted respondent</v>
      </c>
    </row>
    <row r="25" spans="1:3" x14ac:dyDescent="0.25">
      <c r="A25" t="s">
        <v>441</v>
      </c>
      <c r="B25" t="s">
        <v>400</v>
      </c>
      <c r="C25" t="str">
        <f>VLOOKUP(A25,'UB-DATA'!D:J,7,0)</f>
        <v>open</v>
      </c>
    </row>
    <row r="26" spans="1:3" x14ac:dyDescent="0.25">
      <c r="A26" t="s">
        <v>443</v>
      </c>
      <c r="B26" t="s">
        <v>400</v>
      </c>
      <c r="C26" t="e">
        <f>VLOOKUP(A26,'UB-DATA'!D:J,7,0)</f>
        <v>#N/A</v>
      </c>
    </row>
    <row r="27" spans="1:3" x14ac:dyDescent="0.25">
      <c r="A27" t="s">
        <v>443</v>
      </c>
      <c r="B27" t="s">
        <v>400</v>
      </c>
      <c r="C27" t="e">
        <f>VLOOKUP(A27,'UB-DATA'!D:J,7,0)</f>
        <v>#N/A</v>
      </c>
    </row>
    <row r="28" spans="1:3" x14ac:dyDescent="0.25">
      <c r="A28" t="s">
        <v>446</v>
      </c>
      <c r="B28" t="s">
        <v>400</v>
      </c>
      <c r="C28" t="e">
        <f>VLOOKUP(A28,'UB-DATA'!D:J,7,0)</f>
        <v>#N/A</v>
      </c>
    </row>
    <row r="29" spans="1:3" x14ac:dyDescent="0.25">
      <c r="A29" t="s">
        <v>449</v>
      </c>
      <c r="B29" t="s">
        <v>400</v>
      </c>
      <c r="C29" t="e">
        <f>VLOOKUP(A29,'UB-DATA'!D:J,7,0)</f>
        <v>#N/A</v>
      </c>
    </row>
    <row r="30" spans="1:3" x14ac:dyDescent="0.25">
      <c r="A30" t="s">
        <v>451</v>
      </c>
      <c r="B30" t="s">
        <v>400</v>
      </c>
      <c r="C30" t="str">
        <f>VLOOKUP(A30,'UB-DATA'!D:J,7,0)</f>
        <v>open</v>
      </c>
    </row>
    <row r="31" spans="1:3" x14ac:dyDescent="0.25">
      <c r="A31" t="s">
        <v>453</v>
      </c>
      <c r="B31" t="s">
        <v>400</v>
      </c>
      <c r="C31" t="str">
        <f>VLOOKUP(A31,'UB-DATA'!D:J,7,0)</f>
        <v>open</v>
      </c>
    </row>
    <row r="32" spans="1:3" x14ac:dyDescent="0.25">
      <c r="A32" t="s">
        <v>886</v>
      </c>
      <c r="B32" t="s">
        <v>400</v>
      </c>
      <c r="C32" t="e">
        <f>VLOOKUP(A32,'UB-DATA'!D:J,7,0)</f>
        <v>#N/A</v>
      </c>
    </row>
    <row r="33" spans="1:3" x14ac:dyDescent="0.25">
      <c r="A33" t="s">
        <v>456</v>
      </c>
      <c r="B33" t="s">
        <v>400</v>
      </c>
      <c r="C33" t="str">
        <f>VLOOKUP(A33,'UB-DATA'!D:J,7,0)</f>
        <v>open</v>
      </c>
    </row>
    <row r="34" spans="1:3" x14ac:dyDescent="0.25">
      <c r="A34" t="s">
        <v>458</v>
      </c>
      <c r="B34" t="s">
        <v>403</v>
      </c>
      <c r="C34" t="str">
        <f>VLOOKUP(A34,'UB-DATA'!D:J,7,0)</f>
        <v>draft</v>
      </c>
    </row>
    <row r="35" spans="1:3" x14ac:dyDescent="0.25">
      <c r="A35" t="s">
        <v>460</v>
      </c>
      <c r="B35" t="s">
        <v>403</v>
      </c>
      <c r="C35" t="str">
        <f>VLOOKUP(A35,'UB-DATA'!D:J,7,0)</f>
        <v>open</v>
      </c>
    </row>
    <row r="36" spans="1:3" x14ac:dyDescent="0.25">
      <c r="A36" t="s">
        <v>462</v>
      </c>
      <c r="B36" t="s">
        <v>403</v>
      </c>
      <c r="C36" t="str">
        <f>VLOOKUP(A36,'UB-DATA'!D:J,7,0)</f>
        <v>open</v>
      </c>
    </row>
    <row r="37" spans="1:3" x14ac:dyDescent="0.25">
      <c r="A37" t="s">
        <v>464</v>
      </c>
      <c r="B37" t="s">
        <v>403</v>
      </c>
      <c r="C37" t="e">
        <f>VLOOKUP(A37,'UB-DATA'!D:J,7,0)</f>
        <v>#N/A</v>
      </c>
    </row>
    <row r="38" spans="1:3" x14ac:dyDescent="0.25">
      <c r="A38" t="s">
        <v>466</v>
      </c>
      <c r="B38" t="s">
        <v>403</v>
      </c>
      <c r="C38" t="str">
        <f>VLOOKUP(A38,'UB-DATA'!D:J,7,0)</f>
        <v>open</v>
      </c>
    </row>
    <row r="39" spans="1:3" x14ac:dyDescent="0.25">
      <c r="A39" t="s">
        <v>468</v>
      </c>
      <c r="B39" t="s">
        <v>403</v>
      </c>
      <c r="C39" t="e">
        <f>VLOOKUP(A39,'UB-DATA'!D:J,7,0)</f>
        <v>#N/A</v>
      </c>
    </row>
    <row r="40" spans="1:3" x14ac:dyDescent="0.25">
      <c r="A40" t="s">
        <v>469</v>
      </c>
      <c r="B40" t="s">
        <v>403</v>
      </c>
      <c r="C40" t="str">
        <f>VLOOKUP(A40,'UB-DATA'!D:J,7,0)</f>
        <v>open</v>
      </c>
    </row>
    <row r="41" spans="1:3" x14ac:dyDescent="0.25">
      <c r="A41" t="s">
        <v>471</v>
      </c>
      <c r="B41" t="s">
        <v>403</v>
      </c>
      <c r="C41" t="str">
        <f>VLOOKUP(A41,'UB-DATA'!D:J,7,0)</f>
        <v>open</v>
      </c>
    </row>
    <row r="42" spans="1:3" x14ac:dyDescent="0.25">
      <c r="A42" t="s">
        <v>474</v>
      </c>
      <c r="B42" t="s">
        <v>403</v>
      </c>
      <c r="C42" t="str">
        <f>VLOOKUP(A42,'UB-DATA'!D:J,7,0)</f>
        <v>submitted respondent</v>
      </c>
    </row>
    <row r="43" spans="1:3" x14ac:dyDescent="0.25">
      <c r="A43" t="s">
        <v>475</v>
      </c>
      <c r="B43" t="s">
        <v>403</v>
      </c>
      <c r="C43" t="e">
        <f>VLOOKUP(A43,'UB-DATA'!D:J,7,0)</f>
        <v>#N/A</v>
      </c>
    </row>
    <row r="44" spans="1:3" x14ac:dyDescent="0.25">
      <c r="A44" t="s">
        <v>477</v>
      </c>
      <c r="B44" t="s">
        <v>403</v>
      </c>
      <c r="C44" t="str">
        <f>VLOOKUP(A44,'UB-DATA'!D:J,7,0)</f>
        <v>open</v>
      </c>
    </row>
    <row r="45" spans="1:3" x14ac:dyDescent="0.25">
      <c r="A45" t="s">
        <v>443</v>
      </c>
      <c r="B45" t="s">
        <v>403</v>
      </c>
      <c r="C45" t="e">
        <f>VLOOKUP(A45,'UB-DATA'!D:J,7,0)</f>
        <v>#N/A</v>
      </c>
    </row>
    <row r="46" spans="1:3" x14ac:dyDescent="0.25">
      <c r="A46" t="s">
        <v>480</v>
      </c>
      <c r="B46" t="s">
        <v>403</v>
      </c>
      <c r="C46" t="e">
        <f>VLOOKUP(A46,'UB-DATA'!D:J,7,0)</f>
        <v>#N/A</v>
      </c>
    </row>
    <row r="47" spans="1:3" x14ac:dyDescent="0.25">
      <c r="A47" t="s">
        <v>482</v>
      </c>
      <c r="B47" t="s">
        <v>403</v>
      </c>
      <c r="C47" t="e">
        <f>VLOOKUP(A47,'UB-DATA'!D:J,7,0)</f>
        <v>#N/A</v>
      </c>
    </row>
    <row r="48" spans="1:3" x14ac:dyDescent="0.25">
      <c r="A48" t="s">
        <v>483</v>
      </c>
      <c r="B48" t="s">
        <v>403</v>
      </c>
      <c r="C48" t="str">
        <f>VLOOKUP(A48,'UB-DATA'!D:J,7,0)</f>
        <v>submitted respondent</v>
      </c>
    </row>
    <row r="49" spans="1:3" x14ac:dyDescent="0.25">
      <c r="A49" t="s">
        <v>485</v>
      </c>
      <c r="B49" t="s">
        <v>403</v>
      </c>
      <c r="C49" t="str">
        <f>VLOOKUP(A49,'UB-DATA'!D:J,7,0)</f>
        <v>open</v>
      </c>
    </row>
    <row r="50" spans="1:3" x14ac:dyDescent="0.25">
      <c r="A50" t="s">
        <v>487</v>
      </c>
      <c r="B50" t="s">
        <v>403</v>
      </c>
      <c r="C50" t="str">
        <f>VLOOKUP(A50,'UB-DATA'!D:J,7,0)</f>
        <v>open</v>
      </c>
    </row>
    <row r="51" spans="1:3" x14ac:dyDescent="0.25">
      <c r="A51" t="s">
        <v>842</v>
      </c>
      <c r="B51" t="s">
        <v>403</v>
      </c>
      <c r="C51" t="str">
        <f>VLOOKUP(A51,'UB-DATA'!D:J,7,0)</f>
        <v>edited by admin kabupaten</v>
      </c>
    </row>
    <row r="52" spans="1:3" x14ac:dyDescent="0.25">
      <c r="A52" t="s">
        <v>491</v>
      </c>
      <c r="B52" t="s">
        <v>403</v>
      </c>
      <c r="C52" t="str">
        <f>VLOOKUP(A52,'UB-DATA'!D:J,7,0)</f>
        <v>draft</v>
      </c>
    </row>
    <row r="53" spans="1:3" x14ac:dyDescent="0.25">
      <c r="A53" t="s">
        <v>493</v>
      </c>
      <c r="B53" t="s">
        <v>403</v>
      </c>
      <c r="C53" t="str">
        <f>VLOOKUP(A53,'UB-DATA'!D:J,7,0)</f>
        <v>open</v>
      </c>
    </row>
    <row r="54" spans="1:3" x14ac:dyDescent="0.25">
      <c r="A54" t="s">
        <v>495</v>
      </c>
      <c r="B54" t="s">
        <v>403</v>
      </c>
      <c r="C54" t="e">
        <f>VLOOKUP(A54,'UB-DATA'!D:J,7,0)</f>
        <v>#N/A</v>
      </c>
    </row>
    <row r="55" spans="1:3" x14ac:dyDescent="0.25">
      <c r="A55" t="s">
        <v>693</v>
      </c>
      <c r="B55" t="s">
        <v>403</v>
      </c>
      <c r="C55" t="str">
        <f>VLOOKUP(A55,'UB-DATA'!D:J,7,0)</f>
        <v>draft</v>
      </c>
    </row>
    <row r="56" spans="1:3" x14ac:dyDescent="0.25">
      <c r="A56" t="s">
        <v>498</v>
      </c>
      <c r="B56" t="s">
        <v>403</v>
      </c>
      <c r="C56" t="e">
        <f>VLOOKUP(A56,'UB-DATA'!D:J,7,0)</f>
        <v>#N/A</v>
      </c>
    </row>
    <row r="57" spans="1:3" x14ac:dyDescent="0.25">
      <c r="A57" t="s">
        <v>864</v>
      </c>
      <c r="B57" t="s">
        <v>403</v>
      </c>
      <c r="C57" t="str">
        <f>VLOOKUP(A57,'UB-DATA'!D:J,7,0)</f>
        <v>submitted respondent</v>
      </c>
    </row>
    <row r="58" spans="1:3" x14ac:dyDescent="0.25">
      <c r="A58" t="s">
        <v>856</v>
      </c>
      <c r="B58" t="s">
        <v>403</v>
      </c>
      <c r="C58" t="e">
        <f>VLOOKUP(A58,'UB-DATA'!D:J,7,0)</f>
        <v>#N/A</v>
      </c>
    </row>
    <row r="59" spans="1:3" x14ac:dyDescent="0.25">
      <c r="A59" t="s">
        <v>499</v>
      </c>
      <c r="B59" t="s">
        <v>403</v>
      </c>
      <c r="C59" t="str">
        <f>VLOOKUP(A59,'UB-DATA'!D:J,7,0)</f>
        <v>open</v>
      </c>
    </row>
    <row r="60" spans="1:3" x14ac:dyDescent="0.25">
      <c r="A60" t="s">
        <v>867</v>
      </c>
      <c r="B60" t="s">
        <v>403</v>
      </c>
      <c r="C60" t="str">
        <f>VLOOKUP(A60,'UB-DATA'!D:J,7,0)</f>
        <v>submitted respondent</v>
      </c>
    </row>
    <row r="61" spans="1:3" x14ac:dyDescent="0.25">
      <c r="A61" t="s">
        <v>502</v>
      </c>
      <c r="B61" t="s">
        <v>403</v>
      </c>
      <c r="C61" t="str">
        <f>VLOOKUP(A61,'UB-DATA'!D:J,7,0)</f>
        <v>open</v>
      </c>
    </row>
    <row r="62" spans="1:3" x14ac:dyDescent="0.25">
      <c r="A62" t="s">
        <v>915</v>
      </c>
      <c r="B62" t="s">
        <v>403</v>
      </c>
      <c r="C62" t="str">
        <f>VLOOKUP(A62,'UB-DATA'!D:J,7,0)</f>
        <v>submitted respondent</v>
      </c>
    </row>
    <row r="63" spans="1:3" x14ac:dyDescent="0.25">
      <c r="A63" t="s">
        <v>503</v>
      </c>
      <c r="B63" t="s">
        <v>403</v>
      </c>
      <c r="C63" t="str">
        <f>VLOOKUP(A63,'UB-DATA'!D:J,7,0)</f>
        <v>open</v>
      </c>
    </row>
    <row r="64" spans="1:3" x14ac:dyDescent="0.25">
      <c r="A64" t="s">
        <v>505</v>
      </c>
      <c r="B64" t="s">
        <v>403</v>
      </c>
      <c r="C64" t="str">
        <f>VLOOKUP(A64,'UB-DATA'!D:J,7,0)</f>
        <v>open</v>
      </c>
    </row>
    <row r="65" spans="1:3" x14ac:dyDescent="0.25">
      <c r="A65" t="s">
        <v>507</v>
      </c>
      <c r="B65" t="s">
        <v>403</v>
      </c>
      <c r="C65" t="e">
        <f>VLOOKUP(A65,'UB-DATA'!D:J,7,0)</f>
        <v>#N/A</v>
      </c>
    </row>
    <row r="66" spans="1:3" x14ac:dyDescent="0.25">
      <c r="A66" t="s">
        <v>509</v>
      </c>
      <c r="B66" t="s">
        <v>403</v>
      </c>
      <c r="C66" t="str">
        <f>VLOOKUP(A66,'UB-DATA'!D:J,7,0)</f>
        <v>open</v>
      </c>
    </row>
    <row r="67" spans="1:3" x14ac:dyDescent="0.25">
      <c r="A67" t="s">
        <v>511</v>
      </c>
      <c r="B67" t="s">
        <v>403</v>
      </c>
      <c r="C67" t="e">
        <f>VLOOKUP(A67,'UB-DATA'!D:J,7,0)</f>
        <v>#N/A</v>
      </c>
    </row>
    <row r="68" spans="1:3" x14ac:dyDescent="0.25">
      <c r="A68" t="s">
        <v>513</v>
      </c>
      <c r="B68" t="s">
        <v>403</v>
      </c>
      <c r="C68" t="e">
        <f>VLOOKUP(A68,'UB-DATA'!D:J,7,0)</f>
        <v>#N/A</v>
      </c>
    </row>
    <row r="69" spans="1:3" x14ac:dyDescent="0.25">
      <c r="A69" t="s">
        <v>515</v>
      </c>
      <c r="B69" t="s">
        <v>406</v>
      </c>
      <c r="C69" t="e">
        <f>VLOOKUP(A69,'UB-DATA'!D:J,7,0)</f>
        <v>#N/A</v>
      </c>
    </row>
    <row r="70" spans="1:3" x14ac:dyDescent="0.25">
      <c r="A70" t="s">
        <v>517</v>
      </c>
      <c r="B70" t="s">
        <v>406</v>
      </c>
      <c r="C70" t="e">
        <f>VLOOKUP(A70,'UB-DATA'!D:J,7,0)</f>
        <v>#N/A</v>
      </c>
    </row>
    <row r="71" spans="1:3" x14ac:dyDescent="0.25">
      <c r="A71" t="s">
        <v>518</v>
      </c>
      <c r="B71" t="s">
        <v>406</v>
      </c>
      <c r="C71" t="e">
        <f>VLOOKUP(A71,'UB-DATA'!D:J,7,0)</f>
        <v>#N/A</v>
      </c>
    </row>
    <row r="72" spans="1:3" x14ac:dyDescent="0.25">
      <c r="A72" t="s">
        <v>519</v>
      </c>
      <c r="B72" t="s">
        <v>406</v>
      </c>
      <c r="C72" t="str">
        <f>VLOOKUP(A72,'UB-DATA'!D:J,7,0)</f>
        <v>open</v>
      </c>
    </row>
    <row r="73" spans="1:3" x14ac:dyDescent="0.25">
      <c r="A73" t="s">
        <v>521</v>
      </c>
      <c r="B73" t="s">
        <v>406</v>
      </c>
      <c r="C73" t="str">
        <f>VLOOKUP(A73,'UB-DATA'!D:J,7,0)</f>
        <v>open</v>
      </c>
    </row>
    <row r="74" spans="1:3" x14ac:dyDescent="0.25">
      <c r="A74" t="s">
        <v>523</v>
      </c>
      <c r="B74" t="s">
        <v>406</v>
      </c>
      <c r="C74" t="str">
        <f>VLOOKUP(A74,'UB-DATA'!D:J,7,0)</f>
        <v>open</v>
      </c>
    </row>
    <row r="75" spans="1:3" x14ac:dyDescent="0.25">
      <c r="A75" t="s">
        <v>525</v>
      </c>
      <c r="B75" t="s">
        <v>406</v>
      </c>
      <c r="C75" t="str">
        <f>VLOOKUP(A75,'UB-DATA'!D:J,7,0)</f>
        <v>open</v>
      </c>
    </row>
    <row r="76" spans="1:3" x14ac:dyDescent="0.25">
      <c r="A76" t="s">
        <v>527</v>
      </c>
      <c r="B76" t="s">
        <v>406</v>
      </c>
      <c r="C76" t="str">
        <f>VLOOKUP(A76,'UB-DATA'!D:J,7,0)</f>
        <v>open</v>
      </c>
    </row>
    <row r="77" spans="1:3" x14ac:dyDescent="0.25">
      <c r="A77" t="s">
        <v>529</v>
      </c>
      <c r="B77" t="s">
        <v>406</v>
      </c>
      <c r="C77" t="e">
        <f>VLOOKUP(A77,'UB-DATA'!D:J,7,0)</f>
        <v>#N/A</v>
      </c>
    </row>
    <row r="78" spans="1:3" x14ac:dyDescent="0.25">
      <c r="A78" t="s">
        <v>531</v>
      </c>
      <c r="B78" t="s">
        <v>406</v>
      </c>
      <c r="C78" t="str">
        <f>VLOOKUP(A78,'UB-DATA'!D:J,7,0)</f>
        <v>open</v>
      </c>
    </row>
    <row r="79" spans="1:3" x14ac:dyDescent="0.25">
      <c r="A79" t="s">
        <v>533</v>
      </c>
      <c r="B79" t="s">
        <v>406</v>
      </c>
      <c r="C79" t="str">
        <f>VLOOKUP(A79,'UB-DATA'!D:J,7,0)</f>
        <v>open</v>
      </c>
    </row>
    <row r="80" spans="1:3" x14ac:dyDescent="0.25">
      <c r="A80" t="s">
        <v>535</v>
      </c>
      <c r="B80" t="s">
        <v>406</v>
      </c>
      <c r="C80" t="str">
        <f>VLOOKUP(A80,'UB-DATA'!D:J,7,0)</f>
        <v>open</v>
      </c>
    </row>
    <row r="81" spans="1:3" x14ac:dyDescent="0.25">
      <c r="A81" t="s">
        <v>538</v>
      </c>
      <c r="B81" t="s">
        <v>406</v>
      </c>
      <c r="C81" t="str">
        <f>VLOOKUP(A81,'UB-DATA'!D:J,7,0)</f>
        <v>open</v>
      </c>
    </row>
    <row r="82" spans="1:3" x14ac:dyDescent="0.25">
      <c r="A82" t="s">
        <v>540</v>
      </c>
      <c r="B82" t="s">
        <v>406</v>
      </c>
      <c r="C82" t="str">
        <f>VLOOKUP(A82,'UB-DATA'!D:J,7,0)</f>
        <v>open</v>
      </c>
    </row>
    <row r="83" spans="1:3" x14ac:dyDescent="0.25">
      <c r="A83" t="s">
        <v>542</v>
      </c>
      <c r="B83" t="s">
        <v>406</v>
      </c>
      <c r="C83" t="e">
        <f>VLOOKUP(A83,'UB-DATA'!D:J,7,0)</f>
        <v>#N/A</v>
      </c>
    </row>
    <row r="84" spans="1:3" x14ac:dyDescent="0.25">
      <c r="A84" t="s">
        <v>543</v>
      </c>
      <c r="B84" t="s">
        <v>406</v>
      </c>
      <c r="C84" t="str">
        <f>VLOOKUP(A84,'UB-DATA'!D:J,7,0)</f>
        <v>open</v>
      </c>
    </row>
    <row r="85" spans="1:3" x14ac:dyDescent="0.25">
      <c r="A85" t="s">
        <v>545</v>
      </c>
      <c r="B85" t="s">
        <v>406</v>
      </c>
      <c r="C85" t="str">
        <f>VLOOKUP(A85,'UB-DATA'!D:J,7,0)</f>
        <v>open</v>
      </c>
    </row>
    <row r="86" spans="1:3" x14ac:dyDescent="0.25">
      <c r="A86" t="s">
        <v>547</v>
      </c>
      <c r="B86" t="s">
        <v>406</v>
      </c>
      <c r="C86" t="e">
        <f>VLOOKUP(A86,'UB-DATA'!D:J,7,0)</f>
        <v>#N/A</v>
      </c>
    </row>
    <row r="87" spans="1:3" x14ac:dyDescent="0.25">
      <c r="A87" t="s">
        <v>549</v>
      </c>
      <c r="B87" t="s">
        <v>406</v>
      </c>
      <c r="C87" t="e">
        <f>VLOOKUP(A87,'UB-DATA'!D:J,7,0)</f>
        <v>#N/A</v>
      </c>
    </row>
    <row r="88" spans="1:3" x14ac:dyDescent="0.25">
      <c r="A88" t="s">
        <v>550</v>
      </c>
      <c r="B88" t="s">
        <v>406</v>
      </c>
      <c r="C88" t="str">
        <f>VLOOKUP(A88,'UB-DATA'!D:J,7,0)</f>
        <v>open</v>
      </c>
    </row>
    <row r="89" spans="1:3" x14ac:dyDescent="0.25">
      <c r="A89" t="s">
        <v>443</v>
      </c>
      <c r="B89" t="s">
        <v>406</v>
      </c>
      <c r="C89" t="e">
        <f>VLOOKUP(A89,'UB-DATA'!D:J,7,0)</f>
        <v>#N/A</v>
      </c>
    </row>
    <row r="90" spans="1:3" x14ac:dyDescent="0.25">
      <c r="A90" t="s">
        <v>552</v>
      </c>
      <c r="B90" t="s">
        <v>406</v>
      </c>
      <c r="C90" t="str">
        <f>VLOOKUP(A90,'UB-DATA'!D:J,7,0)</f>
        <v>open</v>
      </c>
    </row>
    <row r="91" spans="1:3" x14ac:dyDescent="0.25">
      <c r="A91" t="s">
        <v>554</v>
      </c>
      <c r="B91" t="s">
        <v>406</v>
      </c>
      <c r="C91" t="str">
        <f>VLOOKUP(A91,'UB-DATA'!D:J,7,0)</f>
        <v>open</v>
      </c>
    </row>
    <row r="92" spans="1:3" x14ac:dyDescent="0.25">
      <c r="A92" t="s">
        <v>556</v>
      </c>
      <c r="B92" t="s">
        <v>406</v>
      </c>
      <c r="C92" t="e">
        <f>VLOOKUP(A92,'UB-DATA'!D:J,7,0)</f>
        <v>#N/A</v>
      </c>
    </row>
    <row r="93" spans="1:3" x14ac:dyDescent="0.25">
      <c r="A93" t="s">
        <v>558</v>
      </c>
      <c r="B93" t="s">
        <v>406</v>
      </c>
      <c r="C93" t="e">
        <f>VLOOKUP(A93,'UB-DATA'!D:J,7,0)</f>
        <v>#N/A</v>
      </c>
    </row>
    <row r="94" spans="1:3" x14ac:dyDescent="0.25">
      <c r="A94" t="s">
        <v>560</v>
      </c>
      <c r="B94" t="s">
        <v>406</v>
      </c>
      <c r="C94" t="str">
        <f>VLOOKUP(A94,'UB-DATA'!D:J,7,0)</f>
        <v>open</v>
      </c>
    </row>
    <row r="95" spans="1:3" x14ac:dyDescent="0.25">
      <c r="A95" t="s">
        <v>562</v>
      </c>
      <c r="B95" t="s">
        <v>406</v>
      </c>
      <c r="C95" t="str">
        <f>VLOOKUP(A95,'UB-DATA'!D:J,7,0)</f>
        <v>open</v>
      </c>
    </row>
    <row r="96" spans="1:3" x14ac:dyDescent="0.25">
      <c r="A96" t="s">
        <v>564</v>
      </c>
      <c r="B96" t="s">
        <v>406</v>
      </c>
      <c r="C96" t="str">
        <f>VLOOKUP(A96,'UB-DATA'!D:J,7,0)</f>
        <v>open</v>
      </c>
    </row>
    <row r="97" spans="1:3" x14ac:dyDescent="0.25">
      <c r="A97" t="s">
        <v>567</v>
      </c>
      <c r="B97" t="s">
        <v>406</v>
      </c>
      <c r="C97" t="str">
        <f>VLOOKUP(A97,'UB-DATA'!D:J,7,0)</f>
        <v>open</v>
      </c>
    </row>
    <row r="98" spans="1:3" x14ac:dyDescent="0.25">
      <c r="A98" t="s">
        <v>569</v>
      </c>
      <c r="B98" t="s">
        <v>406</v>
      </c>
      <c r="C98" t="str">
        <f>VLOOKUP(A98,'UB-DATA'!D:J,7,0)</f>
        <v>open</v>
      </c>
    </row>
    <row r="99" spans="1:3" x14ac:dyDescent="0.25">
      <c r="A99" t="s">
        <v>571</v>
      </c>
      <c r="B99" t="s">
        <v>406</v>
      </c>
      <c r="C99" t="str">
        <f>VLOOKUP(A99,'UB-DATA'!D:J,7,0)</f>
        <v>draft</v>
      </c>
    </row>
    <row r="100" spans="1:3" x14ac:dyDescent="0.25">
      <c r="A100" t="s">
        <v>573</v>
      </c>
      <c r="B100" t="s">
        <v>409</v>
      </c>
      <c r="C100" t="str">
        <f>VLOOKUP(A100,'UB-DATA'!D:J,7,0)</f>
        <v>open</v>
      </c>
    </row>
    <row r="101" spans="1:3" x14ac:dyDescent="0.25">
      <c r="A101" t="s">
        <v>575</v>
      </c>
      <c r="B101" t="s">
        <v>409</v>
      </c>
      <c r="C101" t="e">
        <f>VLOOKUP(A101,'UB-DATA'!D:J,7,0)</f>
        <v>#N/A</v>
      </c>
    </row>
    <row r="102" spans="1:3" x14ac:dyDescent="0.25">
      <c r="A102" t="s">
        <v>443</v>
      </c>
      <c r="B102" t="s">
        <v>409</v>
      </c>
      <c r="C102" t="e">
        <f>VLOOKUP(A102,'UB-DATA'!D:J,7,0)</f>
        <v>#N/A</v>
      </c>
    </row>
    <row r="103" spans="1:3" x14ac:dyDescent="0.25">
      <c r="A103" t="s">
        <v>578</v>
      </c>
      <c r="B103" t="s">
        <v>409</v>
      </c>
      <c r="C103" t="e">
        <f>VLOOKUP(A103,'UB-DATA'!D:J,7,0)</f>
        <v>#N/A</v>
      </c>
    </row>
    <row r="104" spans="1:3" x14ac:dyDescent="0.25">
      <c r="A104" t="s">
        <v>580</v>
      </c>
      <c r="B104" t="s">
        <v>409</v>
      </c>
      <c r="C104" t="e">
        <f>VLOOKUP(A104,'UB-DATA'!D:J,7,0)</f>
        <v>#N/A</v>
      </c>
    </row>
    <row r="105" spans="1:3" x14ac:dyDescent="0.25">
      <c r="A105" t="s">
        <v>904</v>
      </c>
      <c r="B105" t="s">
        <v>409</v>
      </c>
      <c r="C105" t="e">
        <f>VLOOKUP(A105,'UB-DATA'!D:J,7,0)</f>
        <v>#N/A</v>
      </c>
    </row>
    <row r="106" spans="1:3" x14ac:dyDescent="0.25">
      <c r="A106" t="s">
        <v>581</v>
      </c>
      <c r="B106" t="s">
        <v>409</v>
      </c>
      <c r="C106" t="str">
        <f>VLOOKUP(A106,'UB-DATA'!D:J,7,0)</f>
        <v>open</v>
      </c>
    </row>
    <row r="107" spans="1:3" x14ac:dyDescent="0.25">
      <c r="A107" t="s">
        <v>583</v>
      </c>
      <c r="B107" t="s">
        <v>409</v>
      </c>
      <c r="C107" t="e">
        <f>VLOOKUP(A107,'UB-DATA'!D:J,7,0)</f>
        <v>#N/A</v>
      </c>
    </row>
    <row r="108" spans="1:3" x14ac:dyDescent="0.25">
      <c r="A108" t="s">
        <v>586</v>
      </c>
      <c r="B108" t="s">
        <v>409</v>
      </c>
      <c r="C108" t="str">
        <f>VLOOKUP(A108,'UB-DATA'!D:J,7,0)</f>
        <v>submitted respondent</v>
      </c>
    </row>
    <row r="109" spans="1:3" x14ac:dyDescent="0.25">
      <c r="A109" t="s">
        <v>587</v>
      </c>
      <c r="B109" t="s">
        <v>409</v>
      </c>
      <c r="C109" t="e">
        <f>VLOOKUP(A109,'UB-DATA'!D:J,7,0)</f>
        <v>#N/A</v>
      </c>
    </row>
    <row r="110" spans="1:3" x14ac:dyDescent="0.25">
      <c r="A110" t="s">
        <v>588</v>
      </c>
      <c r="B110" t="s">
        <v>409</v>
      </c>
      <c r="C110" t="e">
        <f>VLOOKUP(A110,'UB-DATA'!D:J,7,0)</f>
        <v>#N/A</v>
      </c>
    </row>
    <row r="111" spans="1:3" x14ac:dyDescent="0.25">
      <c r="A111" t="s">
        <v>727</v>
      </c>
      <c r="B111" t="s">
        <v>409</v>
      </c>
      <c r="C111" t="e">
        <f>VLOOKUP(A111,'UB-DATA'!D:J,7,0)</f>
        <v>#N/A</v>
      </c>
    </row>
    <row r="112" spans="1:3" x14ac:dyDescent="0.25">
      <c r="A112" t="s">
        <v>846</v>
      </c>
      <c r="B112" t="s">
        <v>409</v>
      </c>
      <c r="C112" t="str">
        <f>VLOOKUP(A112,'UB-DATA'!D:J,7,0)</f>
        <v>submitted respondent</v>
      </c>
    </row>
    <row r="113" spans="1:3" x14ac:dyDescent="0.25">
      <c r="A113" t="s">
        <v>591</v>
      </c>
      <c r="B113" t="s">
        <v>409</v>
      </c>
      <c r="C113" t="str">
        <f>VLOOKUP(A113,'UB-DATA'!D:J,7,0)</f>
        <v>open</v>
      </c>
    </row>
    <row r="114" spans="1:3" x14ac:dyDescent="0.25">
      <c r="A114" t="s">
        <v>593</v>
      </c>
      <c r="B114" t="s">
        <v>409</v>
      </c>
      <c r="C114" t="e">
        <f>VLOOKUP(A114,'UB-DATA'!D:J,7,0)</f>
        <v>#N/A</v>
      </c>
    </row>
    <row r="115" spans="1:3" x14ac:dyDescent="0.25">
      <c r="A115" t="s">
        <v>595</v>
      </c>
      <c r="B115" t="s">
        <v>409</v>
      </c>
      <c r="C115" t="str">
        <f>VLOOKUP(A115,'UB-DATA'!D:J,7,0)</f>
        <v>open</v>
      </c>
    </row>
    <row r="116" spans="1:3" x14ac:dyDescent="0.25">
      <c r="A116" t="s">
        <v>596</v>
      </c>
      <c r="B116" t="s">
        <v>409</v>
      </c>
      <c r="C116" t="str">
        <f>VLOOKUP(A116,'UB-DATA'!D:J,7,0)</f>
        <v>open</v>
      </c>
    </row>
    <row r="117" spans="1:3" x14ac:dyDescent="0.25">
      <c r="A117" t="s">
        <v>598</v>
      </c>
      <c r="B117" t="s">
        <v>409</v>
      </c>
      <c r="C117" t="e">
        <f>VLOOKUP(A117,'UB-DATA'!D:J,7,0)</f>
        <v>#N/A</v>
      </c>
    </row>
    <row r="118" spans="1:3" x14ac:dyDescent="0.25">
      <c r="A118" t="s">
        <v>600</v>
      </c>
      <c r="B118" t="s">
        <v>409</v>
      </c>
      <c r="C118" t="str">
        <f>VLOOKUP(A118,'UB-DATA'!D:J,7,0)</f>
        <v>open</v>
      </c>
    </row>
    <row r="119" spans="1:3" x14ac:dyDescent="0.25">
      <c r="A119" t="s">
        <v>601</v>
      </c>
      <c r="B119" t="s">
        <v>409</v>
      </c>
      <c r="C119" t="e">
        <f>VLOOKUP(A119,'UB-DATA'!D:J,7,0)</f>
        <v>#N/A</v>
      </c>
    </row>
    <row r="120" spans="1:3" x14ac:dyDescent="0.25">
      <c r="A120" t="s">
        <v>603</v>
      </c>
      <c r="B120" t="s">
        <v>409</v>
      </c>
      <c r="C120" t="str">
        <f>VLOOKUP(A120,'UB-DATA'!D:J,7,0)</f>
        <v>open</v>
      </c>
    </row>
    <row r="121" spans="1:3" x14ac:dyDescent="0.25">
      <c r="A121" t="s">
        <v>605</v>
      </c>
      <c r="B121" t="s">
        <v>409</v>
      </c>
      <c r="C121" t="e">
        <f>VLOOKUP(A121,'UB-DATA'!D:J,7,0)</f>
        <v>#N/A</v>
      </c>
    </row>
    <row r="122" spans="1:3" x14ac:dyDescent="0.25">
      <c r="A122" t="s">
        <v>606</v>
      </c>
      <c r="B122" t="s">
        <v>409</v>
      </c>
      <c r="C122" t="str">
        <f>VLOOKUP(A122,'UB-DATA'!D:J,7,0)</f>
        <v>open</v>
      </c>
    </row>
    <row r="123" spans="1:3" x14ac:dyDescent="0.25">
      <c r="A123" t="s">
        <v>608</v>
      </c>
      <c r="B123" t="s">
        <v>409</v>
      </c>
      <c r="C123" t="str">
        <f>VLOOKUP(A123,'UB-DATA'!D:J,7,0)</f>
        <v>open</v>
      </c>
    </row>
    <row r="124" spans="1:3" x14ac:dyDescent="0.25">
      <c r="A124" t="s">
        <v>610</v>
      </c>
      <c r="B124" t="s">
        <v>409</v>
      </c>
      <c r="C124" t="e">
        <f>VLOOKUP(A124,'UB-DATA'!D:J,7,0)</f>
        <v>#N/A</v>
      </c>
    </row>
    <row r="125" spans="1:3" x14ac:dyDescent="0.25">
      <c r="A125" t="s">
        <v>611</v>
      </c>
      <c r="B125" t="s">
        <v>409</v>
      </c>
      <c r="C125" t="str">
        <f>VLOOKUP(A125,'UB-DATA'!D:J,7,0)</f>
        <v>open</v>
      </c>
    </row>
    <row r="126" spans="1:3" x14ac:dyDescent="0.25">
      <c r="A126" t="s">
        <v>613</v>
      </c>
      <c r="B126" t="s">
        <v>409</v>
      </c>
      <c r="C126" t="str">
        <f>VLOOKUP(A126,'UB-DATA'!D:J,7,0)</f>
        <v>submitted respondent</v>
      </c>
    </row>
    <row r="127" spans="1:3" x14ac:dyDescent="0.25">
      <c r="A127" t="s">
        <v>615</v>
      </c>
      <c r="C127" t="str">
        <f>VLOOKUP(A127,'UB-DATA'!D:J,7,0)</f>
        <v>submitted respondent</v>
      </c>
    </row>
    <row r="128" spans="1:3" x14ac:dyDescent="0.25">
      <c r="A128" t="s">
        <v>616</v>
      </c>
      <c r="C128" t="str">
        <f>VLOOKUP(A128,'UB-DATA'!D:J,7,0)</f>
        <v>submitted respondent</v>
      </c>
    </row>
    <row r="129" spans="1:3" x14ac:dyDescent="0.25">
      <c r="A129" t="s">
        <v>618</v>
      </c>
      <c r="C129" t="str">
        <f>VLOOKUP(A129,'UB-DATA'!D:J,7,0)</f>
        <v>submitted respondent</v>
      </c>
    </row>
    <row r="130" spans="1:3" x14ac:dyDescent="0.25">
      <c r="A130" t="s">
        <v>619</v>
      </c>
      <c r="C130" t="str">
        <f>VLOOKUP(A130,'UB-DATA'!D:J,7,0)</f>
        <v>submitted respondent</v>
      </c>
    </row>
    <row r="131" spans="1:3" x14ac:dyDescent="0.25">
      <c r="A131" t="s">
        <v>621</v>
      </c>
      <c r="C131" t="str">
        <f>VLOOKUP(A131,'UB-DATA'!D:J,7,0)</f>
        <v>submitted respondent</v>
      </c>
    </row>
    <row r="132" spans="1:3" x14ac:dyDescent="0.25">
      <c r="A132" t="s">
        <v>622</v>
      </c>
      <c r="C132" t="str">
        <f>VLOOKUP(A132,'UB-DATA'!D:J,7,0)</f>
        <v>open</v>
      </c>
    </row>
    <row r="133" spans="1:3" x14ac:dyDescent="0.25">
      <c r="A133" t="s">
        <v>623</v>
      </c>
      <c r="C133" t="str">
        <f>VLOOKUP(A133,'UB-DATA'!D:J,7,0)</f>
        <v>open</v>
      </c>
    </row>
    <row r="134" spans="1:3" x14ac:dyDescent="0.25">
      <c r="A134" t="s">
        <v>625</v>
      </c>
      <c r="C134" t="e">
        <f>VLOOKUP(A134,'UB-DATA'!D:J,7,0)</f>
        <v>#N/A</v>
      </c>
    </row>
    <row r="135" spans="1:3" x14ac:dyDescent="0.25">
      <c r="A135" t="s">
        <v>627</v>
      </c>
      <c r="C135" t="e">
        <f>VLOOKUP(A135,'UB-DATA'!D:J,7,0)</f>
        <v>#N/A</v>
      </c>
    </row>
    <row r="136" spans="1:3" x14ac:dyDescent="0.25">
      <c r="A136" t="s">
        <v>629</v>
      </c>
      <c r="C136" t="e">
        <f>VLOOKUP(A136,'UB-DATA'!D:J,7,0)</f>
        <v>#N/A</v>
      </c>
    </row>
    <row r="137" spans="1:3" x14ac:dyDescent="0.25">
      <c r="A137" t="s">
        <v>631</v>
      </c>
      <c r="C137" t="str">
        <f>VLOOKUP(A137,'UB-DATA'!D:J,7,0)</f>
        <v>submitted respondent</v>
      </c>
    </row>
    <row r="138" spans="1:3" x14ac:dyDescent="0.25">
      <c r="A138" t="s">
        <v>632</v>
      </c>
      <c r="C138" t="e">
        <f>VLOOKUP(A138,'UB-DATA'!D:J,7,0)</f>
        <v>#N/A</v>
      </c>
    </row>
  </sheetData>
  <conditionalFormatting sqref="A1:A1048576">
    <cfRule type="duplicateValues" dxfId="2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633</v>
      </c>
    </row>
    <row r="2" spans="1:1" x14ac:dyDescent="0.25">
      <c r="A2" t="s">
        <v>634</v>
      </c>
    </row>
    <row r="3" spans="1:1" x14ac:dyDescent="0.25">
      <c r="A3" t="s">
        <v>635</v>
      </c>
    </row>
    <row r="4" spans="1:1" x14ac:dyDescent="0.25">
      <c r="A4" t="s">
        <v>636</v>
      </c>
    </row>
    <row r="5" spans="1:1" x14ac:dyDescent="0.25">
      <c r="A5" t="s">
        <v>637</v>
      </c>
    </row>
    <row r="6" spans="1:1" x14ac:dyDescent="0.25">
      <c r="A6" t="s">
        <v>638</v>
      </c>
    </row>
    <row r="7" spans="1:1" x14ac:dyDescent="0.25">
      <c r="A7" t="s">
        <v>639</v>
      </c>
    </row>
    <row r="8" spans="1:1" x14ac:dyDescent="0.25">
      <c r="A8" t="s">
        <v>640</v>
      </c>
    </row>
    <row r="9" spans="1:1" x14ac:dyDescent="0.25">
      <c r="A9" t="s">
        <v>641</v>
      </c>
    </row>
    <row r="10" spans="1:1" x14ac:dyDescent="0.25">
      <c r="A10" t="s">
        <v>642</v>
      </c>
    </row>
    <row r="11" spans="1:1" x14ac:dyDescent="0.25">
      <c r="A11" t="s">
        <v>643</v>
      </c>
    </row>
    <row r="12" spans="1:1" x14ac:dyDescent="0.25">
      <c r="A12" t="s">
        <v>644</v>
      </c>
    </row>
    <row r="13" spans="1:1" x14ac:dyDescent="0.25">
      <c r="A13" t="s">
        <v>637</v>
      </c>
    </row>
    <row r="14" spans="1:1" x14ac:dyDescent="0.25">
      <c r="A14" s="4">
        <v>46023</v>
      </c>
    </row>
    <row r="15" spans="1:1" x14ac:dyDescent="0.25">
      <c r="A15" t="s">
        <v>645</v>
      </c>
    </row>
    <row r="16" spans="1:1" x14ac:dyDescent="0.25">
      <c r="A16" t="s">
        <v>637</v>
      </c>
    </row>
    <row r="17" spans="1:1" x14ac:dyDescent="0.25">
      <c r="A17" t="s">
        <v>646</v>
      </c>
    </row>
    <row r="18" spans="1:1" x14ac:dyDescent="0.25">
      <c r="A18" t="s">
        <v>641</v>
      </c>
    </row>
    <row r="19" spans="1:1" x14ac:dyDescent="0.25">
      <c r="A19" t="s">
        <v>647</v>
      </c>
    </row>
    <row r="20" spans="1:1" x14ac:dyDescent="0.25">
      <c r="A20" t="s">
        <v>648</v>
      </c>
    </row>
    <row r="21" spans="1:1" x14ac:dyDescent="0.25">
      <c r="A21" t="s">
        <v>649</v>
      </c>
    </row>
    <row r="22" spans="1:1" x14ac:dyDescent="0.25">
      <c r="A22" t="s">
        <v>650</v>
      </c>
    </row>
    <row r="23" spans="1:1" x14ac:dyDescent="0.25">
      <c r="A23" t="s">
        <v>651</v>
      </c>
    </row>
    <row r="24" spans="1:1" x14ac:dyDescent="0.25">
      <c r="A24" t="s">
        <v>652</v>
      </c>
    </row>
    <row r="25" spans="1:1" x14ac:dyDescent="0.25">
      <c r="A25" t="s">
        <v>653</v>
      </c>
    </row>
    <row r="26" spans="1:1" x14ac:dyDescent="0.25">
      <c r="A26" t="s">
        <v>648</v>
      </c>
    </row>
    <row r="27" spans="1:1" x14ac:dyDescent="0.25">
      <c r="A27" t="s">
        <v>654</v>
      </c>
    </row>
    <row r="28" spans="1:1" x14ac:dyDescent="0.25">
      <c r="A28" t="s">
        <v>655</v>
      </c>
    </row>
    <row r="29" spans="1:1" x14ac:dyDescent="0.25">
      <c r="A29">
        <v>137</v>
      </c>
    </row>
    <row r="30" spans="1:1" x14ac:dyDescent="0.25">
      <c r="A30" t="s">
        <v>656</v>
      </c>
    </row>
    <row r="31" spans="1:1" x14ac:dyDescent="0.25">
      <c r="A31" t="s">
        <v>657</v>
      </c>
    </row>
    <row r="32" spans="1:1" x14ac:dyDescent="0.25">
      <c r="A32" t="s">
        <v>658</v>
      </c>
    </row>
    <row r="33" spans="1:14" x14ac:dyDescent="0.25">
      <c r="A33" t="s">
        <v>659</v>
      </c>
    </row>
    <row r="34" spans="1:14" x14ac:dyDescent="0.25">
      <c r="A34" t="s">
        <v>660</v>
      </c>
    </row>
    <row r="35" spans="1:14" x14ac:dyDescent="0.25">
      <c r="B35" t="s">
        <v>661</v>
      </c>
      <c r="C35" t="s">
        <v>662</v>
      </c>
      <c r="D35" t="s">
        <v>663</v>
      </c>
      <c r="E35" t="s">
        <v>664</v>
      </c>
      <c r="F35" t="s">
        <v>665</v>
      </c>
      <c r="G35" t="s">
        <v>666</v>
      </c>
      <c r="H35" t="s">
        <v>398</v>
      </c>
      <c r="I35" t="s">
        <v>667</v>
      </c>
      <c r="J35" t="s">
        <v>668</v>
      </c>
      <c r="K35" t="s">
        <v>669</v>
      </c>
      <c r="L35" t="s">
        <v>670</v>
      </c>
      <c r="M35" t="s">
        <v>671</v>
      </c>
    </row>
    <row r="36" spans="1:14" x14ac:dyDescent="0.25">
      <c r="B36" t="s">
        <v>672</v>
      </c>
      <c r="C36" t="s">
        <v>608</v>
      </c>
      <c r="D36" t="s">
        <v>608</v>
      </c>
      <c r="E36" t="s">
        <v>609</v>
      </c>
      <c r="F36">
        <v>97410902</v>
      </c>
      <c r="G36" t="s">
        <v>383</v>
      </c>
      <c r="H36" t="s">
        <v>383</v>
      </c>
      <c r="I36" t="s">
        <v>383</v>
      </c>
      <c r="J36" t="s">
        <v>674</v>
      </c>
      <c r="K36" t="s">
        <v>675</v>
      </c>
      <c r="L36" t="s">
        <v>676</v>
      </c>
      <c r="M36" t="s">
        <v>383</v>
      </c>
      <c r="N36" t="str">
        <f>VLOOKUP(C36,UB!A:A,1,0)</f>
        <v>BANK SULUT</v>
      </c>
    </row>
    <row r="37" spans="1:14" x14ac:dyDescent="0.25">
      <c r="B37" t="s">
        <v>673</v>
      </c>
      <c r="L37" t="s">
        <v>677</v>
      </c>
    </row>
    <row r="38" spans="1:14" x14ac:dyDescent="0.25">
      <c r="B38" t="s">
        <v>678</v>
      </c>
      <c r="C38" t="s">
        <v>605</v>
      </c>
      <c r="D38" t="s">
        <v>383</v>
      </c>
      <c r="E38" t="s">
        <v>383</v>
      </c>
      <c r="F38">
        <v>97410201</v>
      </c>
      <c r="G38" t="s">
        <v>383</v>
      </c>
      <c r="H38" t="s">
        <v>383</v>
      </c>
      <c r="I38" t="s">
        <v>679</v>
      </c>
      <c r="J38" t="s">
        <v>680</v>
      </c>
      <c r="K38" t="s">
        <v>681</v>
      </c>
      <c r="L38" t="s">
        <v>682</v>
      </c>
      <c r="M38" t="s">
        <v>383</v>
      </c>
      <c r="N38" t="str">
        <f>VLOOKUP(C38,UB!A:A,1,0)</f>
        <v>BANK BRI</v>
      </c>
    </row>
    <row r="39" spans="1:14" x14ac:dyDescent="0.25">
      <c r="L39" t="s">
        <v>683</v>
      </c>
    </row>
    <row r="40" spans="1:14" x14ac:dyDescent="0.25">
      <c r="B40" t="s">
        <v>684</v>
      </c>
      <c r="C40" t="s">
        <v>586</v>
      </c>
      <c r="D40" t="s">
        <v>383</v>
      </c>
      <c r="E40" t="s">
        <v>383</v>
      </c>
      <c r="F40">
        <v>97410590</v>
      </c>
      <c r="G40" t="s">
        <v>383</v>
      </c>
      <c r="H40" t="s">
        <v>383</v>
      </c>
      <c r="I40" t="s">
        <v>679</v>
      </c>
      <c r="J40" t="s">
        <v>680</v>
      </c>
      <c r="K40" t="s">
        <v>681</v>
      </c>
      <c r="L40" t="s">
        <v>682</v>
      </c>
      <c r="M40" t="s">
        <v>383</v>
      </c>
      <c r="N40" t="str">
        <f>VLOOKUP(C40,UB!A:A,1,0)</f>
        <v>BANK KUMAPAN</v>
      </c>
    </row>
    <row r="41" spans="1:14" x14ac:dyDescent="0.25">
      <c r="L41" t="s">
        <v>683</v>
      </c>
    </row>
    <row r="42" spans="1:14" x14ac:dyDescent="0.25">
      <c r="B42" t="s">
        <v>685</v>
      </c>
      <c r="C42" t="s">
        <v>538</v>
      </c>
      <c r="D42" t="s">
        <v>538</v>
      </c>
      <c r="E42" t="s">
        <v>539</v>
      </c>
      <c r="F42">
        <v>3014309</v>
      </c>
      <c r="G42" t="s">
        <v>383</v>
      </c>
      <c r="H42" t="s">
        <v>686</v>
      </c>
      <c r="I42" t="s">
        <v>383</v>
      </c>
      <c r="J42" t="s">
        <v>674</v>
      </c>
      <c r="K42" t="s">
        <v>675</v>
      </c>
      <c r="L42" t="s">
        <v>383</v>
      </c>
      <c r="M42" t="s">
        <v>383</v>
      </c>
      <c r="N42" t="str">
        <f>VLOOKUP(C42,UB!A:A,1,0)</f>
        <v>BANK OCBC N I S P TBK</v>
      </c>
    </row>
    <row r="43" spans="1:14" x14ac:dyDescent="0.25">
      <c r="B43" t="s">
        <v>687</v>
      </c>
      <c r="C43" t="s">
        <v>401</v>
      </c>
      <c r="D43" t="s">
        <v>401</v>
      </c>
      <c r="E43" t="s">
        <v>402</v>
      </c>
      <c r="F43">
        <v>61061726</v>
      </c>
      <c r="G43" t="s">
        <v>383</v>
      </c>
      <c r="H43" t="s">
        <v>383</v>
      </c>
      <c r="I43" t="s">
        <v>383</v>
      </c>
      <c r="J43" t="s">
        <v>674</v>
      </c>
      <c r="K43" t="s">
        <v>675</v>
      </c>
      <c r="L43" t="s">
        <v>383</v>
      </c>
      <c r="M43" t="s">
        <v>383</v>
      </c>
      <c r="N43" t="str">
        <f>VLOOKUP(C43,UB!A:A,1,0)</f>
        <v>MEMBANGUN SULUT MAJU PERSERODA DISINGKAT MESMA</v>
      </c>
    </row>
    <row r="44" spans="1:14" x14ac:dyDescent="0.25">
      <c r="B44" t="s">
        <v>688</v>
      </c>
      <c r="C44" t="s">
        <v>469</v>
      </c>
      <c r="D44" t="s">
        <v>469</v>
      </c>
      <c r="E44" t="s">
        <v>470</v>
      </c>
      <c r="F44">
        <v>4413258</v>
      </c>
      <c r="G44" t="s">
        <v>383</v>
      </c>
      <c r="H44" t="s">
        <v>689</v>
      </c>
      <c r="I44" t="s">
        <v>383</v>
      </c>
      <c r="J44" t="s">
        <v>674</v>
      </c>
      <c r="K44" t="s">
        <v>675</v>
      </c>
      <c r="L44" t="s">
        <v>383</v>
      </c>
      <c r="M44" t="s">
        <v>383</v>
      </c>
      <c r="N44" t="str">
        <f>VLOOKUP(C44,UB!A:A,1,0)</f>
        <v>ETMIECO MAKMUR ABADI</v>
      </c>
    </row>
    <row r="45" spans="1:14" x14ac:dyDescent="0.25">
      <c r="B45" t="s">
        <v>690</v>
      </c>
      <c r="C45" t="s">
        <v>545</v>
      </c>
      <c r="D45" t="s">
        <v>545</v>
      </c>
      <c r="E45" t="s">
        <v>546</v>
      </c>
      <c r="F45">
        <v>94421586</v>
      </c>
      <c r="G45" t="s">
        <v>383</v>
      </c>
      <c r="H45" t="s">
        <v>691</v>
      </c>
      <c r="I45" t="s">
        <v>383</v>
      </c>
      <c r="J45" t="s">
        <v>674</v>
      </c>
      <c r="K45" t="s">
        <v>675</v>
      </c>
      <c r="L45" t="s">
        <v>383</v>
      </c>
      <c r="M45" t="s">
        <v>383</v>
      </c>
      <c r="N45" t="str">
        <f>VLOOKUP(C45,UB!A:A,1,0)</f>
        <v>PT. Bank Tabungan Negara Persero Tbk. Kantor Cabang Pembantu Bitung</v>
      </c>
    </row>
    <row r="46" spans="1:14" x14ac:dyDescent="0.25">
      <c r="B46" t="s">
        <v>692</v>
      </c>
      <c r="C46" t="s">
        <v>693</v>
      </c>
      <c r="D46" t="s">
        <v>693</v>
      </c>
      <c r="E46" t="s">
        <v>496</v>
      </c>
      <c r="F46">
        <v>3014420</v>
      </c>
      <c r="G46" t="s">
        <v>694</v>
      </c>
      <c r="H46" t="s">
        <v>497</v>
      </c>
      <c r="I46" t="s">
        <v>679</v>
      </c>
      <c r="J46" t="s">
        <v>695</v>
      </c>
      <c r="K46" t="s">
        <v>675</v>
      </c>
      <c r="L46" t="s">
        <v>383</v>
      </c>
      <c r="M46" t="s">
        <v>383</v>
      </c>
      <c r="N46" t="str">
        <f>VLOOKUP(C46,UB!A:A,1,0)</f>
        <v>BANK MANDIRI (PERSERO) TBK</v>
      </c>
    </row>
    <row r="47" spans="1:14" x14ac:dyDescent="0.25">
      <c r="B47" t="s">
        <v>696</v>
      </c>
      <c r="C47" t="s">
        <v>434</v>
      </c>
      <c r="D47" t="s">
        <v>697</v>
      </c>
      <c r="E47" t="s">
        <v>435</v>
      </c>
      <c r="F47">
        <v>97714448</v>
      </c>
      <c r="G47" t="s">
        <v>383</v>
      </c>
      <c r="H47" t="s">
        <v>383</v>
      </c>
      <c r="I47" t="s">
        <v>383</v>
      </c>
      <c r="J47" t="s">
        <v>674</v>
      </c>
      <c r="K47" t="s">
        <v>675</v>
      </c>
      <c r="L47" t="s">
        <v>383</v>
      </c>
      <c r="M47" t="s">
        <v>383</v>
      </c>
      <c r="N47" t="str">
        <f>VLOOKUP(C47,UB!A:A,1,0)</f>
        <v>WARUNG SEMBAKO (OCHA)</v>
      </c>
    </row>
    <row r="48" spans="1:14" x14ac:dyDescent="0.25">
      <c r="B48" t="s">
        <v>698</v>
      </c>
      <c r="C48" t="s">
        <v>542</v>
      </c>
      <c r="D48" t="s">
        <v>699</v>
      </c>
      <c r="E48" t="s">
        <v>537</v>
      </c>
      <c r="F48">
        <v>94424384</v>
      </c>
      <c r="G48" t="s">
        <v>383</v>
      </c>
      <c r="H48" t="s">
        <v>383</v>
      </c>
      <c r="I48" t="s">
        <v>383</v>
      </c>
      <c r="J48" t="s">
        <v>674</v>
      </c>
      <c r="K48" t="s">
        <v>675</v>
      </c>
      <c r="L48" t="s">
        <v>383</v>
      </c>
      <c r="M48" t="s">
        <v>383</v>
      </c>
      <c r="N48" t="str">
        <f>VLOOKUP(C48,UB!A:A,1,0)</f>
        <v>GEMBIRA, UD</v>
      </c>
    </row>
    <row r="49" spans="2:14" x14ac:dyDescent="0.25">
      <c r="B49" t="s">
        <v>700</v>
      </c>
      <c r="C49" t="s">
        <v>588</v>
      </c>
      <c r="D49" t="s">
        <v>701</v>
      </c>
      <c r="E49" t="s">
        <v>589</v>
      </c>
      <c r="F49">
        <v>97715146</v>
      </c>
      <c r="G49">
        <v>9120217130442</v>
      </c>
      <c r="H49" t="s">
        <v>383</v>
      </c>
      <c r="I49" t="s">
        <v>702</v>
      </c>
      <c r="J49" t="s">
        <v>695</v>
      </c>
      <c r="K49" t="s">
        <v>675</v>
      </c>
      <c r="L49" t="s">
        <v>383</v>
      </c>
      <c r="M49" t="s">
        <v>383</v>
      </c>
      <c r="N49" t="str">
        <f>VLOOKUP(C49,UB!A:A,1,0)</f>
        <v>KEMBAR JAYA BITUNG, CV</v>
      </c>
    </row>
    <row r="50" spans="2:14" x14ac:dyDescent="0.25">
      <c r="B50" t="s">
        <v>703</v>
      </c>
      <c r="C50" t="s">
        <v>625</v>
      </c>
      <c r="D50" t="s">
        <v>704</v>
      </c>
      <c r="E50" t="s">
        <v>626</v>
      </c>
      <c r="F50">
        <v>7479284</v>
      </c>
      <c r="G50" t="s">
        <v>383</v>
      </c>
      <c r="H50" t="s">
        <v>383</v>
      </c>
      <c r="I50" t="s">
        <v>383</v>
      </c>
      <c r="J50" t="s">
        <v>674</v>
      </c>
      <c r="K50" t="s">
        <v>675</v>
      </c>
      <c r="L50" t="s">
        <v>383</v>
      </c>
      <c r="M50" t="s">
        <v>383</v>
      </c>
      <c r="N50" t="str">
        <f>VLOOKUP(C50,UB!A:A,1,0)</f>
        <v>PT. IKAN SAMUDRA INDONESIA</v>
      </c>
    </row>
    <row r="51" spans="2:14" x14ac:dyDescent="0.25">
      <c r="B51" t="s">
        <v>705</v>
      </c>
      <c r="C51" t="s">
        <v>460</v>
      </c>
      <c r="D51" t="s">
        <v>460</v>
      </c>
      <c r="E51" t="s">
        <v>461</v>
      </c>
      <c r="F51">
        <v>4223294</v>
      </c>
      <c r="G51" t="s">
        <v>383</v>
      </c>
      <c r="H51" t="s">
        <v>706</v>
      </c>
      <c r="I51" t="s">
        <v>383</v>
      </c>
      <c r="J51" t="s">
        <v>674</v>
      </c>
      <c r="K51" t="s">
        <v>675</v>
      </c>
      <c r="L51" t="s">
        <v>383</v>
      </c>
      <c r="M51" t="s">
        <v>383</v>
      </c>
      <c r="N51" t="str">
        <f>VLOOKUP(C51,UB!A:A,1,0)</f>
        <v>SAMUDERA PURANABILE ABADI</v>
      </c>
    </row>
    <row r="52" spans="2:14" x14ac:dyDescent="0.25">
      <c r="B52" t="s">
        <v>707</v>
      </c>
      <c r="C52" t="s">
        <v>549</v>
      </c>
      <c r="D52" t="s">
        <v>708</v>
      </c>
      <c r="E52" t="s">
        <v>405</v>
      </c>
      <c r="F52">
        <v>94424365</v>
      </c>
      <c r="G52" t="s">
        <v>383</v>
      </c>
      <c r="H52" t="s">
        <v>383</v>
      </c>
      <c r="I52" t="s">
        <v>383</v>
      </c>
      <c r="J52" t="s">
        <v>674</v>
      </c>
      <c r="K52" t="s">
        <v>675</v>
      </c>
      <c r="L52" t="s">
        <v>383</v>
      </c>
      <c r="M52" t="s">
        <v>383</v>
      </c>
      <c r="N52" t="str">
        <f>VLOOKUP(C52,UB!A:A,1,0)</f>
        <v>SINAR MAROS</v>
      </c>
    </row>
    <row r="53" spans="2:14" x14ac:dyDescent="0.25">
      <c r="B53" t="s">
        <v>709</v>
      </c>
      <c r="C53" t="s">
        <v>519</v>
      </c>
      <c r="D53" t="s">
        <v>519</v>
      </c>
      <c r="E53" t="s">
        <v>520</v>
      </c>
      <c r="F53">
        <v>97714862</v>
      </c>
      <c r="G53" t="s">
        <v>383</v>
      </c>
      <c r="H53" t="s">
        <v>383</v>
      </c>
      <c r="I53" t="s">
        <v>383</v>
      </c>
      <c r="J53" t="s">
        <v>674</v>
      </c>
      <c r="K53" t="s">
        <v>675</v>
      </c>
      <c r="L53" t="s">
        <v>383</v>
      </c>
      <c r="M53" t="s">
        <v>383</v>
      </c>
      <c r="N53" t="str">
        <f>VLOOKUP(C53,UB!A:A,1,0)</f>
        <v>TWO FISH DIVERS</v>
      </c>
    </row>
    <row r="54" spans="2:14" x14ac:dyDescent="0.25">
      <c r="B54" t="s">
        <v>710</v>
      </c>
      <c r="C54" t="s">
        <v>547</v>
      </c>
      <c r="D54" t="s">
        <v>711</v>
      </c>
      <c r="E54" t="s">
        <v>548</v>
      </c>
      <c r="F54">
        <v>97714884</v>
      </c>
      <c r="G54" t="s">
        <v>383</v>
      </c>
      <c r="H54" t="s">
        <v>383</v>
      </c>
      <c r="I54" t="s">
        <v>383</v>
      </c>
      <c r="J54" t="s">
        <v>674</v>
      </c>
      <c r="K54" t="s">
        <v>675</v>
      </c>
      <c r="L54" t="s">
        <v>383</v>
      </c>
      <c r="M54" t="s">
        <v>383</v>
      </c>
      <c r="N54" t="str">
        <f>VLOOKUP(C54,UB!A:A,1,0)</f>
        <v>PERDAGANGAN IKAN KERING &lt;HJ DARAKI&gt;</v>
      </c>
    </row>
    <row r="55" spans="2:14" x14ac:dyDescent="0.25">
      <c r="B55" t="s">
        <v>712</v>
      </c>
      <c r="C55" t="s">
        <v>591</v>
      </c>
      <c r="D55" t="s">
        <v>591</v>
      </c>
      <c r="E55" t="s">
        <v>592</v>
      </c>
      <c r="F55">
        <v>161335</v>
      </c>
      <c r="G55" t="s">
        <v>383</v>
      </c>
      <c r="H55" t="s">
        <v>383</v>
      </c>
      <c r="I55" t="s">
        <v>383</v>
      </c>
      <c r="J55" t="s">
        <v>674</v>
      </c>
      <c r="K55" t="s">
        <v>675</v>
      </c>
      <c r="L55" t="s">
        <v>383</v>
      </c>
      <c r="M55" t="s">
        <v>383</v>
      </c>
      <c r="N55" t="str">
        <f>VLOOKUP(C55,UB!A:A,1,0)</f>
        <v>DHARMABHAKTI EKAPERDANA, PT</v>
      </c>
    </row>
    <row r="56" spans="2:14" x14ac:dyDescent="0.25">
      <c r="B56" t="s">
        <v>713</v>
      </c>
      <c r="C56" t="s">
        <v>462</v>
      </c>
      <c r="D56" t="s">
        <v>462</v>
      </c>
      <c r="E56" t="s">
        <v>463</v>
      </c>
      <c r="F56">
        <v>4032983</v>
      </c>
      <c r="G56" t="s">
        <v>383</v>
      </c>
      <c r="H56" t="s">
        <v>714</v>
      </c>
      <c r="I56" t="s">
        <v>383</v>
      </c>
      <c r="J56" t="s">
        <v>674</v>
      </c>
      <c r="K56" t="s">
        <v>675</v>
      </c>
      <c r="L56" t="s">
        <v>383</v>
      </c>
      <c r="M56" t="s">
        <v>383</v>
      </c>
      <c r="N56" t="str">
        <f>VLOOKUP(C56,UB!A:A,1,0)</f>
        <v>SARI TUNA MAKMUR</v>
      </c>
    </row>
    <row r="57" spans="2:14" x14ac:dyDescent="0.25">
      <c r="B57" t="s">
        <v>715</v>
      </c>
      <c r="C57" t="s">
        <v>600</v>
      </c>
      <c r="D57" t="s">
        <v>600</v>
      </c>
      <c r="E57" t="s">
        <v>597</v>
      </c>
      <c r="F57">
        <v>97410211</v>
      </c>
      <c r="G57" t="s">
        <v>383</v>
      </c>
      <c r="H57" t="s">
        <v>383</v>
      </c>
      <c r="I57" t="s">
        <v>383</v>
      </c>
      <c r="J57" t="s">
        <v>674</v>
      </c>
      <c r="K57" t="s">
        <v>675</v>
      </c>
      <c r="L57" t="s">
        <v>383</v>
      </c>
      <c r="M57" t="s">
        <v>383</v>
      </c>
      <c r="N57" t="str">
        <f>VLOOKUP(C57,UB!A:A,1,0)</f>
        <v>BANK BRI (TERAS)</v>
      </c>
    </row>
    <row r="58" spans="2:14" x14ac:dyDescent="0.25">
      <c r="B58" t="s">
        <v>716</v>
      </c>
      <c r="C58" t="s">
        <v>505</v>
      </c>
      <c r="D58" t="s">
        <v>505</v>
      </c>
      <c r="E58" t="s">
        <v>506</v>
      </c>
      <c r="F58">
        <v>97409285</v>
      </c>
      <c r="G58" t="s">
        <v>383</v>
      </c>
      <c r="H58" t="s">
        <v>383</v>
      </c>
      <c r="I58" t="s">
        <v>383</v>
      </c>
      <c r="J58" t="s">
        <v>674</v>
      </c>
      <c r="K58" t="s">
        <v>675</v>
      </c>
      <c r="L58" t="s">
        <v>383</v>
      </c>
      <c r="M58" t="s">
        <v>383</v>
      </c>
      <c r="N58" t="str">
        <f>VLOOKUP(C58,UB!A:A,1,0)</f>
        <v>BANK BRI pt</v>
      </c>
    </row>
    <row r="59" spans="2:14" x14ac:dyDescent="0.25">
      <c r="B59" t="s">
        <v>717</v>
      </c>
      <c r="C59" t="s">
        <v>533</v>
      </c>
      <c r="D59" t="s">
        <v>533</v>
      </c>
      <c r="E59" t="s">
        <v>534</v>
      </c>
      <c r="F59">
        <v>3020077</v>
      </c>
      <c r="G59" t="s">
        <v>383</v>
      </c>
      <c r="H59" t="s">
        <v>718</v>
      </c>
      <c r="I59" t="s">
        <v>383</v>
      </c>
      <c r="J59" t="s">
        <v>674</v>
      </c>
      <c r="K59" t="s">
        <v>675</v>
      </c>
      <c r="L59" t="s">
        <v>383</v>
      </c>
      <c r="M59" t="s">
        <v>383</v>
      </c>
      <c r="N59" t="str">
        <f>VLOOKUP(C59,UB!A:A,1,0)</f>
        <v>BANK RAKYAT INDONESIA (PERSERO) TBK, PT</v>
      </c>
    </row>
    <row r="60" spans="2:14" x14ac:dyDescent="0.25">
      <c r="B60" t="s">
        <v>719</v>
      </c>
      <c r="C60" t="s">
        <v>575</v>
      </c>
      <c r="D60" t="s">
        <v>720</v>
      </c>
      <c r="E60" t="s">
        <v>576</v>
      </c>
      <c r="F60">
        <v>97714796</v>
      </c>
      <c r="G60" t="s">
        <v>383</v>
      </c>
      <c r="H60" t="s">
        <v>383</v>
      </c>
      <c r="I60" t="s">
        <v>383</v>
      </c>
      <c r="J60" t="s">
        <v>674</v>
      </c>
      <c r="K60" t="s">
        <v>675</v>
      </c>
      <c r="L60" t="s">
        <v>383</v>
      </c>
      <c r="M60" t="s">
        <v>383</v>
      </c>
      <c r="N60" t="str">
        <f>VLOOKUP(C60,UB!A:A,1,0)</f>
        <v>WARUNG SEMBAKO &lt;YOAN&gt;</v>
      </c>
    </row>
    <row r="61" spans="2:14" x14ac:dyDescent="0.25">
      <c r="B61" t="s">
        <v>721</v>
      </c>
      <c r="C61" t="s">
        <v>423</v>
      </c>
      <c r="D61" t="s">
        <v>423</v>
      </c>
      <c r="E61" t="s">
        <v>424</v>
      </c>
      <c r="F61">
        <v>94412742</v>
      </c>
      <c r="G61" t="s">
        <v>383</v>
      </c>
      <c r="H61" t="s">
        <v>383</v>
      </c>
      <c r="I61" t="s">
        <v>383</v>
      </c>
      <c r="J61" t="s">
        <v>674</v>
      </c>
      <c r="K61" t="s">
        <v>675</v>
      </c>
      <c r="L61" t="s">
        <v>383</v>
      </c>
      <c r="M61" t="s">
        <v>383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722</v>
      </c>
      <c r="C62" t="s">
        <v>517</v>
      </c>
      <c r="D62" t="s">
        <v>723</v>
      </c>
      <c r="E62" t="s">
        <v>448</v>
      </c>
      <c r="F62">
        <v>97714758</v>
      </c>
      <c r="G62" t="s">
        <v>383</v>
      </c>
      <c r="H62" t="s">
        <v>383</v>
      </c>
      <c r="I62" t="s">
        <v>383</v>
      </c>
      <c r="J62" t="s">
        <v>674</v>
      </c>
      <c r="K62" t="s">
        <v>675</v>
      </c>
      <c r="L62" t="s">
        <v>383</v>
      </c>
      <c r="M62" t="s">
        <v>383</v>
      </c>
      <c r="N62" t="str">
        <f>VLOOKUP(C62,UB!A:A,1,0)</f>
        <v>CAHAYA SIDRAP HJ AL</v>
      </c>
    </row>
    <row r="63" spans="2:14" x14ac:dyDescent="0.25">
      <c r="B63" t="s">
        <v>724</v>
      </c>
      <c r="C63" t="s">
        <v>595</v>
      </c>
      <c r="D63" t="s">
        <v>595</v>
      </c>
      <c r="E63" t="s">
        <v>576</v>
      </c>
      <c r="F63">
        <v>97714802</v>
      </c>
      <c r="G63" t="s">
        <v>383</v>
      </c>
      <c r="H63" t="s">
        <v>383</v>
      </c>
      <c r="I63" t="s">
        <v>383</v>
      </c>
      <c r="J63" t="s">
        <v>674</v>
      </c>
      <c r="K63" t="s">
        <v>675</v>
      </c>
      <c r="L63" t="s">
        <v>383</v>
      </c>
      <c r="M63" t="s">
        <v>383</v>
      </c>
      <c r="N63" t="str">
        <f>VLOOKUP(C63,UB!A:A,1,0)</f>
        <v>WARUNG SEMBAKO &lt;SALIM&gt;</v>
      </c>
    </row>
    <row r="64" spans="2:14" x14ac:dyDescent="0.25">
      <c r="B64" t="s">
        <v>725</v>
      </c>
      <c r="C64" t="s">
        <v>499</v>
      </c>
      <c r="D64" t="s">
        <v>499</v>
      </c>
      <c r="E64" t="s">
        <v>500</v>
      </c>
      <c r="F64">
        <v>98069273</v>
      </c>
      <c r="G64" t="s">
        <v>383</v>
      </c>
      <c r="H64" t="s">
        <v>383</v>
      </c>
      <c r="I64" t="s">
        <v>383</v>
      </c>
      <c r="J64" t="s">
        <v>674</v>
      </c>
      <c r="K64" t="s">
        <v>675</v>
      </c>
      <c r="L64" t="s">
        <v>383</v>
      </c>
      <c r="M64" t="s">
        <v>383</v>
      </c>
      <c r="N64" t="str">
        <f>VLOOKUP(C64,UB!A:A,1,0)</f>
        <v>SALIM IVOMAS PRATAMA, PT</v>
      </c>
    </row>
    <row r="65" spans="2:14" x14ac:dyDescent="0.25">
      <c r="B65" t="s">
        <v>726</v>
      </c>
      <c r="C65" t="s">
        <v>727</v>
      </c>
      <c r="D65" t="s">
        <v>728</v>
      </c>
      <c r="E65" t="s">
        <v>590</v>
      </c>
      <c r="F65">
        <v>97410253</v>
      </c>
      <c r="G65">
        <v>9120217170584</v>
      </c>
      <c r="H65" t="s">
        <v>729</v>
      </c>
      <c r="I65" t="s">
        <v>730</v>
      </c>
      <c r="J65" t="s">
        <v>695</v>
      </c>
      <c r="K65" t="s">
        <v>675</v>
      </c>
      <c r="L65" t="s">
        <v>383</v>
      </c>
      <c r="M65" t="s">
        <v>383</v>
      </c>
      <c r="N65" t="str">
        <f>VLOOKUP(C65,UB!A:A,1,0)</f>
        <v>BGR LOGISTIK INDONESIA, PT</v>
      </c>
    </row>
    <row r="66" spans="2:14" x14ac:dyDescent="0.25">
      <c r="B66" t="s">
        <v>731</v>
      </c>
      <c r="C66" t="s">
        <v>439</v>
      </c>
      <c r="D66" t="s">
        <v>439</v>
      </c>
      <c r="E66" t="s">
        <v>402</v>
      </c>
      <c r="F66">
        <v>61061729</v>
      </c>
      <c r="G66" t="s">
        <v>383</v>
      </c>
      <c r="H66" t="s">
        <v>383</v>
      </c>
      <c r="I66" t="s">
        <v>383</v>
      </c>
      <c r="J66" t="s">
        <v>674</v>
      </c>
      <c r="K66" t="s">
        <v>675</v>
      </c>
      <c r="L66" t="s">
        <v>383</v>
      </c>
      <c r="M66" t="s">
        <v>383</v>
      </c>
      <c r="N66" t="str">
        <f>VLOOKUP(C66,UB!A:A,1,0)</f>
        <v>TONG BITUNG JAYA</v>
      </c>
    </row>
    <row r="67" spans="2:14" x14ac:dyDescent="0.25">
      <c r="B67" t="s">
        <v>732</v>
      </c>
      <c r="C67" t="s">
        <v>404</v>
      </c>
      <c r="D67" t="s">
        <v>733</v>
      </c>
      <c r="E67" t="s">
        <v>405</v>
      </c>
      <c r="F67">
        <v>97714998</v>
      </c>
      <c r="G67" t="s">
        <v>383</v>
      </c>
      <c r="H67" t="s">
        <v>383</v>
      </c>
      <c r="I67" t="s">
        <v>383</v>
      </c>
      <c r="J67" t="s">
        <v>674</v>
      </c>
      <c r="K67" t="s">
        <v>675</v>
      </c>
      <c r="L67" t="s">
        <v>383</v>
      </c>
      <c r="M67" t="s">
        <v>383</v>
      </c>
      <c r="N67" t="str">
        <f>VLOOKUP(C67,UB!A:A,1,0)</f>
        <v>AGEN JUAL BERAS &lt;RAIS&gt;</v>
      </c>
    </row>
    <row r="68" spans="2:14" x14ac:dyDescent="0.25">
      <c r="B68" t="s">
        <v>734</v>
      </c>
      <c r="C68" t="s">
        <v>529</v>
      </c>
      <c r="D68" t="s">
        <v>735</v>
      </c>
      <c r="E68" t="s">
        <v>530</v>
      </c>
      <c r="F68">
        <v>97714944</v>
      </c>
      <c r="G68" t="s">
        <v>383</v>
      </c>
      <c r="H68" t="s">
        <v>383</v>
      </c>
      <c r="I68" t="s">
        <v>383</v>
      </c>
      <c r="J68" t="s">
        <v>674</v>
      </c>
      <c r="K68" t="s">
        <v>675</v>
      </c>
      <c r="L68" t="s">
        <v>383</v>
      </c>
      <c r="M68" t="s">
        <v>383</v>
      </c>
      <c r="N68" t="str">
        <f>VLOOKUP(C68,UB!A:A,1,0)</f>
        <v>TOKO ALVIN JAYA</v>
      </c>
    </row>
    <row r="69" spans="2:14" x14ac:dyDescent="0.25">
      <c r="B69" t="s">
        <v>736</v>
      </c>
      <c r="C69" t="s">
        <v>456</v>
      </c>
      <c r="D69" t="s">
        <v>456</v>
      </c>
      <c r="E69" t="s">
        <v>457</v>
      </c>
      <c r="F69">
        <v>2631074</v>
      </c>
      <c r="G69" t="s">
        <v>383</v>
      </c>
      <c r="H69" t="s">
        <v>737</v>
      </c>
      <c r="I69" t="s">
        <v>383</v>
      </c>
      <c r="J69" t="s">
        <v>674</v>
      </c>
      <c r="K69" t="s">
        <v>675</v>
      </c>
      <c r="L69" t="s">
        <v>383</v>
      </c>
      <c r="M69" t="s">
        <v>383</v>
      </c>
      <c r="N69" t="str">
        <f>VLOOKUP(C69,UB!A:A,1,0)</f>
        <v>ABADI NUSANTARA UTAMA</v>
      </c>
    </row>
    <row r="70" spans="2:14" x14ac:dyDescent="0.25">
      <c r="B70" t="s">
        <v>738</v>
      </c>
      <c r="C70" t="s">
        <v>611</v>
      </c>
      <c r="D70" t="s">
        <v>611</v>
      </c>
      <c r="E70" t="s">
        <v>612</v>
      </c>
      <c r="F70">
        <v>95333943</v>
      </c>
      <c r="G70" t="s">
        <v>383</v>
      </c>
      <c r="H70" t="s">
        <v>383</v>
      </c>
      <c r="I70" t="s">
        <v>383</v>
      </c>
      <c r="J70" t="s">
        <v>674</v>
      </c>
      <c r="K70" t="s">
        <v>675</v>
      </c>
      <c r="L70" t="s">
        <v>383</v>
      </c>
      <c r="M70" t="s">
        <v>383</v>
      </c>
      <c r="N70" t="str">
        <f>VLOOKUP(C70,UB!A:A,1,0)</f>
        <v>PT Sinar Mas Multifinance, Kantor Cabang Bitung</v>
      </c>
    </row>
    <row r="71" spans="2:14" x14ac:dyDescent="0.25">
      <c r="B71" t="s">
        <v>739</v>
      </c>
      <c r="C71" t="s">
        <v>623</v>
      </c>
      <c r="D71" t="s">
        <v>623</v>
      </c>
      <c r="E71" t="s">
        <v>624</v>
      </c>
      <c r="F71">
        <v>61061727</v>
      </c>
      <c r="G71" t="s">
        <v>383</v>
      </c>
      <c r="H71" t="s">
        <v>383</v>
      </c>
      <c r="I71" t="s">
        <v>383</v>
      </c>
      <c r="J71" t="s">
        <v>674</v>
      </c>
      <c r="K71" t="s">
        <v>675</v>
      </c>
      <c r="L71" t="s">
        <v>383</v>
      </c>
      <c r="M71" t="s">
        <v>383</v>
      </c>
      <c r="N71" t="str">
        <f>VLOOKUP(C71,UB!A:A,1,0)</f>
        <v>PT Multi Duta Cipta</v>
      </c>
    </row>
    <row r="72" spans="2:14" x14ac:dyDescent="0.25">
      <c r="B72" t="s">
        <v>740</v>
      </c>
      <c r="C72" t="s">
        <v>502</v>
      </c>
      <c r="D72" t="s">
        <v>502</v>
      </c>
      <c r="E72" t="s">
        <v>490</v>
      </c>
      <c r="F72">
        <v>97409748</v>
      </c>
      <c r="G72" t="s">
        <v>383</v>
      </c>
      <c r="H72" t="s">
        <v>741</v>
      </c>
      <c r="I72" t="s">
        <v>383</v>
      </c>
      <c r="J72" t="s">
        <v>674</v>
      </c>
      <c r="K72" t="s">
        <v>675</v>
      </c>
      <c r="L72" t="s">
        <v>383</v>
      </c>
      <c r="M72" t="s">
        <v>383</v>
      </c>
      <c r="N72" t="str">
        <f>VLOOKUP(C72,UB!A:A,1,0)</f>
        <v>TIGA BERLIAN ASIANA . PT</v>
      </c>
    </row>
    <row r="73" spans="2:14" x14ac:dyDescent="0.25">
      <c r="B73" t="s">
        <v>742</v>
      </c>
      <c r="C73" t="s">
        <v>430</v>
      </c>
      <c r="D73" t="s">
        <v>430</v>
      </c>
      <c r="E73" t="s">
        <v>431</v>
      </c>
      <c r="F73">
        <v>4127530</v>
      </c>
      <c r="G73" t="s">
        <v>383</v>
      </c>
      <c r="H73" t="s">
        <v>743</v>
      </c>
      <c r="I73" t="s">
        <v>383</v>
      </c>
      <c r="J73" t="s">
        <v>674</v>
      </c>
      <c r="K73" t="s">
        <v>675</v>
      </c>
      <c r="L73" t="s">
        <v>383</v>
      </c>
      <c r="M73" t="s">
        <v>383</v>
      </c>
      <c r="N73" t="str">
        <f>VLOOKUP(C73,UB!A:A,1,0)</f>
        <v>SINAR KARYA MEGA PERSADA</v>
      </c>
    </row>
    <row r="74" spans="2:14" x14ac:dyDescent="0.25">
      <c r="B74" t="s">
        <v>744</v>
      </c>
      <c r="C74" t="s">
        <v>535</v>
      </c>
      <c r="D74" t="s">
        <v>535</v>
      </c>
      <c r="E74" t="s">
        <v>536</v>
      </c>
      <c r="F74">
        <v>94418906</v>
      </c>
      <c r="G74" t="s">
        <v>383</v>
      </c>
      <c r="H74" t="s">
        <v>383</v>
      </c>
      <c r="I74" t="s">
        <v>383</v>
      </c>
      <c r="J74" t="s">
        <v>674</v>
      </c>
      <c r="K74" t="s">
        <v>675</v>
      </c>
      <c r="L74" t="s">
        <v>383</v>
      </c>
      <c r="M74" t="s">
        <v>383</v>
      </c>
      <c r="N74" t="str">
        <f>VLOOKUP(C74,UB!A:A,1,0)</f>
        <v>Bancaasurance BNI Life Sulawesi Utara VII</v>
      </c>
    </row>
    <row r="75" spans="2:14" x14ac:dyDescent="0.25">
      <c r="B75" t="s">
        <v>745</v>
      </c>
      <c r="C75" t="s">
        <v>419</v>
      </c>
      <c r="D75" t="s">
        <v>419</v>
      </c>
      <c r="E75" t="s">
        <v>420</v>
      </c>
      <c r="F75">
        <v>3245852</v>
      </c>
      <c r="G75" t="s">
        <v>383</v>
      </c>
      <c r="H75" t="s">
        <v>383</v>
      </c>
      <c r="I75" t="s">
        <v>383</v>
      </c>
      <c r="J75" t="s">
        <v>674</v>
      </c>
      <c r="K75" t="s">
        <v>675</v>
      </c>
      <c r="L75" t="s">
        <v>383</v>
      </c>
      <c r="M75" t="s">
        <v>383</v>
      </c>
      <c r="N75" t="str">
        <f>VLOOKUP(C75,UB!A:A,1,0)</f>
        <v>AWILTON NYIUR INTERNASIONAL</v>
      </c>
    </row>
    <row r="76" spans="2:14" x14ac:dyDescent="0.25">
      <c r="B76" t="s">
        <v>746</v>
      </c>
      <c r="C76" t="s">
        <v>468</v>
      </c>
      <c r="D76" t="s">
        <v>747</v>
      </c>
      <c r="E76" t="s">
        <v>465</v>
      </c>
      <c r="F76">
        <v>97411194</v>
      </c>
      <c r="G76" t="s">
        <v>383</v>
      </c>
      <c r="H76" t="s">
        <v>383</v>
      </c>
      <c r="I76" t="s">
        <v>383</v>
      </c>
      <c r="J76" t="s">
        <v>674</v>
      </c>
      <c r="K76" t="s">
        <v>675</v>
      </c>
      <c r="L76" t="s">
        <v>383</v>
      </c>
      <c r="M76" t="s">
        <v>383</v>
      </c>
      <c r="N76" t="str">
        <f>VLOOKUP(C76,UB!A:A,1,0)</f>
        <v>BRI UNIT PATETEN</v>
      </c>
    </row>
    <row r="77" spans="2:14" x14ac:dyDescent="0.25">
      <c r="B77" t="s">
        <v>748</v>
      </c>
      <c r="C77" t="s">
        <v>596</v>
      </c>
      <c r="D77" t="s">
        <v>596</v>
      </c>
      <c r="E77" t="s">
        <v>597</v>
      </c>
      <c r="F77">
        <v>97714783</v>
      </c>
      <c r="G77" t="s">
        <v>383</v>
      </c>
      <c r="H77" t="s">
        <v>383</v>
      </c>
      <c r="I77" t="s">
        <v>383</v>
      </c>
      <c r="J77" t="s">
        <v>674</v>
      </c>
      <c r="K77" t="s">
        <v>675</v>
      </c>
      <c r="L77" t="s">
        <v>383</v>
      </c>
      <c r="M77" t="s">
        <v>383</v>
      </c>
      <c r="N77" t="str">
        <f>VLOOKUP(C77,UB!A:A,1,0)</f>
        <v>DAUR ULANG BAN BEKAS</v>
      </c>
    </row>
    <row r="78" spans="2:14" x14ac:dyDescent="0.25">
      <c r="B78" t="s">
        <v>749</v>
      </c>
      <c r="C78" t="s">
        <v>511</v>
      </c>
      <c r="D78" t="s">
        <v>750</v>
      </c>
      <c r="E78" t="s">
        <v>512</v>
      </c>
      <c r="F78">
        <v>94437325</v>
      </c>
      <c r="G78" t="s">
        <v>383</v>
      </c>
      <c r="H78" t="s">
        <v>383</v>
      </c>
      <c r="I78" t="s">
        <v>383</v>
      </c>
      <c r="J78" t="s">
        <v>674</v>
      </c>
      <c r="K78" t="s">
        <v>675</v>
      </c>
      <c r="L78" t="s">
        <v>383</v>
      </c>
      <c r="M78" t="s">
        <v>383</v>
      </c>
      <c r="N78" t="str">
        <f>VLOOKUP(C78,UB!A:A,1,0)</f>
        <v>POS INDONESIA (PERSERO), PT</v>
      </c>
    </row>
    <row r="79" spans="2:14" x14ac:dyDescent="0.25">
      <c r="B79" t="s">
        <v>751</v>
      </c>
      <c r="C79" t="s">
        <v>603</v>
      </c>
      <c r="D79" t="s">
        <v>603</v>
      </c>
      <c r="E79" t="s">
        <v>604</v>
      </c>
      <c r="F79">
        <v>4352603</v>
      </c>
      <c r="G79" t="s">
        <v>383</v>
      </c>
      <c r="H79" t="s">
        <v>752</v>
      </c>
      <c r="I79" t="s">
        <v>383</v>
      </c>
      <c r="J79" t="s">
        <v>674</v>
      </c>
      <c r="K79" t="s">
        <v>675</v>
      </c>
      <c r="L79" t="s">
        <v>383</v>
      </c>
      <c r="M79" t="s">
        <v>383</v>
      </c>
      <c r="N79" t="str">
        <f>VLOOKUP(C79,UB!A:A,1,0)</f>
        <v>RIZKY KURNIA ABADI JAYA</v>
      </c>
    </row>
    <row r="80" spans="2:14" x14ac:dyDescent="0.25">
      <c r="B80" t="s">
        <v>753</v>
      </c>
      <c r="C80" t="s">
        <v>437</v>
      </c>
      <c r="D80" t="s">
        <v>437</v>
      </c>
      <c r="E80" t="s">
        <v>402</v>
      </c>
      <c r="F80">
        <v>61061730</v>
      </c>
      <c r="G80" t="s">
        <v>383</v>
      </c>
      <c r="H80" t="s">
        <v>383</v>
      </c>
      <c r="I80" t="s">
        <v>383</v>
      </c>
      <c r="J80" t="s">
        <v>674</v>
      </c>
      <c r="K80" t="s">
        <v>675</v>
      </c>
      <c r="L80" t="s">
        <v>383</v>
      </c>
      <c r="M80" t="s">
        <v>383</v>
      </c>
      <c r="N80" t="str">
        <f>VLOOKUP(C80,UB!A:A,1,0)</f>
        <v>ULAM LAUT NUSANTARA</v>
      </c>
    </row>
    <row r="81" spans="2:14" x14ac:dyDescent="0.25">
      <c r="B81" t="s">
        <v>754</v>
      </c>
      <c r="C81" t="s">
        <v>498</v>
      </c>
      <c r="D81" t="s">
        <v>755</v>
      </c>
      <c r="E81" t="s">
        <v>412</v>
      </c>
      <c r="F81">
        <v>4494201</v>
      </c>
      <c r="G81" t="s">
        <v>383</v>
      </c>
      <c r="H81" t="s">
        <v>756</v>
      </c>
      <c r="I81" t="s">
        <v>383</v>
      </c>
      <c r="J81" t="s">
        <v>674</v>
      </c>
      <c r="K81" t="s">
        <v>675</v>
      </c>
      <c r="L81" t="s">
        <v>383</v>
      </c>
      <c r="M81" t="s">
        <v>383</v>
      </c>
      <c r="N81" t="str">
        <f>VLOOKUP(C81,UB!A:A,1,0)</f>
        <v>CAHAYA KADOODAN</v>
      </c>
    </row>
    <row r="82" spans="2:14" x14ac:dyDescent="0.25">
      <c r="B82" t="s">
        <v>757</v>
      </c>
      <c r="C82" t="s">
        <v>587</v>
      </c>
      <c r="D82" t="s">
        <v>758</v>
      </c>
      <c r="E82" t="s">
        <v>585</v>
      </c>
      <c r="F82">
        <v>97714858</v>
      </c>
      <c r="G82" t="s">
        <v>383</v>
      </c>
      <c r="H82" t="s">
        <v>383</v>
      </c>
      <c r="I82" t="s">
        <v>383</v>
      </c>
      <c r="J82" t="s">
        <v>674</v>
      </c>
      <c r="K82" t="s">
        <v>675</v>
      </c>
      <c r="L82" t="s">
        <v>383</v>
      </c>
      <c r="M82" t="s">
        <v>383</v>
      </c>
      <c r="N82" t="str">
        <f>VLOOKUP(C82,UB!A:A,1,0)</f>
        <v>PABRIK TEMPE TAHU</v>
      </c>
    </row>
    <row r="83" spans="2:14" x14ac:dyDescent="0.25">
      <c r="B83" t="s">
        <v>759</v>
      </c>
      <c r="C83" t="s">
        <v>443</v>
      </c>
      <c r="D83" t="s">
        <v>760</v>
      </c>
      <c r="E83" t="s">
        <v>445</v>
      </c>
      <c r="F83">
        <v>94431373</v>
      </c>
      <c r="G83" t="s">
        <v>383</v>
      </c>
      <c r="H83" t="s">
        <v>383</v>
      </c>
      <c r="I83" t="s">
        <v>383</v>
      </c>
      <c r="J83" t="s">
        <v>674</v>
      </c>
      <c r="K83" t="s">
        <v>675</v>
      </c>
      <c r="L83" t="s">
        <v>383</v>
      </c>
      <c r="M83" t="s">
        <v>383</v>
      </c>
      <c r="N83" t="str">
        <f>VLOOKUP(C83,UB!A:A,1,0)</f>
        <v>PEGADAIAN, PT</v>
      </c>
    </row>
    <row r="84" spans="2:14" x14ac:dyDescent="0.25">
      <c r="B84" t="s">
        <v>761</v>
      </c>
      <c r="C84" t="s">
        <v>629</v>
      </c>
      <c r="D84" t="s">
        <v>762</v>
      </c>
      <c r="E84" t="s">
        <v>630</v>
      </c>
      <c r="F84">
        <v>7479285</v>
      </c>
      <c r="G84" t="s">
        <v>383</v>
      </c>
      <c r="H84" t="s">
        <v>763</v>
      </c>
      <c r="I84" t="s">
        <v>383</v>
      </c>
      <c r="J84" t="s">
        <v>674</v>
      </c>
      <c r="K84" t="s">
        <v>675</v>
      </c>
      <c r="L84" t="s">
        <v>383</v>
      </c>
      <c r="M84" t="s">
        <v>383</v>
      </c>
      <c r="N84" t="str">
        <f>VLOOKUP(C84,UB!A:A,1,0)</f>
        <v>PT. KABASARAN TRITIS INTERNASIONAL</v>
      </c>
    </row>
    <row r="85" spans="2:14" x14ac:dyDescent="0.25">
      <c r="B85" t="s">
        <v>764</v>
      </c>
      <c r="C85" t="s">
        <v>429</v>
      </c>
      <c r="D85" t="s">
        <v>429</v>
      </c>
      <c r="E85" t="s">
        <v>418</v>
      </c>
      <c r="F85">
        <v>97410041</v>
      </c>
      <c r="G85" t="s">
        <v>383</v>
      </c>
      <c r="H85" t="s">
        <v>383</v>
      </c>
      <c r="I85" t="s">
        <v>383</v>
      </c>
      <c r="J85" t="s">
        <v>674</v>
      </c>
      <c r="K85" t="s">
        <v>675</v>
      </c>
      <c r="L85" t="s">
        <v>383</v>
      </c>
      <c r="M85" t="s">
        <v>383</v>
      </c>
      <c r="N85" t="str">
        <f>VLOOKUP(C85,UB!A:A,1,0)</f>
        <v>pt. bANK rAKYAT iNDONESIA UNIT SAGERAT</v>
      </c>
    </row>
    <row r="86" spans="2:14" x14ac:dyDescent="0.25">
      <c r="B86" t="s">
        <v>765</v>
      </c>
      <c r="C86" t="s">
        <v>601</v>
      </c>
      <c r="D86" t="s">
        <v>766</v>
      </c>
      <c r="E86" t="s">
        <v>602</v>
      </c>
      <c r="F86">
        <v>97714810</v>
      </c>
      <c r="G86" t="s">
        <v>383</v>
      </c>
      <c r="H86" t="s">
        <v>383</v>
      </c>
      <c r="I86" t="s">
        <v>383</v>
      </c>
      <c r="J86" t="s">
        <v>674</v>
      </c>
      <c r="K86" t="s">
        <v>675</v>
      </c>
      <c r="L86" t="s">
        <v>383</v>
      </c>
      <c r="M86" t="s">
        <v>383</v>
      </c>
      <c r="N86" t="str">
        <f>VLOOKUP(C86,UB!A:A,1,0)</f>
        <v>JUAL AYAM &lt;SARTON&gt;</v>
      </c>
    </row>
    <row r="87" spans="2:14" x14ac:dyDescent="0.25">
      <c r="B87" t="s">
        <v>767</v>
      </c>
      <c r="C87" t="s">
        <v>513</v>
      </c>
      <c r="D87" t="s">
        <v>768</v>
      </c>
      <c r="E87" t="s">
        <v>514</v>
      </c>
      <c r="F87">
        <v>94440349</v>
      </c>
      <c r="G87" t="s">
        <v>383</v>
      </c>
      <c r="H87" t="s">
        <v>383</v>
      </c>
      <c r="I87" t="s">
        <v>383</v>
      </c>
      <c r="J87" t="s">
        <v>674</v>
      </c>
      <c r="K87" t="s">
        <v>675</v>
      </c>
      <c r="L87" t="s">
        <v>383</v>
      </c>
      <c r="M87" t="s">
        <v>383</v>
      </c>
      <c r="N87" t="str">
        <f>VLOOKUP(C87,UB!A:A,1,0)</f>
        <v>CATALIST INTEGRA PRIMA SUKSES, PT</v>
      </c>
    </row>
    <row r="88" spans="2:14" x14ac:dyDescent="0.25">
      <c r="B88" t="s">
        <v>769</v>
      </c>
      <c r="C88" t="s">
        <v>525</v>
      </c>
      <c r="D88" t="s">
        <v>525</v>
      </c>
      <c r="E88" t="s">
        <v>526</v>
      </c>
      <c r="F88">
        <v>3069234</v>
      </c>
      <c r="G88" t="s">
        <v>383</v>
      </c>
      <c r="H88" t="s">
        <v>770</v>
      </c>
      <c r="I88" t="s">
        <v>383</v>
      </c>
      <c r="J88" t="s">
        <v>674</v>
      </c>
      <c r="K88" t="s">
        <v>675</v>
      </c>
      <c r="L88" t="s">
        <v>383</v>
      </c>
      <c r="M88" t="s">
        <v>383</v>
      </c>
      <c r="N88" t="str">
        <f>VLOOKUP(C88,UB!A:A,1,0)</f>
        <v>BANK CENTRAL ASIA TBK.</v>
      </c>
    </row>
    <row r="89" spans="2:14" x14ac:dyDescent="0.25">
      <c r="B89" t="s">
        <v>771</v>
      </c>
      <c r="C89" t="s">
        <v>466</v>
      </c>
      <c r="D89" t="s">
        <v>466</v>
      </c>
      <c r="E89" t="s">
        <v>467</v>
      </c>
      <c r="F89">
        <v>2560949</v>
      </c>
      <c r="G89" t="s">
        <v>383</v>
      </c>
      <c r="H89" t="s">
        <v>772</v>
      </c>
      <c r="I89" t="s">
        <v>383</v>
      </c>
      <c r="J89" t="s">
        <v>674</v>
      </c>
      <c r="K89" t="s">
        <v>675</v>
      </c>
      <c r="L89" t="s">
        <v>383</v>
      </c>
      <c r="M89" t="s">
        <v>383</v>
      </c>
      <c r="N89" t="str">
        <f>VLOOKUP(C89,UB!A:A,1,0)</f>
        <v>BANK SYARIAH MEGA INDONESIA</v>
      </c>
    </row>
    <row r="90" spans="2:14" x14ac:dyDescent="0.25">
      <c r="B90" t="s">
        <v>773</v>
      </c>
      <c r="C90" t="s">
        <v>443</v>
      </c>
      <c r="D90" t="s">
        <v>774</v>
      </c>
      <c r="E90" t="s">
        <v>444</v>
      </c>
      <c r="F90">
        <v>94431546</v>
      </c>
      <c r="G90" t="s">
        <v>383</v>
      </c>
      <c r="H90" t="s">
        <v>775</v>
      </c>
      <c r="I90" t="s">
        <v>383</v>
      </c>
      <c r="J90" t="s">
        <v>674</v>
      </c>
      <c r="K90" t="s">
        <v>675</v>
      </c>
      <c r="L90" t="s">
        <v>383</v>
      </c>
      <c r="M90" t="s">
        <v>383</v>
      </c>
      <c r="N90" t="str">
        <f>VLOOKUP(C90,UB!A:A,1,0)</f>
        <v>PEGADAIAN, PT</v>
      </c>
    </row>
    <row r="91" spans="2:14" x14ac:dyDescent="0.25">
      <c r="B91" t="s">
        <v>776</v>
      </c>
      <c r="C91" t="s">
        <v>573</v>
      </c>
      <c r="D91" t="s">
        <v>573</v>
      </c>
      <c r="E91" t="s">
        <v>574</v>
      </c>
      <c r="F91">
        <v>2689579</v>
      </c>
      <c r="G91" t="s">
        <v>383</v>
      </c>
      <c r="H91" t="s">
        <v>777</v>
      </c>
      <c r="I91" t="s">
        <v>383</v>
      </c>
      <c r="J91" t="s">
        <v>674</v>
      </c>
      <c r="K91" t="s">
        <v>675</v>
      </c>
      <c r="L91" t="s">
        <v>383</v>
      </c>
      <c r="M91" t="s">
        <v>383</v>
      </c>
      <c r="N91" t="str">
        <f>VLOOKUP(C91,UB!A:A,1,0)</f>
        <v>CELEBES MINAPRATAMA</v>
      </c>
    </row>
    <row r="92" spans="2:14" x14ac:dyDescent="0.25">
      <c r="B92" t="s">
        <v>778</v>
      </c>
      <c r="C92" t="s">
        <v>422</v>
      </c>
      <c r="D92" t="s">
        <v>779</v>
      </c>
      <c r="E92" t="s">
        <v>421</v>
      </c>
      <c r="F92">
        <v>3863833</v>
      </c>
      <c r="G92" t="s">
        <v>383</v>
      </c>
      <c r="H92" t="s">
        <v>780</v>
      </c>
      <c r="I92" t="s">
        <v>383</v>
      </c>
      <c r="J92" t="s">
        <v>674</v>
      </c>
      <c r="K92" t="s">
        <v>675</v>
      </c>
      <c r="L92" t="s">
        <v>383</v>
      </c>
      <c r="M92" t="s">
        <v>383</v>
      </c>
      <c r="N92" t="str">
        <f>VLOOKUP(C92,UB!A:A,1,0)</f>
        <v>MAPALUS MAKAWANUA CHARCOAL -INDUSTRY, PT</v>
      </c>
    </row>
    <row r="93" spans="2:14" x14ac:dyDescent="0.25">
      <c r="B93" t="s">
        <v>781</v>
      </c>
      <c r="C93" t="s">
        <v>491</v>
      </c>
      <c r="D93" t="s">
        <v>491</v>
      </c>
      <c r="E93" t="s">
        <v>492</v>
      </c>
      <c r="F93">
        <v>97409593</v>
      </c>
      <c r="G93">
        <v>8120007850271</v>
      </c>
      <c r="H93" t="s">
        <v>782</v>
      </c>
      <c r="I93" t="s">
        <v>399</v>
      </c>
      <c r="J93" t="s">
        <v>695</v>
      </c>
      <c r="K93" t="s">
        <v>675</v>
      </c>
      <c r="L93" t="s">
        <v>383</v>
      </c>
      <c r="M93" t="s">
        <v>383</v>
      </c>
      <c r="N93" t="str">
        <f>VLOOKUP(C93,UB!A:A,1,0)</f>
        <v>KERISMAS WITIKCO MAKMUR, PT</v>
      </c>
    </row>
    <row r="94" spans="2:14" x14ac:dyDescent="0.25">
      <c r="B94" t="s">
        <v>783</v>
      </c>
      <c r="C94" t="s">
        <v>606</v>
      </c>
      <c r="D94" t="s">
        <v>606</v>
      </c>
      <c r="E94" t="s">
        <v>607</v>
      </c>
      <c r="F94">
        <v>4340692</v>
      </c>
      <c r="G94" t="s">
        <v>383</v>
      </c>
      <c r="H94" t="s">
        <v>784</v>
      </c>
      <c r="I94" t="s">
        <v>383</v>
      </c>
      <c r="J94" t="s">
        <v>674</v>
      </c>
      <c r="K94" t="s">
        <v>681</v>
      </c>
      <c r="L94" t="s">
        <v>383</v>
      </c>
      <c r="M94" t="s">
        <v>383</v>
      </c>
      <c r="N94" t="str">
        <f>VLOOKUP(C94,UB!A:A,1,0)</f>
        <v>BANK PERKREDITAN RAKYAT DANAKU MAPAN LESTARI</v>
      </c>
    </row>
    <row r="95" spans="2:14" x14ac:dyDescent="0.25">
      <c r="B95" t="s">
        <v>785</v>
      </c>
      <c r="C95" t="s">
        <v>531</v>
      </c>
      <c r="D95" t="s">
        <v>531</v>
      </c>
      <c r="E95" t="s">
        <v>532</v>
      </c>
      <c r="F95">
        <v>94412159</v>
      </c>
      <c r="G95" t="s">
        <v>383</v>
      </c>
      <c r="H95" t="s">
        <v>383</v>
      </c>
      <c r="I95" t="s">
        <v>383</v>
      </c>
      <c r="J95" t="s">
        <v>674</v>
      </c>
      <c r="K95" t="s">
        <v>675</v>
      </c>
      <c r="L95" t="s">
        <v>383</v>
      </c>
      <c r="M95" t="s">
        <v>383</v>
      </c>
      <c r="N95" t="str">
        <f>VLOOKUP(C95,UB!A:A,1,0)</f>
        <v>PT Bank Danamon Tbk., Kantor Cabang Bitung-Yos Sudarso</v>
      </c>
    </row>
    <row r="96" spans="2:14" x14ac:dyDescent="0.25">
      <c r="B96" t="s">
        <v>786</v>
      </c>
      <c r="C96" t="s">
        <v>543</v>
      </c>
      <c r="D96" t="s">
        <v>543</v>
      </c>
      <c r="E96" t="s">
        <v>544</v>
      </c>
      <c r="F96">
        <v>97411737</v>
      </c>
      <c r="G96" t="s">
        <v>383</v>
      </c>
      <c r="H96" t="s">
        <v>383</v>
      </c>
      <c r="I96" t="s">
        <v>383</v>
      </c>
      <c r="J96" t="s">
        <v>674</v>
      </c>
      <c r="K96" t="s">
        <v>675</v>
      </c>
      <c r="L96" t="s">
        <v>383</v>
      </c>
      <c r="M96" t="s">
        <v>383</v>
      </c>
      <c r="N96" t="str">
        <f>VLOOKUP(C96,UB!A:A,1,0)</f>
        <v>BANK BRI pt</v>
      </c>
    </row>
    <row r="97" spans="2:14" x14ac:dyDescent="0.25">
      <c r="B97" t="s">
        <v>787</v>
      </c>
      <c r="C97" t="s">
        <v>627</v>
      </c>
      <c r="D97" t="s">
        <v>788</v>
      </c>
      <c r="E97" t="s">
        <v>628</v>
      </c>
      <c r="F97">
        <v>7479287</v>
      </c>
      <c r="G97" t="s">
        <v>383</v>
      </c>
      <c r="H97" t="s">
        <v>789</v>
      </c>
      <c r="I97" t="s">
        <v>383</v>
      </c>
      <c r="J97" t="s">
        <v>674</v>
      </c>
      <c r="K97" t="s">
        <v>675</v>
      </c>
      <c r="L97" t="s">
        <v>383</v>
      </c>
      <c r="M97" t="s">
        <v>383</v>
      </c>
      <c r="N97" t="str">
        <f>VLOOKUP(C97,UB!A:A,1,0)</f>
        <v>PT. TONG BITUNG JAYA</v>
      </c>
    </row>
    <row r="98" spans="2:14" x14ac:dyDescent="0.25">
      <c r="B98" t="s">
        <v>790</v>
      </c>
      <c r="C98" t="s">
        <v>443</v>
      </c>
      <c r="D98" t="s">
        <v>791</v>
      </c>
      <c r="E98" t="s">
        <v>537</v>
      </c>
      <c r="F98">
        <v>94431555</v>
      </c>
      <c r="G98" t="s">
        <v>383</v>
      </c>
      <c r="H98" t="s">
        <v>383</v>
      </c>
      <c r="I98" t="s">
        <v>383</v>
      </c>
      <c r="J98" t="s">
        <v>674</v>
      </c>
      <c r="K98" t="s">
        <v>675</v>
      </c>
      <c r="L98" t="s">
        <v>383</v>
      </c>
      <c r="M98" t="s">
        <v>383</v>
      </c>
      <c r="N98" t="str">
        <f>VLOOKUP(C98,UB!A:A,1,0)</f>
        <v>PEGADAIAN, PT</v>
      </c>
    </row>
    <row r="99" spans="2:14" x14ac:dyDescent="0.25">
      <c r="B99" t="s">
        <v>792</v>
      </c>
      <c r="C99" t="s">
        <v>495</v>
      </c>
      <c r="D99" t="s">
        <v>793</v>
      </c>
      <c r="E99" t="s">
        <v>412</v>
      </c>
      <c r="F99">
        <v>97714183</v>
      </c>
      <c r="G99" t="s">
        <v>383</v>
      </c>
      <c r="H99" t="s">
        <v>383</v>
      </c>
      <c r="I99" t="s">
        <v>383</v>
      </c>
      <c r="J99" t="s">
        <v>674</v>
      </c>
      <c r="K99" t="s">
        <v>675</v>
      </c>
      <c r="L99" t="s">
        <v>383</v>
      </c>
      <c r="M99" t="s">
        <v>383</v>
      </c>
      <c r="N99" t="str">
        <f>VLOOKUP(C99,UB!A:A,1,0)</f>
        <v>TOKO SEMBAKO REGION</v>
      </c>
    </row>
    <row r="100" spans="2:14" x14ac:dyDescent="0.25">
      <c r="B100" t="s">
        <v>794</v>
      </c>
      <c r="C100" t="s">
        <v>464</v>
      </c>
      <c r="D100" t="s">
        <v>795</v>
      </c>
      <c r="E100" t="s">
        <v>465</v>
      </c>
      <c r="F100">
        <v>3085868</v>
      </c>
      <c r="G100" t="s">
        <v>383</v>
      </c>
      <c r="H100" t="s">
        <v>796</v>
      </c>
      <c r="I100" t="s">
        <v>383</v>
      </c>
      <c r="J100" t="s">
        <v>674</v>
      </c>
      <c r="K100" t="s">
        <v>675</v>
      </c>
      <c r="L100" t="s">
        <v>383</v>
      </c>
      <c r="M100" t="s">
        <v>383</v>
      </c>
      <c r="N100" t="str">
        <f>VLOOKUP(C100,UB!A:A,1,0)</f>
        <v>PEDAGANG REMPAH &lt;SULEMAN&gt;</v>
      </c>
    </row>
    <row r="101" spans="2:14" x14ac:dyDescent="0.25">
      <c r="B101" t="s">
        <v>797</v>
      </c>
      <c r="C101" t="s">
        <v>410</v>
      </c>
      <c r="D101" t="s">
        <v>410</v>
      </c>
      <c r="E101" t="s">
        <v>411</v>
      </c>
      <c r="F101">
        <v>97409783</v>
      </c>
      <c r="G101" t="s">
        <v>383</v>
      </c>
      <c r="H101" t="s">
        <v>798</v>
      </c>
      <c r="I101" t="s">
        <v>383</v>
      </c>
      <c r="J101" t="s">
        <v>674</v>
      </c>
      <c r="K101" t="s">
        <v>675</v>
      </c>
      <c r="L101" t="s">
        <v>383</v>
      </c>
      <c r="M101" t="s">
        <v>383</v>
      </c>
      <c r="N101" t="str">
        <f>VLOOKUP(C101,UB!A:A,1,0)</f>
        <v>SAMUDRA MANDIRI SENTOSA PT</v>
      </c>
    </row>
    <row r="102" spans="2:14" x14ac:dyDescent="0.25">
      <c r="B102" t="s">
        <v>799</v>
      </c>
      <c r="C102" t="s">
        <v>521</v>
      </c>
      <c r="D102" t="s">
        <v>521</v>
      </c>
      <c r="E102" t="s">
        <v>522</v>
      </c>
      <c r="F102">
        <v>6626887</v>
      </c>
      <c r="G102" t="s">
        <v>383</v>
      </c>
      <c r="H102" t="s">
        <v>383</v>
      </c>
      <c r="I102" t="s">
        <v>383</v>
      </c>
      <c r="J102" t="s">
        <v>674</v>
      </c>
      <c r="K102" t="s">
        <v>675</v>
      </c>
      <c r="L102" t="s">
        <v>383</v>
      </c>
      <c r="M102" t="s">
        <v>383</v>
      </c>
      <c r="N102" t="str">
        <f>VLOOKUP(C102,UB!A:A,1,0)</f>
        <v>PT. DAYAMITRA TELEKOMUNIKASI</v>
      </c>
    </row>
    <row r="103" spans="2:14" x14ac:dyDescent="0.25">
      <c r="B103" t="s">
        <v>800</v>
      </c>
      <c r="C103" t="s">
        <v>583</v>
      </c>
      <c r="D103" t="s">
        <v>801</v>
      </c>
      <c r="E103" t="s">
        <v>584</v>
      </c>
      <c r="F103">
        <v>97714854</v>
      </c>
      <c r="G103" t="s">
        <v>383</v>
      </c>
      <c r="H103" t="s">
        <v>383</v>
      </c>
      <c r="I103" t="s">
        <v>383</v>
      </c>
      <c r="J103" t="s">
        <v>674</v>
      </c>
      <c r="K103" t="s">
        <v>675</v>
      </c>
      <c r="L103" t="s">
        <v>383</v>
      </c>
      <c r="M103" t="s">
        <v>383</v>
      </c>
      <c r="N103" t="str">
        <f>VLOOKUP(C103,UB!A:A,1,0)</f>
        <v>WARUNG SEMBAKO &lt;HENI&gt;</v>
      </c>
    </row>
    <row r="104" spans="2:14" x14ac:dyDescent="0.25">
      <c r="B104" t="s">
        <v>802</v>
      </c>
      <c r="C104" t="s">
        <v>622</v>
      </c>
      <c r="D104" t="s">
        <v>622</v>
      </c>
      <c r="E104" t="s">
        <v>402</v>
      </c>
      <c r="F104">
        <v>61061723</v>
      </c>
      <c r="G104" t="s">
        <v>383</v>
      </c>
      <c r="H104" t="s">
        <v>383</v>
      </c>
      <c r="I104" t="s">
        <v>383</v>
      </c>
      <c r="J104" t="s">
        <v>674</v>
      </c>
      <c r="K104" t="s">
        <v>675</v>
      </c>
      <c r="L104" t="s">
        <v>383</v>
      </c>
      <c r="M104" t="s">
        <v>383</v>
      </c>
      <c r="N104" t="str">
        <f>VLOOKUP(C104,UB!A:A,1,0)</f>
        <v>CITRA SAMUDRA NUSANTARA</v>
      </c>
    </row>
    <row r="105" spans="2:14" x14ac:dyDescent="0.25">
      <c r="B105" t="s">
        <v>803</v>
      </c>
      <c r="C105" t="s">
        <v>550</v>
      </c>
      <c r="D105" t="s">
        <v>550</v>
      </c>
      <c r="E105" t="s">
        <v>551</v>
      </c>
      <c r="F105">
        <v>6475484</v>
      </c>
      <c r="G105" t="s">
        <v>383</v>
      </c>
      <c r="H105" t="s">
        <v>383</v>
      </c>
      <c r="I105" t="s">
        <v>383</v>
      </c>
      <c r="J105" t="s">
        <v>674</v>
      </c>
      <c r="K105" t="s">
        <v>675</v>
      </c>
      <c r="L105" t="s">
        <v>383</v>
      </c>
      <c r="M105" t="s">
        <v>383</v>
      </c>
      <c r="N105" t="str">
        <f>VLOOKUP(C105,UB!A:A,1,0)</f>
        <v>PT BANK NEGARA INDONESIA CABANG BITUNG</v>
      </c>
    </row>
    <row r="106" spans="2:14" x14ac:dyDescent="0.25">
      <c r="B106" t="s">
        <v>804</v>
      </c>
      <c r="C106" t="s">
        <v>443</v>
      </c>
      <c r="D106" t="s">
        <v>805</v>
      </c>
      <c r="E106" t="s">
        <v>577</v>
      </c>
      <c r="F106">
        <v>94431543</v>
      </c>
      <c r="G106" t="s">
        <v>383</v>
      </c>
      <c r="H106" t="s">
        <v>806</v>
      </c>
      <c r="I106" t="s">
        <v>383</v>
      </c>
      <c r="J106" t="s">
        <v>674</v>
      </c>
      <c r="K106" t="s">
        <v>675</v>
      </c>
      <c r="L106" t="s">
        <v>383</v>
      </c>
      <c r="M106" t="s">
        <v>383</v>
      </c>
      <c r="N106" t="str">
        <f>VLOOKUP(C106,UB!A:A,1,0)</f>
        <v>PEGADAIAN, PT</v>
      </c>
    </row>
    <row r="107" spans="2:14" x14ac:dyDescent="0.25">
      <c r="B107" t="s">
        <v>807</v>
      </c>
      <c r="C107" t="s">
        <v>503</v>
      </c>
      <c r="D107" t="s">
        <v>503</v>
      </c>
      <c r="E107" t="s">
        <v>504</v>
      </c>
      <c r="F107">
        <v>97409253</v>
      </c>
      <c r="G107" t="s">
        <v>383</v>
      </c>
      <c r="H107" t="s">
        <v>808</v>
      </c>
      <c r="I107" t="s">
        <v>383</v>
      </c>
      <c r="J107" t="s">
        <v>674</v>
      </c>
      <c r="K107" t="s">
        <v>675</v>
      </c>
      <c r="L107" t="s">
        <v>383</v>
      </c>
      <c r="M107" t="s">
        <v>383</v>
      </c>
      <c r="N107" t="str">
        <f>VLOOKUP(C107,UB!A:A,1,0)</f>
        <v>MULTI NABATI SULAWESI PT</v>
      </c>
    </row>
    <row r="108" spans="2:14" x14ac:dyDescent="0.25">
      <c r="B108" t="s">
        <v>809</v>
      </c>
      <c r="C108" t="s">
        <v>407</v>
      </c>
      <c r="D108" t="s">
        <v>810</v>
      </c>
      <c r="E108" t="s">
        <v>408</v>
      </c>
      <c r="F108">
        <v>97714740</v>
      </c>
      <c r="G108" t="s">
        <v>383</v>
      </c>
      <c r="H108" t="s">
        <v>383</v>
      </c>
      <c r="I108" t="s">
        <v>383</v>
      </c>
      <c r="J108" t="s">
        <v>674</v>
      </c>
      <c r="K108" t="s">
        <v>675</v>
      </c>
      <c r="L108" t="s">
        <v>383</v>
      </c>
      <c r="M108" t="s">
        <v>383</v>
      </c>
      <c r="N108" t="str">
        <f>VLOOKUP(C108,UB!A:A,1,0)</f>
        <v>TEMPAT JUAL PAKAN TERNAK</v>
      </c>
    </row>
    <row r="109" spans="2:14" x14ac:dyDescent="0.25">
      <c r="B109" t="s">
        <v>811</v>
      </c>
      <c r="C109" t="s">
        <v>632</v>
      </c>
      <c r="D109" t="s">
        <v>812</v>
      </c>
      <c r="E109" t="s">
        <v>617</v>
      </c>
      <c r="F109">
        <v>6085375</v>
      </c>
      <c r="G109" t="s">
        <v>383</v>
      </c>
      <c r="H109" t="s">
        <v>383</v>
      </c>
      <c r="I109" t="s">
        <v>383</v>
      </c>
      <c r="J109" t="s">
        <v>674</v>
      </c>
      <c r="K109" t="s">
        <v>675</v>
      </c>
      <c r="L109" t="s">
        <v>383</v>
      </c>
      <c r="M109" t="s">
        <v>383</v>
      </c>
      <c r="N109" t="str">
        <f>VLOOKUP(C109,UB!A:A,1,0)</f>
        <v>INDO JAYA FORTUNA, PT</v>
      </c>
    </row>
    <row r="110" spans="2:14" x14ac:dyDescent="0.25">
      <c r="B110" t="s">
        <v>813</v>
      </c>
      <c r="C110" t="s">
        <v>523</v>
      </c>
      <c r="D110" t="s">
        <v>523</v>
      </c>
      <c r="E110" t="s">
        <v>524</v>
      </c>
      <c r="F110">
        <v>97411640</v>
      </c>
      <c r="G110" t="s">
        <v>383</v>
      </c>
      <c r="H110" t="s">
        <v>383</v>
      </c>
      <c r="I110" t="s">
        <v>383</v>
      </c>
      <c r="J110" t="s">
        <v>674</v>
      </c>
      <c r="K110" t="s">
        <v>675</v>
      </c>
      <c r="L110" t="s">
        <v>383</v>
      </c>
      <c r="M110" t="s">
        <v>383</v>
      </c>
      <c r="N110" t="str">
        <f>VLOOKUP(C110,UB!A:A,1,0)</f>
        <v>PT BANK SYARIAH MANDIRI/BANK Syariah Indonesia</v>
      </c>
    </row>
    <row r="111" spans="2:14" x14ac:dyDescent="0.25">
      <c r="B111" t="s">
        <v>814</v>
      </c>
      <c r="C111" t="s">
        <v>432</v>
      </c>
      <c r="D111" t="s">
        <v>432</v>
      </c>
      <c r="E111" t="s">
        <v>433</v>
      </c>
      <c r="F111">
        <v>94431391</v>
      </c>
      <c r="G111" t="s">
        <v>383</v>
      </c>
      <c r="H111" t="s">
        <v>383</v>
      </c>
      <c r="I111" t="s">
        <v>383</v>
      </c>
      <c r="J111" t="s">
        <v>674</v>
      </c>
      <c r="K111" t="s">
        <v>675</v>
      </c>
      <c r="L111" t="s">
        <v>383</v>
      </c>
      <c r="M111" t="s">
        <v>383</v>
      </c>
      <c r="N111" t="str">
        <f>VLOOKUP(C111,UB!A:A,1,0)</f>
        <v>PT Pegadaian Persero UPC MANEMBO NEMBO</v>
      </c>
    </row>
    <row r="112" spans="2:14" x14ac:dyDescent="0.25">
      <c r="B112" t="s">
        <v>815</v>
      </c>
      <c r="C112" t="s">
        <v>540</v>
      </c>
      <c r="D112" t="s">
        <v>540</v>
      </c>
      <c r="E112" t="s">
        <v>541</v>
      </c>
      <c r="F112">
        <v>2525681</v>
      </c>
      <c r="G112" t="s">
        <v>383</v>
      </c>
      <c r="H112" t="s">
        <v>816</v>
      </c>
      <c r="I112" t="s">
        <v>383</v>
      </c>
      <c r="J112" t="s">
        <v>674</v>
      </c>
      <c r="K112" t="s">
        <v>675</v>
      </c>
      <c r="L112" t="s">
        <v>383</v>
      </c>
      <c r="M112" t="s">
        <v>383</v>
      </c>
      <c r="N112" t="str">
        <f>VLOOKUP(C112,UB!A:A,1,0)</f>
        <v>BANK NEGARA INDONESIA</v>
      </c>
    </row>
    <row r="113" spans="2:14" x14ac:dyDescent="0.25">
      <c r="B113" t="s">
        <v>817</v>
      </c>
      <c r="C113" t="s">
        <v>493</v>
      </c>
      <c r="D113" t="s">
        <v>493</v>
      </c>
      <c r="E113" t="s">
        <v>494</v>
      </c>
      <c r="F113">
        <v>6629953</v>
      </c>
      <c r="G113" t="s">
        <v>383</v>
      </c>
      <c r="H113" t="s">
        <v>383</v>
      </c>
      <c r="I113" t="s">
        <v>383</v>
      </c>
      <c r="J113" t="s">
        <v>674</v>
      </c>
      <c r="K113" t="s">
        <v>675</v>
      </c>
      <c r="L113" t="s">
        <v>383</v>
      </c>
      <c r="M113" t="s">
        <v>383</v>
      </c>
      <c r="N113" t="str">
        <f>VLOOKUP(C113,UB!A:A,1,0)</f>
        <v>TOWER BERSAMA, PT</v>
      </c>
    </row>
    <row r="114" spans="2:14" x14ac:dyDescent="0.25">
      <c r="B114" t="s">
        <v>818</v>
      </c>
      <c r="C114" t="s">
        <v>446</v>
      </c>
      <c r="D114" t="s">
        <v>819</v>
      </c>
      <c r="E114" t="s">
        <v>447</v>
      </c>
      <c r="F114">
        <v>97714960</v>
      </c>
      <c r="G114" t="s">
        <v>383</v>
      </c>
      <c r="H114" t="s">
        <v>383</v>
      </c>
      <c r="I114" t="s">
        <v>383</v>
      </c>
      <c r="J114" t="s">
        <v>674</v>
      </c>
      <c r="K114" t="s">
        <v>675</v>
      </c>
      <c r="L114" t="s">
        <v>383</v>
      </c>
      <c r="M114" t="s">
        <v>383</v>
      </c>
      <c r="N114" t="str">
        <f>VLOOKUP(C114,UB!A:A,1,0)</f>
        <v>JUAL DAGING SAPI &lt;HJ.RINTO&gt;</v>
      </c>
    </row>
    <row r="115" spans="2:14" x14ac:dyDescent="0.25">
      <c r="B115" t="s">
        <v>820</v>
      </c>
      <c r="C115" t="s">
        <v>518</v>
      </c>
      <c r="D115" t="s">
        <v>821</v>
      </c>
      <c r="E115" t="s">
        <v>447</v>
      </c>
      <c r="F115">
        <v>97714621</v>
      </c>
      <c r="G115" t="s">
        <v>383</v>
      </c>
      <c r="H115" t="s">
        <v>383</v>
      </c>
      <c r="I115" t="s">
        <v>383</v>
      </c>
      <c r="J115" t="s">
        <v>674</v>
      </c>
      <c r="K115" t="s">
        <v>675</v>
      </c>
      <c r="L115" t="s">
        <v>383</v>
      </c>
      <c r="M115" t="s">
        <v>383</v>
      </c>
      <c r="N115" t="str">
        <f>VLOOKUP(C115,UB!A:A,1,0)</f>
        <v>JUAL IKAN SEGAR (NURDIN)</v>
      </c>
    </row>
    <row r="116" spans="2:14" x14ac:dyDescent="0.25">
      <c r="B116" t="s">
        <v>822</v>
      </c>
      <c r="C116" t="s">
        <v>610</v>
      </c>
      <c r="D116" t="s">
        <v>823</v>
      </c>
      <c r="E116" t="s">
        <v>824</v>
      </c>
      <c r="F116">
        <v>5977304</v>
      </c>
      <c r="G116">
        <v>1263000710399</v>
      </c>
      <c r="H116" t="s">
        <v>825</v>
      </c>
      <c r="I116" t="s">
        <v>826</v>
      </c>
      <c r="J116" t="s">
        <v>695</v>
      </c>
      <c r="K116" t="s">
        <v>675</v>
      </c>
      <c r="L116" t="s">
        <v>383</v>
      </c>
      <c r="M116" t="s">
        <v>383</v>
      </c>
      <c r="N116" t="str">
        <f>VLOOKUP(C116,UB!A:A,1,0)</f>
        <v>K2 LEMBEH DIVE RESORT</v>
      </c>
    </row>
    <row r="117" spans="2:14" x14ac:dyDescent="0.25">
      <c r="B117" t="s">
        <v>827</v>
      </c>
      <c r="C117" t="s">
        <v>552</v>
      </c>
      <c r="D117" t="s">
        <v>552</v>
      </c>
      <c r="E117" t="s">
        <v>553</v>
      </c>
      <c r="F117">
        <v>94431816</v>
      </c>
      <c r="G117" t="s">
        <v>383</v>
      </c>
      <c r="H117" t="s">
        <v>383</v>
      </c>
      <c r="I117" t="s">
        <v>383</v>
      </c>
      <c r="J117" t="s">
        <v>674</v>
      </c>
      <c r="K117" t="s">
        <v>675</v>
      </c>
      <c r="L117" t="s">
        <v>383</v>
      </c>
      <c r="M117" t="s">
        <v>383</v>
      </c>
      <c r="N117" t="str">
        <f>VLOOKUP(C117,UB!A:A,1,0)</f>
        <v>PT Pegadaian (Persero), UPS Bitung</v>
      </c>
    </row>
    <row r="118" spans="2:14" x14ac:dyDescent="0.25">
      <c r="B118" t="s">
        <v>828</v>
      </c>
      <c r="C118" t="s">
        <v>527</v>
      </c>
      <c r="D118" t="s">
        <v>527</v>
      </c>
      <c r="E118" t="s">
        <v>528</v>
      </c>
      <c r="F118">
        <v>94413505</v>
      </c>
      <c r="G118" t="s">
        <v>383</v>
      </c>
      <c r="H118" t="s">
        <v>383</v>
      </c>
      <c r="I118" t="s">
        <v>383</v>
      </c>
      <c r="J118" t="s">
        <v>674</v>
      </c>
      <c r="K118" t="s">
        <v>675</v>
      </c>
      <c r="L118" t="s">
        <v>383</v>
      </c>
      <c r="M118" t="s">
        <v>383</v>
      </c>
      <c r="N118" t="str">
        <f>VLOOKUP(C118,UB!A:A,1,0)</f>
        <v>PT. Bank Mega Tbk, Kantor Cabang BITUNG</v>
      </c>
    </row>
    <row r="119" spans="2:14" x14ac:dyDescent="0.25">
      <c r="B119" t="s">
        <v>829</v>
      </c>
      <c r="C119" t="s">
        <v>425</v>
      </c>
      <c r="D119" t="s">
        <v>830</v>
      </c>
      <c r="E119" t="s">
        <v>426</v>
      </c>
      <c r="F119">
        <v>97410141</v>
      </c>
      <c r="G119" t="s">
        <v>383</v>
      </c>
      <c r="H119" t="s">
        <v>831</v>
      </c>
      <c r="I119" t="s">
        <v>383</v>
      </c>
      <c r="J119" t="s">
        <v>674</v>
      </c>
      <c r="K119" t="s">
        <v>675</v>
      </c>
      <c r="L119" t="s">
        <v>383</v>
      </c>
      <c r="M119" t="s">
        <v>383</v>
      </c>
      <c r="N119" t="str">
        <f>VLOOKUP(C119,UB!A:A,1,0)</f>
        <v>DWI MATRA SAKTI, PT</v>
      </c>
    </row>
    <row r="120" spans="2:14" x14ac:dyDescent="0.25">
      <c r="B120" t="s">
        <v>832</v>
      </c>
      <c r="C120" t="s">
        <v>458</v>
      </c>
      <c r="D120" t="s">
        <v>458</v>
      </c>
      <c r="E120" t="s">
        <v>459</v>
      </c>
      <c r="F120">
        <v>97411104</v>
      </c>
      <c r="G120" t="s">
        <v>383</v>
      </c>
      <c r="H120" t="s">
        <v>383</v>
      </c>
      <c r="I120" t="s">
        <v>730</v>
      </c>
      <c r="J120" t="s">
        <v>695</v>
      </c>
      <c r="K120" t="s">
        <v>675</v>
      </c>
      <c r="L120" t="s">
        <v>383</v>
      </c>
      <c r="M120" t="s">
        <v>383</v>
      </c>
      <c r="N120" t="str">
        <f>VLOOKUP(C120,UB!A:A,1,0)</f>
        <v>PT PELINDO 4 &lt;PERSERO&gt; TERMINAL PETIKEMAS BITUNG</v>
      </c>
    </row>
    <row r="121" spans="2:14" x14ac:dyDescent="0.25">
      <c r="B121" t="s">
        <v>833</v>
      </c>
      <c r="C121" t="s">
        <v>834</v>
      </c>
      <c r="D121" t="s">
        <v>834</v>
      </c>
      <c r="E121" t="s">
        <v>436</v>
      </c>
      <c r="F121">
        <v>2595306</v>
      </c>
      <c r="G121">
        <v>9120201871462</v>
      </c>
      <c r="H121" t="s">
        <v>835</v>
      </c>
      <c r="I121" t="s">
        <v>679</v>
      </c>
      <c r="J121" t="s">
        <v>836</v>
      </c>
      <c r="K121" t="s">
        <v>681</v>
      </c>
      <c r="L121" t="s">
        <v>383</v>
      </c>
      <c r="M121" t="s">
        <v>383</v>
      </c>
      <c r="N121" t="str">
        <f>VLOOKUP(C121,UB!A:A,1,0)</f>
        <v>BANK PEMBANGUNAN DAERAH SULAWESI UTARA GORONTALO PT</v>
      </c>
    </row>
    <row r="122" spans="2:14" x14ac:dyDescent="0.25">
      <c r="B122" t="s">
        <v>837</v>
      </c>
      <c r="C122" t="s">
        <v>838</v>
      </c>
      <c r="D122" t="s">
        <v>427</v>
      </c>
      <c r="E122" t="s">
        <v>428</v>
      </c>
      <c r="F122">
        <v>6616155</v>
      </c>
      <c r="G122">
        <v>8120105811555</v>
      </c>
      <c r="H122" t="s">
        <v>839</v>
      </c>
      <c r="I122" t="s">
        <v>840</v>
      </c>
      <c r="J122" t="s">
        <v>836</v>
      </c>
      <c r="K122" t="s">
        <v>681</v>
      </c>
      <c r="L122" t="s">
        <v>383</v>
      </c>
      <c r="M122" t="s">
        <v>383</v>
      </c>
      <c r="N122" t="str">
        <f>VLOOKUP(C122,UB!A:A,1,0)</f>
        <v>SARI USAHA MANDIRI, PT</v>
      </c>
    </row>
    <row r="123" spans="2:14" x14ac:dyDescent="0.25">
      <c r="B123" t="s">
        <v>841</v>
      </c>
      <c r="C123" t="s">
        <v>842</v>
      </c>
      <c r="D123" t="s">
        <v>842</v>
      </c>
      <c r="E123" t="s">
        <v>489</v>
      </c>
      <c r="F123">
        <v>4392735</v>
      </c>
      <c r="G123">
        <v>9120105762161</v>
      </c>
      <c r="H123" t="s">
        <v>843</v>
      </c>
      <c r="I123" t="s">
        <v>399</v>
      </c>
      <c r="J123" t="s">
        <v>844</v>
      </c>
      <c r="K123" t="s">
        <v>681</v>
      </c>
      <c r="L123" t="s">
        <v>383</v>
      </c>
      <c r="M123" t="s">
        <v>383</v>
      </c>
      <c r="N123" t="str">
        <f>VLOOKUP(C123,UB!A:A,1,0)</f>
        <v>YOEZHADASSAH, PT</v>
      </c>
    </row>
    <row r="124" spans="2:14" x14ac:dyDescent="0.25">
      <c r="B124" t="s">
        <v>845</v>
      </c>
      <c r="C124" t="s">
        <v>846</v>
      </c>
      <c r="D124" t="s">
        <v>846</v>
      </c>
      <c r="E124" t="s">
        <v>847</v>
      </c>
      <c r="F124">
        <v>97410604</v>
      </c>
      <c r="G124">
        <v>9120201871462</v>
      </c>
      <c r="H124" t="s">
        <v>848</v>
      </c>
      <c r="I124" t="s">
        <v>679</v>
      </c>
      <c r="J124" t="s">
        <v>836</v>
      </c>
      <c r="K124" t="s">
        <v>681</v>
      </c>
      <c r="L124" t="s">
        <v>383</v>
      </c>
      <c r="M124" t="s">
        <v>383</v>
      </c>
      <c r="N124" t="str">
        <f>VLOOKUP(C124,UB!A:A,1,0)</f>
        <v>BANK SULUTGO BITUNG</v>
      </c>
    </row>
    <row r="125" spans="2:14" x14ac:dyDescent="0.25">
      <c r="B125" t="s">
        <v>849</v>
      </c>
      <c r="C125" t="s">
        <v>850</v>
      </c>
      <c r="D125" t="s">
        <v>851</v>
      </c>
      <c r="E125" t="s">
        <v>852</v>
      </c>
      <c r="F125">
        <v>7479281</v>
      </c>
      <c r="G125">
        <v>2811230032403</v>
      </c>
      <c r="H125" t="s">
        <v>853</v>
      </c>
      <c r="I125" t="s">
        <v>854</v>
      </c>
      <c r="J125" t="s">
        <v>836</v>
      </c>
      <c r="K125" t="s">
        <v>681</v>
      </c>
      <c r="L125" t="s">
        <v>383</v>
      </c>
      <c r="M125" t="s">
        <v>383</v>
      </c>
      <c r="N125" t="str">
        <f>VLOOKUP(C125,UB!A:A,1,0)</f>
        <v>MEMBANGUN SULUT MAJU PERSERODA, PT</v>
      </c>
    </row>
    <row r="126" spans="2:14" x14ac:dyDescent="0.25">
      <c r="B126" t="s">
        <v>855</v>
      </c>
      <c r="C126" t="s">
        <v>856</v>
      </c>
      <c r="D126" t="s">
        <v>857</v>
      </c>
      <c r="E126" t="s">
        <v>858</v>
      </c>
      <c r="F126">
        <v>3198776</v>
      </c>
      <c r="G126">
        <v>9120101411917</v>
      </c>
      <c r="H126" t="s">
        <v>859</v>
      </c>
      <c r="I126" t="s">
        <v>679</v>
      </c>
      <c r="J126" t="s">
        <v>836</v>
      </c>
      <c r="K126" t="s">
        <v>681</v>
      </c>
      <c r="L126" t="s">
        <v>383</v>
      </c>
      <c r="M126" t="s">
        <v>383</v>
      </c>
      <c r="N126" t="str">
        <f>VLOOKUP(C126,UB!A:A,1,0)</f>
        <v>BANK SMBCI, PT TBK</v>
      </c>
    </row>
    <row r="127" spans="2:14" x14ac:dyDescent="0.25">
      <c r="B127" t="s">
        <v>860</v>
      </c>
      <c r="C127" t="s">
        <v>540</v>
      </c>
      <c r="D127" t="s">
        <v>861</v>
      </c>
      <c r="E127" t="s">
        <v>862</v>
      </c>
      <c r="F127">
        <v>97410502</v>
      </c>
      <c r="G127" t="s">
        <v>383</v>
      </c>
      <c r="H127" t="s">
        <v>383</v>
      </c>
      <c r="I127" t="s">
        <v>679</v>
      </c>
      <c r="J127" t="s">
        <v>695</v>
      </c>
      <c r="K127" t="s">
        <v>675</v>
      </c>
      <c r="L127" t="s">
        <v>383</v>
      </c>
      <c r="M127" t="s">
        <v>383</v>
      </c>
      <c r="N127" t="str">
        <f>VLOOKUP(C127,UB!A:A,1,0)</f>
        <v>BANK NEGARA INDONESIA</v>
      </c>
    </row>
    <row r="128" spans="2:14" x14ac:dyDescent="0.25">
      <c r="B128" t="s">
        <v>863</v>
      </c>
      <c r="C128" t="s">
        <v>864</v>
      </c>
      <c r="D128" t="s">
        <v>864</v>
      </c>
      <c r="E128" t="s">
        <v>473</v>
      </c>
      <c r="F128">
        <v>97409491</v>
      </c>
      <c r="G128">
        <v>8120003820135</v>
      </c>
      <c r="H128" t="s">
        <v>865</v>
      </c>
      <c r="I128" t="s">
        <v>383</v>
      </c>
      <c r="J128" t="s">
        <v>836</v>
      </c>
      <c r="K128" t="s">
        <v>681</v>
      </c>
      <c r="L128" t="s">
        <v>383</v>
      </c>
      <c r="M128" t="s">
        <v>383</v>
      </c>
      <c r="N128" t="str">
        <f>VLOOKUP(C128,UB!A:A,1,0)</f>
        <v>PLN ULP BITUNG, PT PERSERO</v>
      </c>
    </row>
    <row r="129" spans="1:14" x14ac:dyDescent="0.25">
      <c r="B129" t="s">
        <v>866</v>
      </c>
      <c r="C129" t="s">
        <v>867</v>
      </c>
      <c r="D129" t="s">
        <v>867</v>
      </c>
      <c r="E129" t="s">
        <v>501</v>
      </c>
      <c r="F129">
        <v>97409506</v>
      </c>
      <c r="G129">
        <v>9120006750189</v>
      </c>
      <c r="H129" t="s">
        <v>868</v>
      </c>
      <c r="I129" t="s">
        <v>383</v>
      </c>
      <c r="J129" t="s">
        <v>836</v>
      </c>
      <c r="K129" t="s">
        <v>681</v>
      </c>
      <c r="L129" t="s">
        <v>383</v>
      </c>
      <c r="M129" t="s">
        <v>383</v>
      </c>
      <c r="N129" t="str">
        <f>VLOOKUP(C129,UB!A:A,1,0)</f>
        <v>DUTA ADRI PERSADA PT</v>
      </c>
    </row>
    <row r="130" spans="1:14" x14ac:dyDescent="0.25">
      <c r="B130" t="s">
        <v>869</v>
      </c>
      <c r="C130" t="s">
        <v>870</v>
      </c>
      <c r="D130" t="s">
        <v>871</v>
      </c>
      <c r="E130" t="s">
        <v>440</v>
      </c>
      <c r="F130">
        <v>94424274</v>
      </c>
      <c r="G130">
        <v>208010021176</v>
      </c>
      <c r="H130" t="s">
        <v>383</v>
      </c>
      <c r="I130" t="s">
        <v>702</v>
      </c>
      <c r="J130" t="s">
        <v>695</v>
      </c>
      <c r="K130" t="s">
        <v>675</v>
      </c>
      <c r="L130" t="s">
        <v>383</v>
      </c>
      <c r="M130" t="s">
        <v>383</v>
      </c>
      <c r="N130" t="str">
        <f>VLOOKUP(C130,UB!A:A,1,0)</f>
        <v>TRIDJAYA GEMILANG SUKSES, CV</v>
      </c>
    </row>
    <row r="131" spans="1:14" x14ac:dyDescent="0.25">
      <c r="B131" t="s">
        <v>872</v>
      </c>
      <c r="C131" t="s">
        <v>593</v>
      </c>
      <c r="D131" t="s">
        <v>873</v>
      </c>
      <c r="E131" t="s">
        <v>594</v>
      </c>
      <c r="F131">
        <v>4443449</v>
      </c>
      <c r="G131">
        <v>8120109832577</v>
      </c>
      <c r="H131" t="s">
        <v>874</v>
      </c>
      <c r="I131" t="s">
        <v>399</v>
      </c>
      <c r="J131" t="s">
        <v>836</v>
      </c>
      <c r="K131" t="s">
        <v>681</v>
      </c>
      <c r="L131" t="s">
        <v>383</v>
      </c>
      <c r="M131" t="s">
        <v>383</v>
      </c>
      <c r="N131" t="str">
        <f>VLOOKUP(C131,UB!A:A,1,0)</f>
        <v>DELTA PASIFIC INDOTUNA, PT</v>
      </c>
    </row>
    <row r="132" spans="1:14" x14ac:dyDescent="0.25">
      <c r="B132" t="s">
        <v>875</v>
      </c>
      <c r="C132" t="s">
        <v>474</v>
      </c>
      <c r="D132" t="s">
        <v>474</v>
      </c>
      <c r="E132" t="s">
        <v>876</v>
      </c>
      <c r="F132">
        <v>44082</v>
      </c>
      <c r="G132">
        <v>220101770489</v>
      </c>
      <c r="H132" t="s">
        <v>877</v>
      </c>
      <c r="I132" t="s">
        <v>383</v>
      </c>
      <c r="J132" t="s">
        <v>836</v>
      </c>
      <c r="K132" t="s">
        <v>681</v>
      </c>
      <c r="L132" t="s">
        <v>383</v>
      </c>
      <c r="M132" t="s">
        <v>383</v>
      </c>
      <c r="N132" t="str">
        <f>VLOOKUP(C132,UB!A:A,1,0)</f>
        <v>Dharma Lautan Nusantara PT</v>
      </c>
    </row>
    <row r="133" spans="1:14" x14ac:dyDescent="0.25">
      <c r="B133" t="s">
        <v>878</v>
      </c>
      <c r="C133" t="s">
        <v>571</v>
      </c>
      <c r="D133" t="s">
        <v>571</v>
      </c>
      <c r="E133" t="s">
        <v>572</v>
      </c>
      <c r="F133">
        <v>61060894</v>
      </c>
      <c r="G133">
        <v>8120000681251</v>
      </c>
      <c r="H133" t="s">
        <v>383</v>
      </c>
      <c r="I133" t="s">
        <v>383</v>
      </c>
      <c r="J133" t="s">
        <v>695</v>
      </c>
      <c r="K133" t="s">
        <v>675</v>
      </c>
      <c r="L133" t="s">
        <v>383</v>
      </c>
      <c r="M133" t="s">
        <v>383</v>
      </c>
      <c r="N133" t="str">
        <f>VLOOKUP(C133,UB!A:A,1,0)</f>
        <v>PATHEMAANG RAYA, PT</v>
      </c>
    </row>
    <row r="134" spans="1:14" x14ac:dyDescent="0.25">
      <c r="B134" t="s">
        <v>879</v>
      </c>
      <c r="C134" t="s">
        <v>598</v>
      </c>
      <c r="D134" t="s">
        <v>880</v>
      </c>
      <c r="E134" t="s">
        <v>599</v>
      </c>
      <c r="F134">
        <v>3468600</v>
      </c>
      <c r="G134">
        <v>1253000301289</v>
      </c>
      <c r="H134" t="s">
        <v>881</v>
      </c>
      <c r="I134" t="s">
        <v>840</v>
      </c>
      <c r="J134" t="s">
        <v>836</v>
      </c>
      <c r="K134" t="s">
        <v>681</v>
      </c>
      <c r="L134" t="s">
        <v>383</v>
      </c>
      <c r="M134" t="s">
        <v>383</v>
      </c>
      <c r="N134" t="str">
        <f>VLOOKUP(C134,UB!A:A,1,0)</f>
        <v>LAUT BIRU SEAFOOD, PT</v>
      </c>
    </row>
    <row r="135" spans="1:14" x14ac:dyDescent="0.25">
      <c r="B135" t="s">
        <v>882</v>
      </c>
      <c r="C135" t="s">
        <v>483</v>
      </c>
      <c r="D135" t="s">
        <v>883</v>
      </c>
      <c r="E135" t="s">
        <v>484</v>
      </c>
      <c r="F135">
        <v>97409242</v>
      </c>
      <c r="G135">
        <v>8120003931926</v>
      </c>
      <c r="H135" t="s">
        <v>884</v>
      </c>
      <c r="I135" t="s">
        <v>383</v>
      </c>
      <c r="J135" t="s">
        <v>836</v>
      </c>
      <c r="K135" t="s">
        <v>681</v>
      </c>
      <c r="L135" t="s">
        <v>383</v>
      </c>
      <c r="M135" t="s">
        <v>383</v>
      </c>
      <c r="N135" t="str">
        <f>VLOOKUP(C135,UB!A:A,1,0)</f>
        <v>SINAR PURE FOODS INTERNATION,pt</v>
      </c>
    </row>
    <row r="136" spans="1:14" x14ac:dyDescent="0.25">
      <c r="B136" t="s">
        <v>885</v>
      </c>
      <c r="C136" t="s">
        <v>886</v>
      </c>
      <c r="D136" t="s">
        <v>887</v>
      </c>
      <c r="E136" t="s">
        <v>455</v>
      </c>
      <c r="F136">
        <v>97409613</v>
      </c>
      <c r="G136">
        <v>8120212072643</v>
      </c>
      <c r="H136" t="s">
        <v>888</v>
      </c>
      <c r="I136" t="s">
        <v>679</v>
      </c>
      <c r="J136" t="s">
        <v>836</v>
      </c>
      <c r="K136" t="s">
        <v>681</v>
      </c>
      <c r="L136" t="s">
        <v>383</v>
      </c>
      <c r="M136" t="s">
        <v>383</v>
      </c>
      <c r="N136" t="str">
        <f>VLOOKUP(C136,UB!A:A,1,0)</f>
        <v>BANK MANDIRI, PT TBK</v>
      </c>
    </row>
    <row r="137" spans="1:14" x14ac:dyDescent="0.25">
      <c r="B137" t="s">
        <v>889</v>
      </c>
      <c r="C137" t="s">
        <v>886</v>
      </c>
      <c r="D137" t="s">
        <v>890</v>
      </c>
      <c r="E137" t="s">
        <v>508</v>
      </c>
      <c r="F137">
        <v>2515399</v>
      </c>
      <c r="G137">
        <v>8120212072643</v>
      </c>
      <c r="H137" t="s">
        <v>891</v>
      </c>
      <c r="I137" t="s">
        <v>679</v>
      </c>
      <c r="J137" t="s">
        <v>836</v>
      </c>
      <c r="K137" t="s">
        <v>681</v>
      </c>
      <c r="L137" t="s">
        <v>383</v>
      </c>
      <c r="M137" t="s">
        <v>383</v>
      </c>
      <c r="N137" t="str">
        <f>VLOOKUP(C137,UB!A:A,1,0)</f>
        <v>BANK MANDIRI, PT TBK</v>
      </c>
    </row>
    <row r="138" spans="1:14" x14ac:dyDescent="0.25">
      <c r="B138" t="s">
        <v>892</v>
      </c>
      <c r="C138" t="s">
        <v>893</v>
      </c>
      <c r="D138" t="s">
        <v>893</v>
      </c>
      <c r="E138" t="s">
        <v>894</v>
      </c>
      <c r="F138">
        <v>97714537</v>
      </c>
      <c r="G138">
        <v>220100791739</v>
      </c>
      <c r="H138" t="s">
        <v>895</v>
      </c>
      <c r="I138" t="s">
        <v>840</v>
      </c>
      <c r="J138" t="s">
        <v>836</v>
      </c>
      <c r="K138" t="s">
        <v>681</v>
      </c>
      <c r="L138" t="s">
        <v>383</v>
      </c>
      <c r="M138" t="s">
        <v>383</v>
      </c>
      <c r="N138" t="str">
        <f>VLOOKUP(C138,UB!A:A,1,0)</f>
        <v>INDOMINA GRASIA, PT</v>
      </c>
    </row>
    <row r="139" spans="1:14" x14ac:dyDescent="0.25">
      <c r="A139" t="s">
        <v>633</v>
      </c>
      <c r="N139" t="e">
        <f>VLOOKUP(C139,UB!A:A,1,0)</f>
        <v>#N/A</v>
      </c>
    </row>
    <row r="140" spans="1:14" x14ac:dyDescent="0.25">
      <c r="A140" t="s">
        <v>634</v>
      </c>
      <c r="N140" t="e">
        <f>VLOOKUP(C140,UB!A:A,1,0)</f>
        <v>#N/A</v>
      </c>
    </row>
    <row r="141" spans="1:14" x14ac:dyDescent="0.25">
      <c r="A141" t="s">
        <v>635</v>
      </c>
      <c r="N141" t="e">
        <f>VLOOKUP(C141,UB!A:A,1,0)</f>
        <v>#N/A</v>
      </c>
    </row>
    <row r="142" spans="1:14" x14ac:dyDescent="0.25">
      <c r="A142" t="s">
        <v>636</v>
      </c>
      <c r="N142" t="e">
        <f>VLOOKUP(C142,UB!A:A,1,0)</f>
        <v>#N/A</v>
      </c>
    </row>
    <row r="143" spans="1:14" x14ac:dyDescent="0.25">
      <c r="A143" t="s">
        <v>637</v>
      </c>
      <c r="N143" t="e">
        <f>VLOOKUP(C143,UB!A:A,1,0)</f>
        <v>#N/A</v>
      </c>
    </row>
    <row r="144" spans="1:14" x14ac:dyDescent="0.25">
      <c r="A144" t="s">
        <v>638</v>
      </c>
      <c r="N144" t="e">
        <f>VLOOKUP(C144,UB!A:A,1,0)</f>
        <v>#N/A</v>
      </c>
    </row>
    <row r="145" spans="1:14" x14ac:dyDescent="0.25">
      <c r="A145" t="s">
        <v>639</v>
      </c>
      <c r="N145" t="e">
        <f>VLOOKUP(C145,UB!A:A,1,0)</f>
        <v>#N/A</v>
      </c>
    </row>
    <row r="146" spans="1:14" x14ac:dyDescent="0.25">
      <c r="A146" t="s">
        <v>640</v>
      </c>
      <c r="N146" t="e">
        <f>VLOOKUP(C146,UB!A:A,1,0)</f>
        <v>#N/A</v>
      </c>
    </row>
    <row r="147" spans="1:14" x14ac:dyDescent="0.25">
      <c r="A147" t="s">
        <v>641</v>
      </c>
      <c r="N147" t="e">
        <f>VLOOKUP(C147,UB!A:A,1,0)</f>
        <v>#N/A</v>
      </c>
    </row>
    <row r="148" spans="1:14" x14ac:dyDescent="0.25">
      <c r="A148" t="s">
        <v>642</v>
      </c>
      <c r="N148" t="e">
        <f>VLOOKUP(C148,UB!A:A,1,0)</f>
        <v>#N/A</v>
      </c>
    </row>
    <row r="149" spans="1:14" x14ac:dyDescent="0.25">
      <c r="A149" t="s">
        <v>643</v>
      </c>
      <c r="N149" t="e">
        <f>VLOOKUP(C149,UB!A:A,1,0)</f>
        <v>#N/A</v>
      </c>
    </row>
    <row r="150" spans="1:14" x14ac:dyDescent="0.25">
      <c r="A150" t="s">
        <v>644</v>
      </c>
      <c r="N150" t="e">
        <f>VLOOKUP(C150,UB!A:A,1,0)</f>
        <v>#N/A</v>
      </c>
    </row>
    <row r="151" spans="1:14" x14ac:dyDescent="0.25">
      <c r="A151" t="s">
        <v>637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645</v>
      </c>
      <c r="N153" t="e">
        <f>VLOOKUP(C153,UB!A:A,1,0)</f>
        <v>#N/A</v>
      </c>
    </row>
    <row r="154" spans="1:14" x14ac:dyDescent="0.25">
      <c r="A154" t="s">
        <v>637</v>
      </c>
      <c r="N154" t="e">
        <f>VLOOKUP(C154,UB!A:A,1,0)</f>
        <v>#N/A</v>
      </c>
    </row>
    <row r="155" spans="1:14" x14ac:dyDescent="0.25">
      <c r="A155" t="s">
        <v>646</v>
      </c>
      <c r="N155" t="e">
        <f>VLOOKUP(C155,UB!A:A,1,0)</f>
        <v>#N/A</v>
      </c>
    </row>
    <row r="156" spans="1:14" x14ac:dyDescent="0.25">
      <c r="A156" t="s">
        <v>641</v>
      </c>
      <c r="N156" t="e">
        <f>VLOOKUP(C156,UB!A:A,1,0)</f>
        <v>#N/A</v>
      </c>
    </row>
    <row r="157" spans="1:14" x14ac:dyDescent="0.25">
      <c r="A157" t="s">
        <v>647</v>
      </c>
      <c r="N157" t="e">
        <f>VLOOKUP(C157,UB!A:A,1,0)</f>
        <v>#N/A</v>
      </c>
    </row>
    <row r="158" spans="1:14" x14ac:dyDescent="0.25">
      <c r="A158" t="s">
        <v>648</v>
      </c>
      <c r="N158" t="e">
        <f>VLOOKUP(C158,UB!A:A,1,0)</f>
        <v>#N/A</v>
      </c>
    </row>
    <row r="159" spans="1:14" x14ac:dyDescent="0.25">
      <c r="A159" t="s">
        <v>649</v>
      </c>
      <c r="N159" t="e">
        <f>VLOOKUP(C159,UB!A:A,1,0)</f>
        <v>#N/A</v>
      </c>
    </row>
    <row r="160" spans="1:14" x14ac:dyDescent="0.25">
      <c r="A160" t="s">
        <v>650</v>
      </c>
      <c r="N160" t="e">
        <f>VLOOKUP(C160,UB!A:A,1,0)</f>
        <v>#N/A</v>
      </c>
    </row>
    <row r="161" spans="1:14" x14ac:dyDescent="0.25">
      <c r="A161" t="s">
        <v>651</v>
      </c>
      <c r="N161" t="e">
        <f>VLOOKUP(C161,UB!A:A,1,0)</f>
        <v>#N/A</v>
      </c>
    </row>
    <row r="162" spans="1:14" x14ac:dyDescent="0.25">
      <c r="A162" t="s">
        <v>652</v>
      </c>
      <c r="N162" t="e">
        <f>VLOOKUP(C162,UB!A:A,1,0)</f>
        <v>#N/A</v>
      </c>
    </row>
    <row r="163" spans="1:14" x14ac:dyDescent="0.25">
      <c r="A163" t="s">
        <v>653</v>
      </c>
      <c r="N163" t="e">
        <f>VLOOKUP(C163,UB!A:A,1,0)</f>
        <v>#N/A</v>
      </c>
    </row>
    <row r="164" spans="1:14" x14ac:dyDescent="0.25">
      <c r="A164" t="s">
        <v>648</v>
      </c>
      <c r="N164" t="e">
        <f>VLOOKUP(C164,UB!A:A,1,0)</f>
        <v>#N/A</v>
      </c>
    </row>
    <row r="165" spans="1:14" x14ac:dyDescent="0.25">
      <c r="A165" t="s">
        <v>654</v>
      </c>
      <c r="N165" t="e">
        <f>VLOOKUP(C165,UB!A:A,1,0)</f>
        <v>#N/A</v>
      </c>
    </row>
    <row r="166" spans="1:14" x14ac:dyDescent="0.25">
      <c r="A166" t="s">
        <v>655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656</v>
      </c>
      <c r="N168" t="e">
        <f>VLOOKUP(C168,UB!A:A,1,0)</f>
        <v>#N/A</v>
      </c>
    </row>
    <row r="169" spans="1:14" x14ac:dyDescent="0.25">
      <c r="A169" t="s">
        <v>657</v>
      </c>
      <c r="N169" t="e">
        <f>VLOOKUP(C169,UB!A:A,1,0)</f>
        <v>#N/A</v>
      </c>
    </row>
    <row r="170" spans="1:14" x14ac:dyDescent="0.25">
      <c r="A170" t="s">
        <v>658</v>
      </c>
      <c r="N170" t="e">
        <f>VLOOKUP(C170,UB!A:A,1,0)</f>
        <v>#N/A</v>
      </c>
    </row>
    <row r="171" spans="1:14" x14ac:dyDescent="0.25">
      <c r="A171" t="s">
        <v>659</v>
      </c>
      <c r="N171" t="e">
        <f>VLOOKUP(C171,UB!A:A,1,0)</f>
        <v>#N/A</v>
      </c>
    </row>
    <row r="172" spans="1:14" x14ac:dyDescent="0.25">
      <c r="A172" t="s">
        <v>660</v>
      </c>
      <c r="N172" t="e">
        <f>VLOOKUP(C172,UB!A:A,1,0)</f>
        <v>#N/A</v>
      </c>
    </row>
    <row r="173" spans="1:14" x14ac:dyDescent="0.25">
      <c r="B173" t="s">
        <v>661</v>
      </c>
      <c r="C173" t="s">
        <v>662</v>
      </c>
      <c r="D173" t="s">
        <v>663</v>
      </c>
      <c r="E173" t="s">
        <v>664</v>
      </c>
      <c r="F173" t="s">
        <v>665</v>
      </c>
      <c r="G173" t="s">
        <v>666</v>
      </c>
      <c r="H173" t="s">
        <v>398</v>
      </c>
      <c r="I173" t="s">
        <v>667</v>
      </c>
      <c r="J173" t="s">
        <v>668</v>
      </c>
      <c r="K173" t="s">
        <v>669</v>
      </c>
      <c r="L173" t="s">
        <v>670</v>
      </c>
      <c r="M173" t="s">
        <v>671</v>
      </c>
      <c r="N173" t="str">
        <f>VLOOKUP(C173,UB!A:A,1,0)</f>
        <v>NAMA PERUSAHAAN</v>
      </c>
    </row>
    <row r="174" spans="1:14" x14ac:dyDescent="0.25">
      <c r="B174" t="s">
        <v>897</v>
      </c>
      <c r="C174" t="s">
        <v>898</v>
      </c>
      <c r="D174" t="s">
        <v>899</v>
      </c>
      <c r="E174" t="s">
        <v>900</v>
      </c>
      <c r="F174">
        <v>97410164</v>
      </c>
      <c r="G174" t="s">
        <v>383</v>
      </c>
      <c r="H174" t="s">
        <v>901</v>
      </c>
      <c r="I174" t="s">
        <v>902</v>
      </c>
      <c r="J174" t="s">
        <v>836</v>
      </c>
      <c r="K174" t="s">
        <v>681</v>
      </c>
      <c r="L174" t="s">
        <v>383</v>
      </c>
      <c r="M174" t="s">
        <v>383</v>
      </c>
      <c r="N174" t="str">
        <f>VLOOKUP(C174,UB!A:A,1,0)</f>
        <v>UPTD RUMAH SAKIT MANEMBO-NEMBO TIPE C BITUNG</v>
      </c>
    </row>
    <row r="175" spans="1:14" x14ac:dyDescent="0.25">
      <c r="B175" t="s">
        <v>903</v>
      </c>
      <c r="C175" t="s">
        <v>904</v>
      </c>
      <c r="D175" t="s">
        <v>586</v>
      </c>
      <c r="E175" t="s">
        <v>905</v>
      </c>
      <c r="F175">
        <v>14155922</v>
      </c>
      <c r="G175">
        <v>9120106750359</v>
      </c>
      <c r="H175" t="s">
        <v>784</v>
      </c>
      <c r="I175" t="s">
        <v>679</v>
      </c>
      <c r="J175" t="s">
        <v>836</v>
      </c>
      <c r="K175" t="s">
        <v>681</v>
      </c>
      <c r="L175" t="s">
        <v>383</v>
      </c>
      <c r="M175" t="s">
        <v>383</v>
      </c>
      <c r="N175" t="str">
        <f>VLOOKUP(C175,UB!A:A,1,0)</f>
        <v>DANAKU MAPAN LESTARI, PT</v>
      </c>
    </row>
    <row r="176" spans="1:14" x14ac:dyDescent="0.25">
      <c r="B176" t="s">
        <v>906</v>
      </c>
      <c r="C176" t="s">
        <v>907</v>
      </c>
      <c r="D176" t="s">
        <v>907</v>
      </c>
      <c r="E176" t="s">
        <v>438</v>
      </c>
      <c r="F176">
        <v>7479282</v>
      </c>
      <c r="G176">
        <v>2301240073572</v>
      </c>
      <c r="H176" t="s">
        <v>908</v>
      </c>
      <c r="I176" t="s">
        <v>840</v>
      </c>
      <c r="J176" t="s">
        <v>836</v>
      </c>
      <c r="K176" t="s">
        <v>681</v>
      </c>
      <c r="L176" t="s">
        <v>383</v>
      </c>
      <c r="M176" t="s">
        <v>383</v>
      </c>
      <c r="N176" t="str">
        <f>VLOOKUP(C176,UB!A:A,1,0)</f>
        <v>ANUGRAH SEJATI BERSAMA, PT</v>
      </c>
    </row>
    <row r="177" spans="2:14" x14ac:dyDescent="0.25">
      <c r="B177" t="s">
        <v>909</v>
      </c>
      <c r="C177" t="s">
        <v>615</v>
      </c>
      <c r="D177" t="s">
        <v>615</v>
      </c>
      <c r="E177" t="s">
        <v>910</v>
      </c>
      <c r="F177">
        <v>97410037</v>
      </c>
      <c r="G177">
        <v>9120402382166</v>
      </c>
      <c r="H177" t="s">
        <v>911</v>
      </c>
      <c r="I177" t="s">
        <v>840</v>
      </c>
      <c r="J177" t="s">
        <v>836</v>
      </c>
      <c r="K177" t="s">
        <v>681</v>
      </c>
      <c r="L177" t="s">
        <v>383</v>
      </c>
      <c r="M177" t="s">
        <v>383</v>
      </c>
      <c r="N177" t="str">
        <f>VLOOKUP(C177,UB!A:A,1,0)</f>
        <v>INDO LAUTAN MAS, PT</v>
      </c>
    </row>
    <row r="178" spans="2:14" x14ac:dyDescent="0.25">
      <c r="B178" t="s">
        <v>912</v>
      </c>
      <c r="C178" t="s">
        <v>616</v>
      </c>
      <c r="D178" t="s">
        <v>616</v>
      </c>
      <c r="E178" t="s">
        <v>617</v>
      </c>
      <c r="F178">
        <v>97410036</v>
      </c>
      <c r="G178">
        <v>8120100950352</v>
      </c>
      <c r="H178" t="s">
        <v>913</v>
      </c>
      <c r="I178" t="s">
        <v>399</v>
      </c>
      <c r="J178" t="s">
        <v>836</v>
      </c>
      <c r="K178" t="s">
        <v>681</v>
      </c>
      <c r="L178" t="s">
        <v>383</v>
      </c>
      <c r="M178" t="s">
        <v>383</v>
      </c>
      <c r="N178" t="str">
        <f>VLOOKUP(C178,UB!A:A,1,0)</f>
        <v>MARINA NUSANTARA SELARAS, PT</v>
      </c>
    </row>
    <row r="179" spans="2:14" x14ac:dyDescent="0.25">
      <c r="B179" t="s">
        <v>914</v>
      </c>
      <c r="C179" t="s">
        <v>915</v>
      </c>
      <c r="D179" t="s">
        <v>915</v>
      </c>
      <c r="E179" t="s">
        <v>916</v>
      </c>
      <c r="F179">
        <v>97409796</v>
      </c>
      <c r="G179">
        <v>9120202792959</v>
      </c>
      <c r="H179" t="s">
        <v>383</v>
      </c>
      <c r="I179" t="s">
        <v>679</v>
      </c>
      <c r="J179" t="s">
        <v>836</v>
      </c>
      <c r="K179" t="s">
        <v>681</v>
      </c>
      <c r="L179" t="s">
        <v>383</v>
      </c>
      <c r="M179" t="s">
        <v>383</v>
      </c>
      <c r="N179" t="str">
        <f>VLOOKUP(C179,UB!A:A,1,0)</f>
        <v>BANK SINARMAS PT</v>
      </c>
    </row>
    <row r="180" spans="2:14" x14ac:dyDescent="0.25">
      <c r="B180" t="s">
        <v>917</v>
      </c>
      <c r="C180" t="s">
        <v>613</v>
      </c>
      <c r="D180" t="s">
        <v>613</v>
      </c>
      <c r="E180" t="s">
        <v>918</v>
      </c>
      <c r="F180">
        <v>61061724</v>
      </c>
      <c r="G180">
        <v>1208220027879</v>
      </c>
      <c r="H180" t="s">
        <v>919</v>
      </c>
      <c r="I180" t="s">
        <v>399</v>
      </c>
      <c r="J180" t="s">
        <v>836</v>
      </c>
      <c r="K180" t="s">
        <v>681</v>
      </c>
      <c r="L180" t="s">
        <v>383</v>
      </c>
      <c r="M180" t="s">
        <v>383</v>
      </c>
      <c r="N180" t="str">
        <f>VLOOKUP(C180,UB!A:A,1,0)</f>
        <v>IKAN SAMUDERA INDONESIA</v>
      </c>
    </row>
    <row r="181" spans="2:14" x14ac:dyDescent="0.25">
      <c r="B181" t="s">
        <v>920</v>
      </c>
      <c r="C181" t="s">
        <v>631</v>
      </c>
      <c r="D181" t="s">
        <v>631</v>
      </c>
      <c r="E181" t="s">
        <v>921</v>
      </c>
      <c r="F181">
        <v>61061728</v>
      </c>
      <c r="G181">
        <v>2403220017571</v>
      </c>
      <c r="H181" t="s">
        <v>922</v>
      </c>
      <c r="I181" t="s">
        <v>399</v>
      </c>
      <c r="J181" t="s">
        <v>836</v>
      </c>
      <c r="K181" t="s">
        <v>681</v>
      </c>
      <c r="L181" t="s">
        <v>383</v>
      </c>
      <c r="M181" t="s">
        <v>383</v>
      </c>
      <c r="N181" t="str">
        <f>VLOOKUP(C181,UB!A:A,1,0)</f>
        <v>SAMUDRA ULAM NUSANTARA</v>
      </c>
    </row>
    <row r="182" spans="2:14" x14ac:dyDescent="0.25">
      <c r="B182" t="s">
        <v>923</v>
      </c>
      <c r="C182" t="s">
        <v>619</v>
      </c>
      <c r="D182" t="s">
        <v>619</v>
      </c>
      <c r="E182" t="s">
        <v>620</v>
      </c>
      <c r="F182">
        <v>3045650</v>
      </c>
      <c r="G182">
        <v>220303391821</v>
      </c>
      <c r="H182" t="s">
        <v>924</v>
      </c>
      <c r="I182" t="s">
        <v>399</v>
      </c>
      <c r="J182" t="s">
        <v>836</v>
      </c>
      <c r="K182" t="s">
        <v>681</v>
      </c>
      <c r="L182" t="s">
        <v>383</v>
      </c>
      <c r="M182" t="s">
        <v>383</v>
      </c>
      <c r="N182" t="str">
        <f>VLOOKUP(C182,UB!A:A,1,0)</f>
        <v>PALMA MARINAIO NUSANTARA, pt</v>
      </c>
    </row>
    <row r="183" spans="2:14" x14ac:dyDescent="0.25">
      <c r="B183" t="s">
        <v>925</v>
      </c>
      <c r="C183" t="s">
        <v>618</v>
      </c>
      <c r="D183" t="s">
        <v>618</v>
      </c>
      <c r="E183" t="s">
        <v>926</v>
      </c>
      <c r="F183">
        <v>4336140</v>
      </c>
      <c r="G183">
        <v>9120108991539</v>
      </c>
      <c r="H183" t="s">
        <v>614</v>
      </c>
      <c r="I183" t="s">
        <v>399</v>
      </c>
      <c r="J183" t="s">
        <v>836</v>
      </c>
      <c r="K183" t="s">
        <v>681</v>
      </c>
      <c r="L183" t="s">
        <v>383</v>
      </c>
      <c r="M183" t="s">
        <v>383</v>
      </c>
      <c r="N183" t="str">
        <f>VLOOKUP(C183,UB!A:A,1,0)</f>
        <v>ANPING SEAFOOD INDONESIA</v>
      </c>
    </row>
    <row r="184" spans="2:14" x14ac:dyDescent="0.25">
      <c r="B184" t="s">
        <v>927</v>
      </c>
      <c r="C184" t="s">
        <v>621</v>
      </c>
      <c r="D184" t="s">
        <v>621</v>
      </c>
      <c r="E184" t="s">
        <v>928</v>
      </c>
      <c r="F184">
        <v>3260558</v>
      </c>
      <c r="G184">
        <v>8120102832083</v>
      </c>
      <c r="H184" t="s">
        <v>929</v>
      </c>
      <c r="I184" t="s">
        <v>840</v>
      </c>
      <c r="J184" t="s">
        <v>836</v>
      </c>
      <c r="K184" t="s">
        <v>681</v>
      </c>
      <c r="L184" t="s">
        <v>383</v>
      </c>
      <c r="M184" t="s">
        <v>383</v>
      </c>
      <c r="N184" t="str">
        <f>VLOOKUP(C184,UB!A:A,1,0)</f>
        <v>FUTAI SULAWESI UTARA PT</v>
      </c>
    </row>
    <row r="185" spans="2:14" x14ac:dyDescent="0.25">
      <c r="B185" t="s">
        <v>930</v>
      </c>
      <c r="C185" t="s">
        <v>560</v>
      </c>
      <c r="D185" t="s">
        <v>560</v>
      </c>
      <c r="E185" t="s">
        <v>561</v>
      </c>
      <c r="F185">
        <v>97411707</v>
      </c>
      <c r="G185" t="s">
        <v>383</v>
      </c>
      <c r="H185" t="s">
        <v>383</v>
      </c>
      <c r="I185" t="s">
        <v>383</v>
      </c>
      <c r="J185" t="s">
        <v>674</v>
      </c>
      <c r="K185" t="s">
        <v>675</v>
      </c>
      <c r="L185" t="s">
        <v>383</v>
      </c>
      <c r="M185" t="s">
        <v>383</v>
      </c>
      <c r="N185" t="str">
        <f>VLOOKUP(C185,UB!A:A,1,0)</f>
        <v>BANK ARTHA GRAHA INTERNASIONAL TBK PT</v>
      </c>
    </row>
    <row r="186" spans="2:14" x14ac:dyDescent="0.25">
      <c r="B186" t="s">
        <v>931</v>
      </c>
      <c r="C186" t="s">
        <v>567</v>
      </c>
      <c r="D186" t="s">
        <v>567</v>
      </c>
      <c r="E186" t="s">
        <v>568</v>
      </c>
      <c r="F186">
        <v>97411662</v>
      </c>
      <c r="G186" t="s">
        <v>383</v>
      </c>
      <c r="H186" t="s">
        <v>383</v>
      </c>
      <c r="I186" t="s">
        <v>383</v>
      </c>
      <c r="J186" t="s">
        <v>674</v>
      </c>
      <c r="K186" t="s">
        <v>675</v>
      </c>
      <c r="L186" t="s">
        <v>383</v>
      </c>
      <c r="M186" t="s">
        <v>383</v>
      </c>
      <c r="N186" t="str">
        <f>VLOOKUP(C186,UB!A:A,1,0)</f>
        <v>AGRO MAKMUR RAYA, PT</v>
      </c>
    </row>
    <row r="187" spans="2:14" x14ac:dyDescent="0.25">
      <c r="B187" t="s">
        <v>932</v>
      </c>
      <c r="C187" t="s">
        <v>556</v>
      </c>
      <c r="D187" t="s">
        <v>933</v>
      </c>
      <c r="E187" t="s">
        <v>557</v>
      </c>
      <c r="F187">
        <v>94725346</v>
      </c>
      <c r="G187" t="s">
        <v>383</v>
      </c>
      <c r="H187" t="s">
        <v>934</v>
      </c>
      <c r="I187" t="s">
        <v>383</v>
      </c>
      <c r="J187" t="s">
        <v>674</v>
      </c>
      <c r="K187" t="s">
        <v>675</v>
      </c>
      <c r="L187" t="s">
        <v>383</v>
      </c>
      <c r="M187" t="s">
        <v>383</v>
      </c>
      <c r="N187" t="str">
        <f>VLOOKUP(C187,UB!A:A,1,0)</f>
        <v>Sarana Bandar Nasional, Kantor Cabang Bitung</v>
      </c>
    </row>
    <row r="188" spans="2:14" x14ac:dyDescent="0.25">
      <c r="B188" t="s">
        <v>935</v>
      </c>
      <c r="C188" t="s">
        <v>562</v>
      </c>
      <c r="D188" t="s">
        <v>562</v>
      </c>
      <c r="E188" t="s">
        <v>563</v>
      </c>
      <c r="F188">
        <v>97411524</v>
      </c>
      <c r="G188" t="s">
        <v>383</v>
      </c>
      <c r="H188" t="s">
        <v>383</v>
      </c>
      <c r="I188" t="s">
        <v>383</v>
      </c>
      <c r="J188" t="s">
        <v>674</v>
      </c>
      <c r="K188" t="s">
        <v>675</v>
      </c>
      <c r="L188" t="s">
        <v>383</v>
      </c>
      <c r="M188" t="s">
        <v>383</v>
      </c>
      <c r="N188" t="str">
        <f>VLOOKUP(C188,UB!A:A,1,0)</f>
        <v>BANK SULUT GO PT</v>
      </c>
    </row>
    <row r="189" spans="2:14" x14ac:dyDescent="0.25">
      <c r="B189" t="s">
        <v>936</v>
      </c>
      <c r="C189" t="s">
        <v>554</v>
      </c>
      <c r="D189" t="s">
        <v>554</v>
      </c>
      <c r="E189" t="s">
        <v>555</v>
      </c>
      <c r="F189">
        <v>94417727</v>
      </c>
      <c r="G189" t="s">
        <v>383</v>
      </c>
      <c r="H189" t="s">
        <v>383</v>
      </c>
      <c r="I189" t="s">
        <v>383</v>
      </c>
      <c r="J189" t="s">
        <v>674</v>
      </c>
      <c r="K189" t="s">
        <v>675</v>
      </c>
      <c r="L189" t="s">
        <v>383</v>
      </c>
      <c r="M189" t="s">
        <v>383</v>
      </c>
      <c r="N189" t="str">
        <f>VLOOKUP(C189,UB!A:A,1,0)</f>
        <v>PT Panin Bank Tbk, cabang Bitung</v>
      </c>
    </row>
    <row r="190" spans="2:14" x14ac:dyDescent="0.25">
      <c r="B190" t="s">
        <v>937</v>
      </c>
      <c r="C190" t="s">
        <v>564</v>
      </c>
      <c r="D190" t="s">
        <v>564</v>
      </c>
      <c r="E190" t="s">
        <v>565</v>
      </c>
      <c r="F190">
        <v>97411536</v>
      </c>
      <c r="G190" t="s">
        <v>383</v>
      </c>
      <c r="H190" t="s">
        <v>566</v>
      </c>
      <c r="I190" t="s">
        <v>383</v>
      </c>
      <c r="J190" t="s">
        <v>674</v>
      </c>
      <c r="K190" t="s">
        <v>675</v>
      </c>
      <c r="L190" t="s">
        <v>383</v>
      </c>
      <c r="M190" t="s">
        <v>383</v>
      </c>
      <c r="N190" t="str">
        <f>VLOOKUP(C190,UB!A:A,1,0)</f>
        <v>DOK KELAPA DUA PERMAI, PT</v>
      </c>
    </row>
    <row r="191" spans="2:14" x14ac:dyDescent="0.25">
      <c r="B191" t="s">
        <v>938</v>
      </c>
      <c r="C191" t="s">
        <v>569</v>
      </c>
      <c r="D191" t="s">
        <v>569</v>
      </c>
      <c r="E191" t="s">
        <v>570</v>
      </c>
      <c r="F191">
        <v>2990029</v>
      </c>
      <c r="G191" t="s">
        <v>383</v>
      </c>
      <c r="H191" t="s">
        <v>939</v>
      </c>
      <c r="I191" t="s">
        <v>383</v>
      </c>
      <c r="J191" t="s">
        <v>674</v>
      </c>
      <c r="K191" t="s">
        <v>675</v>
      </c>
      <c r="L191" t="s">
        <v>383</v>
      </c>
      <c r="M191" t="s">
        <v>383</v>
      </c>
      <c r="N191" t="str">
        <f>VLOOKUP(C191,UB!A:A,1,0)</f>
        <v>BANK TABUNGAN NEGARA KCP BITUNG</v>
      </c>
    </row>
    <row r="192" spans="2:14" x14ac:dyDescent="0.25">
      <c r="B192" t="s">
        <v>940</v>
      </c>
      <c r="C192" t="s">
        <v>451</v>
      </c>
      <c r="D192" t="s">
        <v>451</v>
      </c>
      <c r="E192" t="s">
        <v>452</v>
      </c>
      <c r="F192">
        <v>97411321</v>
      </c>
      <c r="G192" t="s">
        <v>383</v>
      </c>
      <c r="H192" t="s">
        <v>383</v>
      </c>
      <c r="I192" t="s">
        <v>383</v>
      </c>
      <c r="J192" t="s">
        <v>674</v>
      </c>
      <c r="K192" t="s">
        <v>675</v>
      </c>
      <c r="L192" t="s">
        <v>383</v>
      </c>
      <c r="M192" t="s">
        <v>383</v>
      </c>
      <c r="N192" t="str">
        <f>VLOOKUP(C192,UB!A:A,1,0)</f>
        <v>BINTANG MANDIRI BERSAUDARA, PT</v>
      </c>
    </row>
    <row r="193" spans="2:14" x14ac:dyDescent="0.25">
      <c r="B193" t="s">
        <v>941</v>
      </c>
      <c r="C193" t="s">
        <v>449</v>
      </c>
      <c r="D193" t="s">
        <v>942</v>
      </c>
      <c r="E193" t="s">
        <v>450</v>
      </c>
      <c r="F193">
        <v>97411063</v>
      </c>
      <c r="G193">
        <v>206000902635</v>
      </c>
      <c r="H193" t="s">
        <v>383</v>
      </c>
      <c r="I193">
        <v>206000902635</v>
      </c>
      <c r="J193" t="s">
        <v>674</v>
      </c>
      <c r="K193" t="s">
        <v>675</v>
      </c>
      <c r="L193" t="s">
        <v>383</v>
      </c>
      <c r="M193" t="s">
        <v>383</v>
      </c>
      <c r="N193" t="str">
        <f>VLOOKUP(C193,UB!A:A,1,0)</f>
        <v>CARVINNA TRIJAYA MAKMUR, PT</v>
      </c>
    </row>
    <row r="194" spans="2:14" x14ac:dyDescent="0.25">
      <c r="B194" t="s">
        <v>943</v>
      </c>
      <c r="C194" t="s">
        <v>558</v>
      </c>
      <c r="D194" t="s">
        <v>944</v>
      </c>
      <c r="E194" t="s">
        <v>559</v>
      </c>
      <c r="F194">
        <v>95332747</v>
      </c>
      <c r="G194" t="s">
        <v>383</v>
      </c>
      <c r="H194" t="s">
        <v>383</v>
      </c>
      <c r="I194">
        <v>9999999999999</v>
      </c>
      <c r="J194" t="s">
        <v>674</v>
      </c>
      <c r="K194" t="s">
        <v>675</v>
      </c>
      <c r="L194" t="s">
        <v>383</v>
      </c>
      <c r="M194" t="s">
        <v>383</v>
      </c>
      <c r="N194" t="str">
        <f>VLOOKUP(C194,UB!A:A,1,0)</f>
        <v>PERTAMINA TRANS KONTINENTAL, SUBCABANG MAKASSAR (BITUNG)</v>
      </c>
    </row>
    <row r="195" spans="2:14" x14ac:dyDescent="0.25">
      <c r="B195" t="s">
        <v>945</v>
      </c>
      <c r="C195" t="s">
        <v>515</v>
      </c>
      <c r="D195" t="s">
        <v>946</v>
      </c>
      <c r="E195" t="s">
        <v>516</v>
      </c>
      <c r="F195">
        <v>97714923</v>
      </c>
      <c r="G195" t="s">
        <v>383</v>
      </c>
      <c r="H195" t="s">
        <v>383</v>
      </c>
      <c r="I195" t="s">
        <v>383</v>
      </c>
      <c r="J195" t="s">
        <v>674</v>
      </c>
      <c r="K195" t="s">
        <v>675</v>
      </c>
      <c r="L195" t="s">
        <v>383</v>
      </c>
      <c r="M195" t="s">
        <v>383</v>
      </c>
      <c r="N195" t="str">
        <f>VLOOKUP(C195,UB!A:A,1,0)</f>
        <v>KIOS SEMBAKO &lt;NOVAL&gt;</v>
      </c>
    </row>
    <row r="196" spans="2:14" x14ac:dyDescent="0.25">
      <c r="B196" t="s">
        <v>947</v>
      </c>
      <c r="C196" t="s">
        <v>453</v>
      </c>
      <c r="D196" t="s">
        <v>453</v>
      </c>
      <c r="E196" t="s">
        <v>454</v>
      </c>
      <c r="F196">
        <v>4613438</v>
      </c>
      <c r="G196" t="s">
        <v>383</v>
      </c>
      <c r="H196" t="s">
        <v>948</v>
      </c>
      <c r="I196" t="s">
        <v>383</v>
      </c>
      <c r="J196" t="s">
        <v>674</v>
      </c>
      <c r="K196" t="s">
        <v>675</v>
      </c>
      <c r="L196" t="s">
        <v>383</v>
      </c>
      <c r="M196" t="s">
        <v>383</v>
      </c>
      <c r="N196" t="str">
        <f>VLOOKUP(C196,UB!A:A,1,0)</f>
        <v>BUDI SENTOSA ABADI, PT</v>
      </c>
    </row>
    <row r="197" spans="2:14" x14ac:dyDescent="0.25">
      <c r="B197" t="s">
        <v>949</v>
      </c>
      <c r="C197" t="s">
        <v>414</v>
      </c>
      <c r="D197" t="s">
        <v>950</v>
      </c>
      <c r="E197" t="s">
        <v>415</v>
      </c>
      <c r="F197">
        <v>97714250</v>
      </c>
      <c r="G197" t="s">
        <v>383</v>
      </c>
      <c r="H197" t="s">
        <v>383</v>
      </c>
      <c r="I197" t="s">
        <v>383</v>
      </c>
      <c r="J197" t="s">
        <v>674</v>
      </c>
      <c r="K197" t="s">
        <v>675</v>
      </c>
      <c r="L197" t="s">
        <v>383</v>
      </c>
      <c r="M197" t="s">
        <v>383</v>
      </c>
      <c r="N197" t="str">
        <f>VLOOKUP(C197,UB!A:A,1,0)</f>
        <v>JASA ANGKUTAN</v>
      </c>
    </row>
    <row r="198" spans="2:14" x14ac:dyDescent="0.25">
      <c r="B198" t="s">
        <v>951</v>
      </c>
      <c r="C198" t="s">
        <v>509</v>
      </c>
      <c r="D198" t="s">
        <v>509</v>
      </c>
      <c r="E198" t="s">
        <v>510</v>
      </c>
      <c r="F198">
        <v>16023464</v>
      </c>
      <c r="G198" t="s">
        <v>383</v>
      </c>
      <c r="H198" t="s">
        <v>383</v>
      </c>
      <c r="I198">
        <v>9999999999999</v>
      </c>
      <c r="J198" t="s">
        <v>674</v>
      </c>
      <c r="K198" t="s">
        <v>675</v>
      </c>
      <c r="L198" t="s">
        <v>383</v>
      </c>
      <c r="M198" t="s">
        <v>383</v>
      </c>
      <c r="N198" t="str">
        <f>VLOOKUP(C198,UB!A:A,1,0)</f>
        <v>PT BANK MANDIRI &lt;SEPTIAN BAGUS&gt;</v>
      </c>
    </row>
    <row r="199" spans="2:14" x14ac:dyDescent="0.25">
      <c r="B199" t="s">
        <v>952</v>
      </c>
      <c r="C199" t="s">
        <v>581</v>
      </c>
      <c r="D199" t="s">
        <v>581</v>
      </c>
      <c r="E199" t="s">
        <v>582</v>
      </c>
      <c r="F199">
        <v>16055876</v>
      </c>
      <c r="G199" t="s">
        <v>383</v>
      </c>
      <c r="H199" t="s">
        <v>953</v>
      </c>
      <c r="I199">
        <v>9999999999999</v>
      </c>
      <c r="J199" t="s">
        <v>674</v>
      </c>
      <c r="K199" t="s">
        <v>675</v>
      </c>
      <c r="L199" t="s">
        <v>383</v>
      </c>
      <c r="M199" t="s">
        <v>383</v>
      </c>
      <c r="N199" t="str">
        <f>VLOOKUP(C199,UB!A:A,1,0)</f>
        <v>PT. BANK BTPN &lt;SADRAK AMTOR&gt;</v>
      </c>
    </row>
    <row r="200" spans="2:14" x14ac:dyDescent="0.25">
      <c r="B200" t="s">
        <v>954</v>
      </c>
      <c r="C200" t="s">
        <v>416</v>
      </c>
      <c r="D200" t="s">
        <v>416</v>
      </c>
      <c r="E200" t="s">
        <v>417</v>
      </c>
      <c r="F200">
        <v>2506178</v>
      </c>
      <c r="G200" t="s">
        <v>383</v>
      </c>
      <c r="H200" t="s">
        <v>955</v>
      </c>
      <c r="I200" t="s">
        <v>383</v>
      </c>
      <c r="J200" t="s">
        <v>674</v>
      </c>
      <c r="K200" t="s">
        <v>675</v>
      </c>
      <c r="L200" t="s">
        <v>383</v>
      </c>
      <c r="M200" t="s">
        <v>383</v>
      </c>
      <c r="N200" t="str">
        <f>VLOOKUP(C200,UB!A:A,1,0)</f>
        <v>BANK MANDIRI TASPEN</v>
      </c>
    </row>
    <row r="201" spans="2:14" x14ac:dyDescent="0.25">
      <c r="B201" t="s">
        <v>956</v>
      </c>
      <c r="C201" t="s">
        <v>482</v>
      </c>
      <c r="D201" t="s">
        <v>957</v>
      </c>
      <c r="E201" t="s">
        <v>413</v>
      </c>
      <c r="F201">
        <v>97409779</v>
      </c>
      <c r="G201" t="s">
        <v>383</v>
      </c>
      <c r="H201" t="s">
        <v>383</v>
      </c>
      <c r="I201" t="s">
        <v>383</v>
      </c>
      <c r="J201" t="s">
        <v>674</v>
      </c>
      <c r="K201" t="s">
        <v>675</v>
      </c>
      <c r="L201" t="s">
        <v>383</v>
      </c>
      <c r="M201" t="s">
        <v>383</v>
      </c>
      <c r="N201" t="str">
        <f>VLOOKUP(C201,UB!A:A,1,0)</f>
        <v>MANADO MINA CITRA TARUNA PT</v>
      </c>
    </row>
    <row r="202" spans="2:14" x14ac:dyDescent="0.25">
      <c r="B202" t="s">
        <v>958</v>
      </c>
      <c r="C202" t="s">
        <v>441</v>
      </c>
      <c r="D202" t="s">
        <v>441</v>
      </c>
      <c r="E202" t="s">
        <v>442</v>
      </c>
      <c r="F202">
        <v>97409899</v>
      </c>
      <c r="G202" t="s">
        <v>383</v>
      </c>
      <c r="H202" t="s">
        <v>959</v>
      </c>
      <c r="I202" t="s">
        <v>383</v>
      </c>
      <c r="J202" t="s">
        <v>674</v>
      </c>
      <c r="K202" t="s">
        <v>675</v>
      </c>
      <c r="L202" t="s">
        <v>383</v>
      </c>
      <c r="M202" t="s">
        <v>383</v>
      </c>
      <c r="N202" t="str">
        <f>VLOOKUP(C202,UB!A:A,1,0)</f>
        <v>NUTRINDO FRESHFOOD, PT</v>
      </c>
    </row>
    <row r="203" spans="2:14" x14ac:dyDescent="0.25">
      <c r="B203" t="s">
        <v>960</v>
      </c>
      <c r="C203" t="s">
        <v>578</v>
      </c>
      <c r="D203" t="s">
        <v>961</v>
      </c>
      <c r="E203" t="s">
        <v>579</v>
      </c>
      <c r="F203">
        <v>97715138</v>
      </c>
      <c r="G203">
        <v>8120216033701</v>
      </c>
      <c r="H203" t="s">
        <v>962</v>
      </c>
      <c r="I203">
        <v>8120216033701</v>
      </c>
      <c r="J203" t="s">
        <v>674</v>
      </c>
      <c r="K203" t="s">
        <v>675</v>
      </c>
      <c r="L203" t="s">
        <v>383</v>
      </c>
      <c r="M203" t="s">
        <v>383</v>
      </c>
      <c r="N203" t="str">
        <f>VLOOKUP(C203,UB!A:A,1,0)</f>
        <v>FAST FOOD INDONESIA, PT</v>
      </c>
    </row>
    <row r="204" spans="2:14" x14ac:dyDescent="0.25">
      <c r="B204" t="s">
        <v>963</v>
      </c>
      <c r="C204" t="s">
        <v>477</v>
      </c>
      <c r="D204" t="s">
        <v>477</v>
      </c>
      <c r="E204" t="s">
        <v>478</v>
      </c>
      <c r="F204">
        <v>94440255</v>
      </c>
      <c r="G204" t="s">
        <v>383</v>
      </c>
      <c r="H204" t="s">
        <v>383</v>
      </c>
      <c r="I204" t="s">
        <v>383</v>
      </c>
      <c r="J204" t="s">
        <v>674</v>
      </c>
      <c r="K204" t="s">
        <v>675</v>
      </c>
      <c r="L204" t="s">
        <v>383</v>
      </c>
      <c r="M204" t="s">
        <v>383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964</v>
      </c>
      <c r="C205" t="s">
        <v>471</v>
      </c>
      <c r="D205" t="s">
        <v>471</v>
      </c>
      <c r="E205" t="s">
        <v>472</v>
      </c>
      <c r="F205">
        <v>37898</v>
      </c>
      <c r="G205" t="s">
        <v>383</v>
      </c>
      <c r="H205" t="s">
        <v>383</v>
      </c>
      <c r="I205" t="s">
        <v>383</v>
      </c>
      <c r="J205" t="s">
        <v>674</v>
      </c>
      <c r="K205" t="s">
        <v>675</v>
      </c>
      <c r="L205" t="s">
        <v>383</v>
      </c>
      <c r="M205" t="s">
        <v>383</v>
      </c>
      <c r="N205" t="str">
        <f>VLOOKUP(C205,UB!A:A,1,0)</f>
        <v>Djakarta Lloyd PT Persero</v>
      </c>
    </row>
    <row r="206" spans="2:14" x14ac:dyDescent="0.25">
      <c r="B206" t="s">
        <v>965</v>
      </c>
      <c r="C206" t="s">
        <v>480</v>
      </c>
      <c r="D206" t="s">
        <v>966</v>
      </c>
      <c r="E206" t="s">
        <v>481</v>
      </c>
      <c r="F206">
        <v>97409592</v>
      </c>
      <c r="G206" t="s">
        <v>383</v>
      </c>
      <c r="H206" t="s">
        <v>383</v>
      </c>
      <c r="I206" t="s">
        <v>383</v>
      </c>
      <c r="J206" t="s">
        <v>674</v>
      </c>
      <c r="K206" t="s">
        <v>675</v>
      </c>
      <c r="L206" t="s">
        <v>383</v>
      </c>
      <c r="M206" t="s">
        <v>383</v>
      </c>
      <c r="N206" t="str">
        <f>VLOOKUP(C206,UB!A:A,1,0)</f>
        <v>INDOFOOD CBP SUKSES MAKMUR, PT</v>
      </c>
    </row>
    <row r="207" spans="2:14" x14ac:dyDescent="0.25">
      <c r="B207" t="s">
        <v>967</v>
      </c>
      <c r="C207" t="s">
        <v>485</v>
      </c>
      <c r="D207" t="s">
        <v>485</v>
      </c>
      <c r="E207" t="s">
        <v>486</v>
      </c>
      <c r="F207">
        <v>97409240</v>
      </c>
      <c r="G207" t="s">
        <v>383</v>
      </c>
      <c r="H207" t="s">
        <v>968</v>
      </c>
      <c r="I207" t="s">
        <v>383</v>
      </c>
      <c r="J207" t="s">
        <v>674</v>
      </c>
      <c r="K207" t="s">
        <v>675</v>
      </c>
      <c r="L207" t="s">
        <v>383</v>
      </c>
      <c r="M207" t="s">
        <v>383</v>
      </c>
      <c r="N207" t="str">
        <f>VLOOKUP(C207,UB!A:A,1,0)</f>
        <v>DEHO CANNING COMPANY, PT</v>
      </c>
    </row>
    <row r="208" spans="2:14" x14ac:dyDescent="0.25">
      <c r="B208" t="s">
        <v>969</v>
      </c>
      <c r="C208" t="s">
        <v>443</v>
      </c>
      <c r="D208" t="s">
        <v>970</v>
      </c>
      <c r="E208" t="s">
        <v>479</v>
      </c>
      <c r="F208">
        <v>94431370</v>
      </c>
      <c r="G208" t="s">
        <v>383</v>
      </c>
      <c r="H208" t="s">
        <v>383</v>
      </c>
      <c r="I208">
        <v>9999999999999</v>
      </c>
      <c r="J208" t="s">
        <v>674</v>
      </c>
      <c r="K208" t="s">
        <v>675</v>
      </c>
      <c r="L208" t="s">
        <v>383</v>
      </c>
      <c r="M208" t="s">
        <v>383</v>
      </c>
      <c r="N208" t="str">
        <f>VLOOKUP(C208,UB!A:A,1,0)</f>
        <v>PEGADAIAN, PT</v>
      </c>
    </row>
    <row r="209" spans="1:14" x14ac:dyDescent="0.25">
      <c r="B209" t="s">
        <v>971</v>
      </c>
      <c r="C209" t="s">
        <v>475</v>
      </c>
      <c r="D209" t="s">
        <v>972</v>
      </c>
      <c r="E209" t="s">
        <v>476</v>
      </c>
      <c r="F209">
        <v>94417036</v>
      </c>
      <c r="G209" t="s">
        <v>383</v>
      </c>
      <c r="H209" t="s">
        <v>383</v>
      </c>
      <c r="I209" t="s">
        <v>383</v>
      </c>
      <c r="J209" t="s">
        <v>674</v>
      </c>
      <c r="K209" t="s">
        <v>675</v>
      </c>
      <c r="L209" t="s">
        <v>383</v>
      </c>
      <c r="M209" t="s">
        <v>383</v>
      </c>
      <c r="N209" t="str">
        <f>VLOOKUP(C209,UB!A:A,1,0)</f>
        <v>Grapari Bitung, TELEKOMUNIKASI INDONESIA SELULER, PT</v>
      </c>
    </row>
    <row r="210" spans="1:14" x14ac:dyDescent="0.25">
      <c r="B210" t="s">
        <v>973</v>
      </c>
      <c r="C210" t="s">
        <v>487</v>
      </c>
      <c r="D210" t="s">
        <v>487</v>
      </c>
      <c r="E210" t="s">
        <v>488</v>
      </c>
      <c r="F210">
        <v>97409239</v>
      </c>
      <c r="G210" t="s">
        <v>383</v>
      </c>
      <c r="H210" t="s">
        <v>383</v>
      </c>
      <c r="I210" t="s">
        <v>383</v>
      </c>
      <c r="J210" t="s">
        <v>674</v>
      </c>
      <c r="K210" t="s">
        <v>675</v>
      </c>
      <c r="L210" t="s">
        <v>383</v>
      </c>
      <c r="M210" t="s">
        <v>383</v>
      </c>
      <c r="N210" t="str">
        <f>VLOOKUP(C210,UB!A:A,1,0)</f>
        <v>RD PACIFIK INTERNATIONAL, PT</v>
      </c>
    </row>
    <row r="211" spans="1:14" x14ac:dyDescent="0.25">
      <c r="E211" t="s">
        <v>974</v>
      </c>
      <c r="N211" t="e">
        <f>VLOOKUP(C211,UB!A:A,1,0)</f>
        <v>#N/A</v>
      </c>
    </row>
    <row r="212" spans="1:14" x14ac:dyDescent="0.25">
      <c r="A212" t="s">
        <v>975</v>
      </c>
      <c r="N212" t="e">
        <f>VLOOKUP(C212,UB!A:A,1,0)</f>
        <v>#N/A</v>
      </c>
    </row>
    <row r="213" spans="1:14" x14ac:dyDescent="0.25">
      <c r="A213" t="s">
        <v>896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976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42"/>
  <sheetViews>
    <sheetView topLeftCell="A127" workbookViewId="0">
      <selection activeCell="A139" sqref="A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378</v>
      </c>
      <c r="N1" t="s">
        <v>391</v>
      </c>
      <c r="O1" t="s">
        <v>386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647</v>
      </c>
      <c r="F2">
        <f>SUMIF(DATA!$A:$A,PPL!$A2,DATA!D:D)</f>
        <v>291</v>
      </c>
      <c r="G2">
        <f>SUMIF(DATA!$A:$A,PPL!$A2,DATA!E:E)</f>
        <v>22</v>
      </c>
      <c r="H2">
        <f>SUMIF(DATA!$A:$A,PPL!$A2,DATA!F:F)</f>
        <v>290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44</v>
      </c>
      <c r="L2">
        <f>SUMIF(DATA!$A:$A,PPL!$A2,DATA!J:J)</f>
        <v>0</v>
      </c>
      <c r="M2">
        <f>F2+I2+J2+K2+L2</f>
        <v>335</v>
      </c>
      <c r="N2" s="3">
        <f>(M2/E2)*100</f>
        <v>51.777434312210204</v>
      </c>
      <c r="O2">
        <f ca="1">CEILING(VLOOKUP(TODAY(),TARGET!A:C,3,0)*E2/100,1)</f>
        <v>421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627</v>
      </c>
      <c r="F3">
        <f>SUMIF(DATA!$A:$A,PPL!$A3,DATA!D:D)</f>
        <v>312</v>
      </c>
      <c r="G3">
        <f>SUMIF(DATA!$A:$A,PPL!$A3,DATA!E:E)</f>
        <v>10</v>
      </c>
      <c r="H3">
        <f>SUMIF(DATA!$A:$A,PPL!$A3,DATA!F:F)</f>
        <v>221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84</v>
      </c>
      <c r="L3">
        <f>SUMIF(DATA!$A:$A,PPL!$A3,DATA!J:J)</f>
        <v>0</v>
      </c>
      <c r="M3">
        <f t="shared" ref="M3:M63" si="0">F3+I3+J3+K3+L3</f>
        <v>396</v>
      </c>
      <c r="N3" s="3">
        <f t="shared" ref="N3:N63" si="1">(M3/E3)*100</f>
        <v>63.157894736842103</v>
      </c>
      <c r="O3">
        <f ca="1">CEILING(VLOOKUP(TODAY(),TARGET!A:C,3,0)*E3/100,1)</f>
        <v>408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692</v>
      </c>
      <c r="F4">
        <f>SUMIF(DATA!$A:$A,PPL!$A4,DATA!D:D)</f>
        <v>383</v>
      </c>
      <c r="G4">
        <f>SUMIF(DATA!$A:$A,PPL!$A4,DATA!E:E)</f>
        <v>3</v>
      </c>
      <c r="H4">
        <f>SUMIF(DATA!$A:$A,PPL!$A4,DATA!F:F)</f>
        <v>166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140</v>
      </c>
      <c r="L4">
        <f>SUMIF(DATA!$A:$A,PPL!$A4,DATA!J:J)</f>
        <v>0</v>
      </c>
      <c r="M4">
        <f t="shared" si="0"/>
        <v>523</v>
      </c>
      <c r="N4" s="3">
        <f t="shared" si="1"/>
        <v>75.578034682080926</v>
      </c>
      <c r="O4">
        <f ca="1">CEILING(VLOOKUP(TODAY(),TARGET!A:C,3,0)*E4/100,1)</f>
        <v>450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645</v>
      </c>
      <c r="F5">
        <f>SUMIF(DATA!$A:$A,PPL!$A5,DATA!D:D)</f>
        <v>265</v>
      </c>
      <c r="G5">
        <f>SUMIF(DATA!$A:$A,PPL!$A5,DATA!E:E)</f>
        <v>4</v>
      </c>
      <c r="H5">
        <f>SUMIF(DATA!$A:$A,PPL!$A5,DATA!F:F)</f>
        <v>212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164</v>
      </c>
      <c r="L5">
        <f>SUMIF(DATA!$A:$A,PPL!$A5,DATA!J:J)</f>
        <v>0</v>
      </c>
      <c r="M5">
        <f t="shared" si="0"/>
        <v>429</v>
      </c>
      <c r="N5" s="3">
        <f t="shared" si="1"/>
        <v>66.511627906976742</v>
      </c>
      <c r="O5">
        <f ca="1">CEILING(VLOOKUP(TODAY(),TARGET!A:C,3,0)*E5/100,1)</f>
        <v>420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686</v>
      </c>
      <c r="F6">
        <f>SUMIF(DATA!$A:$A,PPL!$A6,DATA!D:D)</f>
        <v>281</v>
      </c>
      <c r="G6">
        <f>SUMIF(DATA!$A:$A,PPL!$A6,DATA!E:E)</f>
        <v>6</v>
      </c>
      <c r="H6">
        <f>SUMIF(DATA!$A:$A,PPL!$A6,DATA!F:F)</f>
        <v>280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118</v>
      </c>
      <c r="L6">
        <f>SUMIF(DATA!$A:$A,PPL!$A6,DATA!J:J)</f>
        <v>0</v>
      </c>
      <c r="M6">
        <f t="shared" si="0"/>
        <v>400</v>
      </c>
      <c r="N6" s="3">
        <f t="shared" si="1"/>
        <v>58.309037900874635</v>
      </c>
      <c r="O6">
        <f ca="1">CEILING(VLOOKUP(TODAY(),TARGET!A:C,3,0)*E6/100,1)</f>
        <v>446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620</v>
      </c>
      <c r="F7">
        <f>SUMIF(DATA!$A:$A,PPL!$A7,DATA!D:D)</f>
        <v>284</v>
      </c>
      <c r="G7">
        <f>SUMIF(DATA!$A:$A,PPL!$A7,DATA!E:E)</f>
        <v>7</v>
      </c>
      <c r="H7">
        <f>SUMIF(DATA!$A:$A,PPL!$A7,DATA!F:F)</f>
        <v>203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125</v>
      </c>
      <c r="L7">
        <f>SUMIF(DATA!$A:$A,PPL!$A7,DATA!J:J)</f>
        <v>0</v>
      </c>
      <c r="M7">
        <f t="shared" si="0"/>
        <v>410</v>
      </c>
      <c r="N7" s="3">
        <f t="shared" si="1"/>
        <v>66.129032258064512</v>
      </c>
      <c r="O7">
        <f ca="1">CEILING(VLOOKUP(TODAY(),TARGET!A:C,3,0)*E7/100,1)</f>
        <v>404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667</v>
      </c>
      <c r="F8">
        <f>SUMIF(DATA!$A:$A,PPL!$A8,DATA!D:D)</f>
        <v>361</v>
      </c>
      <c r="G8">
        <f>SUMIF(DATA!$A:$A,PPL!$A8,DATA!E:E)</f>
        <v>15</v>
      </c>
      <c r="H8">
        <f>SUMIF(DATA!$A:$A,PPL!$A8,DATA!F:F)</f>
        <v>168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123</v>
      </c>
      <c r="L8">
        <f>SUMIF(DATA!$A:$A,PPL!$A8,DATA!J:J)</f>
        <v>0</v>
      </c>
      <c r="M8">
        <f t="shared" si="0"/>
        <v>484</v>
      </c>
      <c r="N8" s="3">
        <f t="shared" si="1"/>
        <v>72.563718140929538</v>
      </c>
      <c r="O8">
        <f ca="1">CEILING(VLOOKUP(TODAY(),TARGET!A:C,3,0)*E8/100,1)</f>
        <v>434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675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226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156</v>
      </c>
      <c r="L9">
        <f>SUMIF(DATA!$A:$A,PPL!$A9,DATA!J:J)</f>
        <v>0</v>
      </c>
      <c r="M9">
        <f t="shared" si="0"/>
        <v>448</v>
      </c>
      <c r="N9" s="3">
        <f t="shared" si="1"/>
        <v>66.370370370370367</v>
      </c>
      <c r="O9">
        <f ca="1">CEILING(VLOOKUP(TODAY(),TARGET!A:C,3,0)*E9/100,1)</f>
        <v>439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659</v>
      </c>
      <c r="F10">
        <f>SUMIF(DATA!$A:$A,PPL!$A10,DATA!D:D)</f>
        <v>300</v>
      </c>
      <c r="G10">
        <f>SUMIF(DATA!$A:$A,PPL!$A10,DATA!E:E)</f>
        <v>5</v>
      </c>
      <c r="H10">
        <f>SUMIF(DATA!$A:$A,PPL!$A10,DATA!F:F)</f>
        <v>264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90</v>
      </c>
      <c r="L10">
        <f>SUMIF(DATA!$A:$A,PPL!$A10,DATA!J:J)</f>
        <v>0</v>
      </c>
      <c r="M10">
        <f t="shared" si="0"/>
        <v>390</v>
      </c>
      <c r="N10" s="3">
        <f t="shared" si="1"/>
        <v>59.180576631259484</v>
      </c>
      <c r="O10">
        <f ca="1">CEILING(VLOOKUP(TODAY(),TARGET!A:C,3,0)*E10/100,1)</f>
        <v>429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758</v>
      </c>
      <c r="F11">
        <f>SUMIF(DATA!$A:$A,PPL!$A11,DATA!D:D)</f>
        <v>481</v>
      </c>
      <c r="G11">
        <f>SUMIF(DATA!$A:$A,PPL!$A11,DATA!E:E)</f>
        <v>1</v>
      </c>
      <c r="H11">
        <f>SUMIF(DATA!$A:$A,PPL!$A11,DATA!F:F)</f>
        <v>121</v>
      </c>
      <c r="I11">
        <f>SUMIF(DATA!$A:$A,PPL!$A11,DATA!G:G)</f>
        <v>3</v>
      </c>
      <c r="J11">
        <f>SUMIF(DATA!$A:$A,PPL!$A11,DATA!H:H)</f>
        <v>0</v>
      </c>
      <c r="K11">
        <f>SUMIF(DATA!$A:$A,PPL!$A11,DATA!I:I)</f>
        <v>152</v>
      </c>
      <c r="L11">
        <f>SUMIF(DATA!$A:$A,PPL!$A11,DATA!J:J)</f>
        <v>0</v>
      </c>
      <c r="M11">
        <f t="shared" si="0"/>
        <v>636</v>
      </c>
      <c r="N11" s="3">
        <f t="shared" si="1"/>
        <v>83.905013192612131</v>
      </c>
      <c r="O11">
        <f ca="1">CEILING(VLOOKUP(TODAY(),TARGET!A:C,3,0)*E11/100,1)</f>
        <v>493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703</v>
      </c>
      <c r="F12">
        <f>SUMIF(DATA!$A:$A,PPL!$A12,DATA!D:D)</f>
        <v>288</v>
      </c>
      <c r="G12">
        <f>SUMIF(DATA!$A:$A,PPL!$A12,DATA!E:E)</f>
        <v>7</v>
      </c>
      <c r="H12">
        <f>SUMIF(DATA!$A:$A,PPL!$A12,DATA!F:F)</f>
        <v>306</v>
      </c>
      <c r="I12">
        <f>SUMIF(DATA!$A:$A,PPL!$A12,DATA!G:G)</f>
        <v>1</v>
      </c>
      <c r="J12">
        <f>SUMIF(DATA!$A:$A,PPL!$A12,DATA!H:H)</f>
        <v>0</v>
      </c>
      <c r="K12">
        <f>SUMIF(DATA!$A:$A,PPL!$A12,DATA!I:I)</f>
        <v>101</v>
      </c>
      <c r="L12">
        <f>SUMIF(DATA!$A:$A,PPL!$A12,DATA!J:J)</f>
        <v>0</v>
      </c>
      <c r="M12">
        <f t="shared" si="0"/>
        <v>390</v>
      </c>
      <c r="N12" s="3">
        <f t="shared" si="1"/>
        <v>55.476529160739688</v>
      </c>
      <c r="O12">
        <f ca="1">CEILING(VLOOKUP(TODAY(),TARGET!A:C,3,0)*E12/100,1)</f>
        <v>457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710</v>
      </c>
      <c r="F13">
        <f>SUMIF(DATA!$A:$A,PPL!$A13,DATA!D:D)</f>
        <v>296</v>
      </c>
      <c r="G13">
        <f>SUMIF(DATA!$A:$A,PPL!$A13,DATA!E:E)</f>
        <v>13</v>
      </c>
      <c r="H13">
        <f>SUMIF(DATA!$A:$A,PPL!$A13,DATA!F:F)</f>
        <v>298</v>
      </c>
      <c r="I13">
        <f>SUMIF(DATA!$A:$A,PPL!$A13,DATA!G:G)</f>
        <v>6</v>
      </c>
      <c r="J13">
        <f>SUMIF(DATA!$A:$A,PPL!$A13,DATA!H:H)</f>
        <v>0</v>
      </c>
      <c r="K13">
        <f>SUMIF(DATA!$A:$A,PPL!$A13,DATA!I:I)</f>
        <v>97</v>
      </c>
      <c r="L13">
        <f>SUMIF(DATA!$A:$A,PPL!$A13,DATA!J:J)</f>
        <v>0</v>
      </c>
      <c r="M13">
        <f t="shared" si="0"/>
        <v>399</v>
      </c>
      <c r="N13" s="3">
        <f t="shared" si="1"/>
        <v>56.197183098591552</v>
      </c>
      <c r="O13">
        <f ca="1">CEILING(VLOOKUP(TODAY(),TARGET!A:C,3,0)*E13/100,1)</f>
        <v>462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699</v>
      </c>
      <c r="F14">
        <f>SUMIF(DATA!$A:$A,PPL!$A14,DATA!D:D)</f>
        <v>328</v>
      </c>
      <c r="G14">
        <f>SUMIF(DATA!$A:$A,PPL!$A14,DATA!E:E)</f>
        <v>42</v>
      </c>
      <c r="H14">
        <f>SUMIF(DATA!$A:$A,PPL!$A14,DATA!F:F)</f>
        <v>260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68</v>
      </c>
      <c r="L14">
        <f>SUMIF(DATA!$A:$A,PPL!$A14,DATA!J:J)</f>
        <v>0</v>
      </c>
      <c r="M14">
        <f t="shared" si="0"/>
        <v>397</v>
      </c>
      <c r="N14" s="3">
        <f t="shared" si="1"/>
        <v>56.795422031473528</v>
      </c>
      <c r="O14">
        <f ca="1">CEILING(VLOOKUP(TODAY(),TARGET!A:C,3,0)*E14/100,1)</f>
        <v>455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711</v>
      </c>
      <c r="F15">
        <f>SUMIF(DATA!$A:$A,PPL!$A15,DATA!D:D)</f>
        <v>334</v>
      </c>
      <c r="G15">
        <f>SUMIF(DATA!$A:$A,PPL!$A15,DATA!E:E)</f>
        <v>0</v>
      </c>
      <c r="H15">
        <f>SUMIF(DATA!$A:$A,PPL!$A15,DATA!F:F)</f>
        <v>304</v>
      </c>
      <c r="I15">
        <f>SUMIF(DATA!$A:$A,PPL!$A15,DATA!G:G)</f>
        <v>1</v>
      </c>
      <c r="J15">
        <f>SUMIF(DATA!$A:$A,PPL!$A15,DATA!H:H)</f>
        <v>0</v>
      </c>
      <c r="K15">
        <f>SUMIF(DATA!$A:$A,PPL!$A15,DATA!I:I)</f>
        <v>71</v>
      </c>
      <c r="L15">
        <f>SUMIF(DATA!$A:$A,PPL!$A15,DATA!J:J)</f>
        <v>1</v>
      </c>
      <c r="M15">
        <f t="shared" si="0"/>
        <v>407</v>
      </c>
      <c r="N15" s="3">
        <f t="shared" si="1"/>
        <v>57.24331926863573</v>
      </c>
      <c r="O15">
        <f ca="1">CEILING(VLOOKUP(TODAY(),TARGET!A:C,3,0)*E15/100,1)</f>
        <v>463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666</v>
      </c>
      <c r="F16">
        <f>SUMIF(DATA!$A:$A,PPL!$A16,DATA!D:D)</f>
        <v>256</v>
      </c>
      <c r="G16">
        <f>SUMIF(DATA!$A:$A,PPL!$A16,DATA!E:E)</f>
        <v>5</v>
      </c>
      <c r="H16">
        <f>SUMIF(DATA!$A:$A,PPL!$A16,DATA!F:F)</f>
        <v>346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59</v>
      </c>
      <c r="L16">
        <f>SUMIF(DATA!$A:$A,PPL!$A16,DATA!J:J)</f>
        <v>0</v>
      </c>
      <c r="M16">
        <f t="shared" si="0"/>
        <v>315</v>
      </c>
      <c r="N16" s="3">
        <f t="shared" si="1"/>
        <v>47.297297297297298</v>
      </c>
      <c r="O16">
        <f ca="1">CEILING(VLOOKUP(TODAY(),TARGET!A:C,3,0)*E16/100,1)</f>
        <v>433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696</v>
      </c>
      <c r="F17">
        <f>SUMIF(DATA!$A:$A,PPL!$A17,DATA!D:D)</f>
        <v>323</v>
      </c>
      <c r="G17">
        <f>SUMIF(DATA!$A:$A,PPL!$A17,DATA!E:E)</f>
        <v>0</v>
      </c>
      <c r="H17">
        <f>SUMIF(DATA!$A:$A,PPL!$A17,DATA!F:F)</f>
        <v>289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84</v>
      </c>
      <c r="L17">
        <f>SUMIF(DATA!$A:$A,PPL!$A17,DATA!J:J)</f>
        <v>0</v>
      </c>
      <c r="M17">
        <f t="shared" si="0"/>
        <v>407</v>
      </c>
      <c r="N17" s="3">
        <f t="shared" si="1"/>
        <v>58.477011494252871</v>
      </c>
      <c r="O17">
        <f ca="1">CEILING(VLOOKUP(TODAY(),TARGET!A:C,3,0)*E17/100,1)</f>
        <v>453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730</v>
      </c>
      <c r="F18">
        <f>SUMIF(DATA!$A:$A,PPL!$A18,DATA!D:D)</f>
        <v>340</v>
      </c>
      <c r="G18">
        <f>SUMIF(DATA!$A:$A,PPL!$A18,DATA!E:E)</f>
        <v>2</v>
      </c>
      <c r="H18">
        <f>SUMIF(DATA!$A:$A,PPL!$A18,DATA!F:F)</f>
        <v>265</v>
      </c>
      <c r="I18">
        <f>SUMIF(DATA!$A:$A,PPL!$A18,DATA!G:G)</f>
        <v>2</v>
      </c>
      <c r="J18">
        <f>SUMIF(DATA!$A:$A,PPL!$A18,DATA!H:H)</f>
        <v>0</v>
      </c>
      <c r="K18">
        <f>SUMIF(DATA!$A:$A,PPL!$A18,DATA!I:I)</f>
        <v>121</v>
      </c>
      <c r="L18">
        <f>SUMIF(DATA!$A:$A,PPL!$A18,DATA!J:J)</f>
        <v>0</v>
      </c>
      <c r="M18">
        <f t="shared" si="0"/>
        <v>463</v>
      </c>
      <c r="N18" s="3">
        <f t="shared" si="1"/>
        <v>63.424657534246577</v>
      </c>
      <c r="O18">
        <f ca="1">CEILING(VLOOKUP(TODAY(),TARGET!A:C,3,0)*E18/100,1)</f>
        <v>475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703</v>
      </c>
      <c r="F19">
        <f>SUMIF(DATA!$A:$A,PPL!$A19,DATA!D:D)</f>
        <v>318</v>
      </c>
      <c r="G19">
        <f>SUMIF(DATA!$A:$A,PPL!$A19,DATA!E:E)</f>
        <v>32</v>
      </c>
      <c r="H19">
        <f>SUMIF(DATA!$A:$A,PPL!$A19,DATA!F:F)</f>
        <v>262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89</v>
      </c>
      <c r="L19">
        <f>SUMIF(DATA!$A:$A,PPL!$A19,DATA!J:J)</f>
        <v>0</v>
      </c>
      <c r="M19">
        <f t="shared" si="0"/>
        <v>409</v>
      </c>
      <c r="N19" s="3">
        <f t="shared" si="1"/>
        <v>58.179231863442396</v>
      </c>
      <c r="O19">
        <f ca="1">CEILING(VLOOKUP(TODAY(),TARGET!A:C,3,0)*E19/100,1)</f>
        <v>457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679</v>
      </c>
      <c r="F20">
        <f>SUMIF(DATA!$A:$A,PPL!$A20,DATA!D:D)</f>
        <v>276</v>
      </c>
      <c r="G20">
        <f>SUMIF(DATA!$A:$A,PPL!$A20,DATA!E:E)</f>
        <v>27</v>
      </c>
      <c r="H20">
        <f>SUMIF(DATA!$A:$A,PPL!$A20,DATA!F:F)</f>
        <v>271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105</v>
      </c>
      <c r="L20">
        <f>SUMIF(DATA!$A:$A,PPL!$A20,DATA!J:J)</f>
        <v>0</v>
      </c>
      <c r="M20">
        <f t="shared" si="0"/>
        <v>381</v>
      </c>
      <c r="N20" s="3">
        <f t="shared" si="1"/>
        <v>56.111929307805596</v>
      </c>
      <c r="O20">
        <f ca="1">CEILING(VLOOKUP(TODAY(),TARGET!A:C,3,0)*E20/100,1)</f>
        <v>442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660</v>
      </c>
      <c r="F21">
        <f>SUMIF(DATA!$A:$A,PPL!$A21,DATA!D:D)</f>
        <v>285</v>
      </c>
      <c r="G21">
        <f>SUMIF(DATA!$A:$A,PPL!$A21,DATA!E:E)</f>
        <v>16</v>
      </c>
      <c r="H21">
        <f>SUMIF(DATA!$A:$A,PPL!$A21,DATA!F:F)</f>
        <v>296</v>
      </c>
      <c r="I21">
        <f>SUMIF(DATA!$A:$A,PPL!$A21,DATA!G:G)</f>
        <v>5</v>
      </c>
      <c r="J21">
        <f>SUMIF(DATA!$A:$A,PPL!$A21,DATA!H:H)</f>
        <v>0</v>
      </c>
      <c r="K21">
        <f>SUMIF(DATA!$A:$A,PPL!$A21,DATA!I:I)</f>
        <v>58</v>
      </c>
      <c r="L21">
        <f>SUMIF(DATA!$A:$A,PPL!$A21,DATA!J:J)</f>
        <v>0</v>
      </c>
      <c r="M21">
        <f t="shared" si="0"/>
        <v>348</v>
      </c>
      <c r="N21" s="3">
        <f t="shared" si="1"/>
        <v>52.72727272727272</v>
      </c>
      <c r="O21">
        <f ca="1">CEILING(VLOOKUP(TODAY(),TARGET!A:C,3,0)*E21/100,1)</f>
        <v>430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730</v>
      </c>
      <c r="F22">
        <f>SUMIF(DATA!$A:$A,PPL!$A22,DATA!D:D)</f>
        <v>336</v>
      </c>
      <c r="G22">
        <f>SUMIF(DATA!$A:$A,PPL!$A22,DATA!E:E)</f>
        <v>97</v>
      </c>
      <c r="H22">
        <f>SUMIF(DATA!$A:$A,PPL!$A22,DATA!F:F)</f>
        <v>288</v>
      </c>
      <c r="I22">
        <f>SUMIF(DATA!$A:$A,PPL!$A22,DATA!G:G)</f>
        <v>9</v>
      </c>
      <c r="J22">
        <f>SUMIF(DATA!$A:$A,PPL!$A22,DATA!H:H)</f>
        <v>0</v>
      </c>
      <c r="K22">
        <f>SUMIF(DATA!$A:$A,PPL!$A22,DATA!I:I)</f>
        <v>0</v>
      </c>
      <c r="L22">
        <f>SUMIF(DATA!$A:$A,PPL!$A22,DATA!J:J)</f>
        <v>0</v>
      </c>
      <c r="M22">
        <f t="shared" si="0"/>
        <v>345</v>
      </c>
      <c r="N22" s="3">
        <f t="shared" si="1"/>
        <v>47.260273972602739</v>
      </c>
      <c r="O22">
        <f ca="1">CEILING(VLOOKUP(TODAY(),TARGET!A:C,3,0)*E22/100,1)</f>
        <v>475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801</v>
      </c>
      <c r="F23">
        <f>SUMIF(DATA!$A:$A,PPL!$A23,DATA!D:D)</f>
        <v>481</v>
      </c>
      <c r="G23">
        <f>SUMIF(DATA!$A:$A,PPL!$A23,DATA!E:E)</f>
        <v>15</v>
      </c>
      <c r="H23">
        <f>SUMIF(DATA!$A:$A,PPL!$A23,DATA!F:F)</f>
        <v>286</v>
      </c>
      <c r="I23">
        <f>SUMIF(DATA!$A:$A,PPL!$A23,DATA!G:G)</f>
        <v>0</v>
      </c>
      <c r="J23">
        <f>SUMIF(DATA!$A:$A,PPL!$A23,DATA!H:H)</f>
        <v>2</v>
      </c>
      <c r="K23">
        <f>SUMIF(DATA!$A:$A,PPL!$A23,DATA!I:I)</f>
        <v>17</v>
      </c>
      <c r="L23">
        <f>SUMIF(DATA!$A:$A,PPL!$A23,DATA!J:J)</f>
        <v>0</v>
      </c>
      <c r="M23">
        <f t="shared" si="0"/>
        <v>500</v>
      </c>
      <c r="N23" s="3">
        <f t="shared" si="1"/>
        <v>62.421972534332085</v>
      </c>
      <c r="O23">
        <f ca="1">CEILING(VLOOKUP(TODAY(),TARGET!A:C,3,0)*E23/100,1)</f>
        <v>521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705</v>
      </c>
      <c r="F24">
        <f>SUMIF(DATA!$A:$A,PPL!$A24,DATA!D:D)</f>
        <v>350</v>
      </c>
      <c r="G24">
        <f>SUMIF(DATA!$A:$A,PPL!$A24,DATA!E:E)</f>
        <v>23</v>
      </c>
      <c r="H24">
        <f>SUMIF(DATA!$A:$A,PPL!$A24,DATA!F:F)</f>
        <v>323</v>
      </c>
      <c r="I24">
        <f>SUMIF(DATA!$A:$A,PPL!$A24,DATA!G:G)</f>
        <v>4</v>
      </c>
      <c r="J24">
        <f>SUMIF(DATA!$A:$A,PPL!$A24,DATA!H:H)</f>
        <v>0</v>
      </c>
      <c r="K24">
        <f>SUMIF(DATA!$A:$A,PPL!$A24,DATA!I:I)</f>
        <v>5</v>
      </c>
      <c r="L24">
        <f>SUMIF(DATA!$A:$A,PPL!$A24,DATA!J:J)</f>
        <v>0</v>
      </c>
      <c r="M24">
        <f t="shared" si="0"/>
        <v>359</v>
      </c>
      <c r="N24" s="3">
        <f t="shared" si="1"/>
        <v>50.921985815602831</v>
      </c>
      <c r="O24">
        <f ca="1">CEILING(VLOOKUP(TODAY(),TARGET!A:C,3,0)*E24/100,1)</f>
        <v>459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820</v>
      </c>
      <c r="F25">
        <f>SUMIF(DATA!$A:$A,PPL!$A25,DATA!D:D)</f>
        <v>472</v>
      </c>
      <c r="G25">
        <f>SUMIF(DATA!$A:$A,PPL!$A25,DATA!E:E)</f>
        <v>24</v>
      </c>
      <c r="H25">
        <f>SUMIF(DATA!$A:$A,PPL!$A25,DATA!F:F)</f>
        <v>303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3</v>
      </c>
      <c r="L25">
        <f>SUMIF(DATA!$A:$A,PPL!$A25,DATA!J:J)</f>
        <v>0</v>
      </c>
      <c r="M25">
        <f t="shared" si="0"/>
        <v>493</v>
      </c>
      <c r="N25" s="3">
        <f t="shared" si="1"/>
        <v>60.121951219512191</v>
      </c>
      <c r="O25">
        <f ca="1">CEILING(VLOOKUP(TODAY(),TARGET!A:C,3,0)*E25/100,1)</f>
        <v>534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679</v>
      </c>
      <c r="F26">
        <f>SUMIF(DATA!$A:$A,PPL!$A26,DATA!D:D)</f>
        <v>271</v>
      </c>
      <c r="G26">
        <f>SUMIF(DATA!$A:$A,PPL!$A26,DATA!E:E)</f>
        <v>18</v>
      </c>
      <c r="H26">
        <f>SUMIF(DATA!$A:$A,PPL!$A26,DATA!F:F)</f>
        <v>311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77</v>
      </c>
      <c r="L26">
        <f>SUMIF(DATA!$A:$A,PPL!$A26,DATA!J:J)</f>
        <v>0</v>
      </c>
      <c r="M26">
        <f t="shared" si="0"/>
        <v>350</v>
      </c>
      <c r="N26" s="3">
        <f t="shared" si="1"/>
        <v>51.546391752577314</v>
      </c>
      <c r="O26">
        <f ca="1">CEILING(VLOOKUP(TODAY(),TARGET!A:C,3,0)*E26/100,1)</f>
        <v>442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681</v>
      </c>
      <c r="F27">
        <f>SUMIF(DATA!$A:$A,PPL!$A27,DATA!D:D)</f>
        <v>323</v>
      </c>
      <c r="G27">
        <f>SUMIF(DATA!$A:$A,PPL!$A27,DATA!E:E)</f>
        <v>4</v>
      </c>
      <c r="H27">
        <f>SUMIF(DATA!$A:$A,PPL!$A27,DATA!F:F)</f>
        <v>277</v>
      </c>
      <c r="I27">
        <f>SUMIF(DATA!$A:$A,PPL!$A27,DATA!G:G)</f>
        <v>3</v>
      </c>
      <c r="J27">
        <f>SUMIF(DATA!$A:$A,PPL!$A27,DATA!H:H)</f>
        <v>0</v>
      </c>
      <c r="K27">
        <f>SUMIF(DATA!$A:$A,PPL!$A27,DATA!I:I)</f>
        <v>74</v>
      </c>
      <c r="L27">
        <f>SUMIF(DATA!$A:$A,PPL!$A27,DATA!J:J)</f>
        <v>0</v>
      </c>
      <c r="M27">
        <f t="shared" si="0"/>
        <v>400</v>
      </c>
      <c r="N27" s="3">
        <f t="shared" si="1"/>
        <v>58.737151248164466</v>
      </c>
      <c r="O27">
        <f ca="1">CEILING(VLOOKUP(TODAY(),TARGET!A:C,3,0)*E27/100,1)</f>
        <v>443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731</v>
      </c>
      <c r="F28">
        <f>SUMIF(DATA!$A:$A,PPL!$A28,DATA!D:D)</f>
        <v>282</v>
      </c>
      <c r="G28">
        <f>SUMIF(DATA!$A:$A,PPL!$A28,DATA!E:E)</f>
        <v>27</v>
      </c>
      <c r="H28">
        <f>SUMIF(DATA!$A:$A,PPL!$A28,DATA!F:F)</f>
        <v>358</v>
      </c>
      <c r="I28">
        <f>SUMIF(DATA!$A:$A,PPL!$A28,DATA!G:G)</f>
        <v>12</v>
      </c>
      <c r="J28">
        <f>SUMIF(DATA!$A:$A,PPL!$A28,DATA!H:H)</f>
        <v>1</v>
      </c>
      <c r="K28">
        <f>SUMIF(DATA!$A:$A,PPL!$A28,DATA!I:I)</f>
        <v>51</v>
      </c>
      <c r="L28">
        <f>SUMIF(DATA!$A:$A,PPL!$A28,DATA!J:J)</f>
        <v>0</v>
      </c>
      <c r="M28">
        <f t="shared" si="0"/>
        <v>346</v>
      </c>
      <c r="N28" s="3">
        <f t="shared" si="1"/>
        <v>47.332421340629274</v>
      </c>
      <c r="O28">
        <f ca="1">CEILING(VLOOKUP(TODAY(),TARGET!A:C,3,0)*E28/100,1)</f>
        <v>476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704</v>
      </c>
      <c r="F29">
        <f>SUMIF(DATA!$A:$A,PPL!$A29,DATA!D:D)</f>
        <v>348</v>
      </c>
      <c r="G29">
        <f>SUMIF(DATA!$A:$A,PPL!$A29,DATA!E:E)</f>
        <v>27</v>
      </c>
      <c r="H29">
        <f>SUMIF(DATA!$A:$A,PPL!$A29,DATA!F:F)</f>
        <v>312</v>
      </c>
      <c r="I29">
        <f>SUMIF(DATA!$A:$A,PPL!$A29,DATA!G:G)</f>
        <v>3</v>
      </c>
      <c r="J29">
        <f>SUMIF(DATA!$A:$A,PPL!$A29,DATA!H:H)</f>
        <v>1</v>
      </c>
      <c r="K29">
        <f>SUMIF(DATA!$A:$A,PPL!$A29,DATA!I:I)</f>
        <v>13</v>
      </c>
      <c r="L29">
        <f>SUMIF(DATA!$A:$A,PPL!$A29,DATA!J:J)</f>
        <v>0</v>
      </c>
      <c r="M29">
        <f t="shared" si="0"/>
        <v>365</v>
      </c>
      <c r="N29" s="3">
        <f t="shared" si="1"/>
        <v>51.846590909090907</v>
      </c>
      <c r="O29">
        <f ca="1">CEILING(VLOOKUP(TODAY(),TARGET!A:C,3,0)*E29/100,1)</f>
        <v>458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645</v>
      </c>
      <c r="F30">
        <f>SUMIF(DATA!$A:$A,PPL!$A30,DATA!D:D)</f>
        <v>243</v>
      </c>
      <c r="G30">
        <f>SUMIF(DATA!$A:$A,PPL!$A30,DATA!E:E)</f>
        <v>20</v>
      </c>
      <c r="H30">
        <f>SUMIF(DATA!$A:$A,PPL!$A30,DATA!F:F)</f>
        <v>317</v>
      </c>
      <c r="I30">
        <f>SUMIF(DATA!$A:$A,PPL!$A30,DATA!G:G)</f>
        <v>21</v>
      </c>
      <c r="J30">
        <f>SUMIF(DATA!$A:$A,PPL!$A30,DATA!H:H)</f>
        <v>0</v>
      </c>
      <c r="K30">
        <f>SUMIF(DATA!$A:$A,PPL!$A30,DATA!I:I)</f>
        <v>44</v>
      </c>
      <c r="L30">
        <f>SUMIF(DATA!$A:$A,PPL!$A30,DATA!J:J)</f>
        <v>0</v>
      </c>
      <c r="M30">
        <f t="shared" si="0"/>
        <v>308</v>
      </c>
      <c r="N30" s="3">
        <f t="shared" si="1"/>
        <v>47.751937984496124</v>
      </c>
      <c r="O30">
        <f ca="1">CEILING(VLOOKUP(TODAY(),TARGET!A:C,3,0)*E30/100,1)</f>
        <v>420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764</v>
      </c>
      <c r="F31">
        <f>SUMIF(DATA!$A:$A,PPL!$A31,DATA!D:D)</f>
        <v>311</v>
      </c>
      <c r="G31">
        <f>SUMIF(DATA!$A:$A,PPL!$A31,DATA!E:E)</f>
        <v>67</v>
      </c>
      <c r="H31">
        <f>SUMIF(DATA!$A:$A,PPL!$A31,DATA!F:F)</f>
        <v>225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161</v>
      </c>
      <c r="L31">
        <f>SUMIF(DATA!$A:$A,PPL!$A31,DATA!J:J)</f>
        <v>0</v>
      </c>
      <c r="M31">
        <f t="shared" si="0"/>
        <v>472</v>
      </c>
      <c r="N31" s="3">
        <f t="shared" si="1"/>
        <v>61.780104712041883</v>
      </c>
      <c r="O31">
        <f ca="1">CEILING(VLOOKUP(TODAY(),TARGET!A:C,3,0)*E31/100,1)</f>
        <v>497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766</v>
      </c>
      <c r="F32">
        <f>SUMIF(DATA!$A:$A,PPL!$A32,DATA!D:D)</f>
        <v>276</v>
      </c>
      <c r="G32">
        <f>SUMIF(DATA!$A:$A,PPL!$A32,DATA!E:E)</f>
        <v>10</v>
      </c>
      <c r="H32">
        <f>SUMIF(DATA!$A:$A,PPL!$A32,DATA!F:F)</f>
        <v>330</v>
      </c>
      <c r="I32">
        <f>SUMIF(DATA!$A:$A,PPL!$A32,DATA!G:G)</f>
        <v>3</v>
      </c>
      <c r="J32">
        <f>SUMIF(DATA!$A:$A,PPL!$A32,DATA!H:H)</f>
        <v>1</v>
      </c>
      <c r="K32">
        <f>SUMIF(DATA!$A:$A,PPL!$A32,DATA!I:I)</f>
        <v>146</v>
      </c>
      <c r="L32">
        <f>SUMIF(DATA!$A:$A,PPL!$A32,DATA!J:J)</f>
        <v>0</v>
      </c>
      <c r="M32">
        <f t="shared" si="0"/>
        <v>426</v>
      </c>
      <c r="N32" s="3">
        <f t="shared" si="1"/>
        <v>55.613577023498692</v>
      </c>
      <c r="O32">
        <f ca="1">CEILING(VLOOKUP(TODAY(),TARGET!A:C,3,0)*E32/100,1)</f>
        <v>498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720</v>
      </c>
      <c r="F33">
        <f>SUMIF(DATA!$A:$A,PPL!$A33,DATA!D:D)</f>
        <v>281</v>
      </c>
      <c r="G33">
        <f>SUMIF(DATA!$A:$A,PPL!$A33,DATA!E:E)</f>
        <v>20</v>
      </c>
      <c r="H33">
        <f>SUMIF(DATA!$A:$A,PPL!$A33,DATA!F:F)</f>
        <v>251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168</v>
      </c>
      <c r="L33">
        <f>SUMIF(DATA!$A:$A,PPL!$A33,DATA!J:J)</f>
        <v>0</v>
      </c>
      <c r="M33">
        <f t="shared" si="0"/>
        <v>449</v>
      </c>
      <c r="N33" s="3">
        <f t="shared" si="1"/>
        <v>62.361111111111114</v>
      </c>
      <c r="O33">
        <f ca="1">CEILING(VLOOKUP(TODAY(),TARGET!A:C,3,0)*E33/100,1)</f>
        <v>469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703</v>
      </c>
      <c r="F34">
        <f>SUMIF(DATA!$A:$A,PPL!$A34,DATA!D:D)</f>
        <v>295</v>
      </c>
      <c r="G34">
        <f>SUMIF(DATA!$A:$A,PPL!$A34,DATA!E:E)</f>
        <v>57</v>
      </c>
      <c r="H34">
        <f>SUMIF(DATA!$A:$A,PPL!$A34,DATA!F:F)</f>
        <v>275</v>
      </c>
      <c r="I34">
        <f>SUMIF(DATA!$A:$A,PPL!$A34,DATA!G:G)</f>
        <v>1</v>
      </c>
      <c r="J34">
        <f>SUMIF(DATA!$A:$A,PPL!$A34,DATA!H:H)</f>
        <v>0</v>
      </c>
      <c r="K34">
        <f>SUMIF(DATA!$A:$A,PPL!$A34,DATA!I:I)</f>
        <v>75</v>
      </c>
      <c r="L34">
        <f>SUMIF(DATA!$A:$A,PPL!$A34,DATA!J:J)</f>
        <v>0</v>
      </c>
      <c r="M34">
        <f t="shared" si="0"/>
        <v>371</v>
      </c>
      <c r="N34" s="3">
        <f t="shared" si="1"/>
        <v>52.773826458036986</v>
      </c>
      <c r="O34">
        <f ca="1">CEILING(VLOOKUP(TODAY(),TARGET!A:C,3,0)*E34/100,1)</f>
        <v>457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642</v>
      </c>
      <c r="F35">
        <f>SUMIF(DATA!$A:$A,PPL!$A35,DATA!D:D)</f>
        <v>203</v>
      </c>
      <c r="G35">
        <f>SUMIF(DATA!$A:$A,PPL!$A35,DATA!E:E)</f>
        <v>78</v>
      </c>
      <c r="H35">
        <f>SUMIF(DATA!$A:$A,PPL!$A35,DATA!F:F)</f>
        <v>221</v>
      </c>
      <c r="I35">
        <f>SUMIF(DATA!$A:$A,PPL!$A35,DATA!G:G)</f>
        <v>43</v>
      </c>
      <c r="J35">
        <f>SUMIF(DATA!$A:$A,PPL!$A35,DATA!H:H)</f>
        <v>1</v>
      </c>
      <c r="K35">
        <f>SUMIF(DATA!$A:$A,PPL!$A35,DATA!I:I)</f>
        <v>96</v>
      </c>
      <c r="L35">
        <f>SUMIF(DATA!$A:$A,PPL!$A35,DATA!J:J)</f>
        <v>0</v>
      </c>
      <c r="M35">
        <f t="shared" si="0"/>
        <v>343</v>
      </c>
      <c r="N35" s="3">
        <f t="shared" si="1"/>
        <v>53.426791277258566</v>
      </c>
      <c r="O35">
        <f ca="1">CEILING(VLOOKUP(TODAY(),TARGET!A:C,3,0)*E35/100,1)</f>
        <v>418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876</v>
      </c>
      <c r="F36">
        <f>SUMIF(DATA!$A:$A,PPL!$A36,DATA!D:D)</f>
        <v>512</v>
      </c>
      <c r="G36">
        <f>SUMIF(DATA!$A:$A,PPL!$A36,DATA!E:E)</f>
        <v>43</v>
      </c>
      <c r="H36">
        <f>SUMIF(DATA!$A:$A,PPL!$A36,DATA!F:F)</f>
        <v>257</v>
      </c>
      <c r="I36">
        <f>SUMIF(DATA!$A:$A,PPL!$A36,DATA!G:G)</f>
        <v>0</v>
      </c>
      <c r="J36">
        <f>SUMIF(DATA!$A:$A,PPL!$A36,DATA!H:H)</f>
        <v>2</v>
      </c>
      <c r="K36">
        <f>SUMIF(DATA!$A:$A,PPL!$A36,DATA!I:I)</f>
        <v>62</v>
      </c>
      <c r="L36">
        <f>SUMIF(DATA!$A:$A,PPL!$A36,DATA!J:J)</f>
        <v>0</v>
      </c>
      <c r="M36">
        <f t="shared" si="0"/>
        <v>576</v>
      </c>
      <c r="N36" s="3">
        <f t="shared" si="1"/>
        <v>65.753424657534239</v>
      </c>
      <c r="O36">
        <f ca="1">CEILING(VLOOKUP(TODAY(),TARGET!A:C,3,0)*E36/100,1)</f>
        <v>570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693</v>
      </c>
      <c r="F37">
        <f>SUMIF(DATA!$A:$A,PPL!$A37,DATA!D:D)</f>
        <v>270</v>
      </c>
      <c r="G37">
        <f>SUMIF(DATA!$A:$A,PPL!$A37,DATA!E:E)</f>
        <v>51</v>
      </c>
      <c r="H37">
        <f>SUMIF(DATA!$A:$A,PPL!$A37,DATA!F:F)</f>
        <v>317</v>
      </c>
      <c r="I37">
        <f>SUMIF(DATA!$A:$A,PPL!$A37,DATA!G:G)</f>
        <v>23</v>
      </c>
      <c r="J37">
        <f>SUMIF(DATA!$A:$A,PPL!$A37,DATA!H:H)</f>
        <v>1</v>
      </c>
      <c r="K37">
        <f>SUMIF(DATA!$A:$A,PPL!$A37,DATA!I:I)</f>
        <v>31</v>
      </c>
      <c r="L37">
        <f>SUMIF(DATA!$A:$A,PPL!$A37,DATA!J:J)</f>
        <v>0</v>
      </c>
      <c r="M37">
        <f t="shared" si="0"/>
        <v>325</v>
      </c>
      <c r="N37" s="3">
        <f t="shared" si="1"/>
        <v>46.897546897546896</v>
      </c>
      <c r="O37">
        <f ca="1">CEILING(VLOOKUP(TODAY(),TARGET!A:C,3,0)*E37/100,1)</f>
        <v>451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804</v>
      </c>
      <c r="F38">
        <f>SUMIF(DATA!$A:$A,PPL!$A38,DATA!D:D)</f>
        <v>354</v>
      </c>
      <c r="G38">
        <f>SUMIF(DATA!$A:$A,PPL!$A38,DATA!E:E)</f>
        <v>39</v>
      </c>
      <c r="H38">
        <f>SUMIF(DATA!$A:$A,PPL!$A38,DATA!F:F)</f>
        <v>403</v>
      </c>
      <c r="I38">
        <f>SUMIF(DATA!$A:$A,PPL!$A38,DATA!G:G)</f>
        <v>1</v>
      </c>
      <c r="J38">
        <f>SUMIF(DATA!$A:$A,PPL!$A38,DATA!H:H)</f>
        <v>0</v>
      </c>
      <c r="K38">
        <f>SUMIF(DATA!$A:$A,PPL!$A38,DATA!I:I)</f>
        <v>7</v>
      </c>
      <c r="L38">
        <f>SUMIF(DATA!$A:$A,PPL!$A38,DATA!J:J)</f>
        <v>0</v>
      </c>
      <c r="M38">
        <f t="shared" si="0"/>
        <v>362</v>
      </c>
      <c r="N38" s="3">
        <f t="shared" si="1"/>
        <v>45.024875621890544</v>
      </c>
      <c r="O38">
        <f ca="1">CEILING(VLOOKUP(TODAY(),TARGET!A:C,3,0)*E38/100,1)</f>
        <v>523</v>
      </c>
    </row>
    <row r="39" spans="1:15" x14ac:dyDescent="0.25">
      <c r="A39" t="s">
        <v>44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501</v>
      </c>
      <c r="F39">
        <f>SUMIF(DATA!$A:$A,PPL!$A39,DATA!D:D)</f>
        <v>296</v>
      </c>
      <c r="G39">
        <f>SUMIF(DATA!$A:$A,PPL!$A39,DATA!E:E)</f>
        <v>10</v>
      </c>
      <c r="H39">
        <f>SUMIF(DATA!$A:$A,PPL!$A39,DATA!F:F)</f>
        <v>190</v>
      </c>
      <c r="I39">
        <f>SUMIF(DATA!$A:$A,PPL!$A39,DATA!G:G)</f>
        <v>5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0"/>
        <v>301</v>
      </c>
      <c r="N39" s="3">
        <f t="shared" si="1"/>
        <v>60.079840319361274</v>
      </c>
      <c r="O39">
        <f ca="1">CEILING(VLOOKUP(TODAY(),TARGET!A:C,3,0)*E39/100,1)</f>
        <v>326</v>
      </c>
    </row>
    <row r="40" spans="1:15" x14ac:dyDescent="0.25">
      <c r="A40" t="s">
        <v>45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681</v>
      </c>
      <c r="F40">
        <f>SUMIF(DATA!$A:$A,PPL!$A40,DATA!D:D)</f>
        <v>307</v>
      </c>
      <c r="G40">
        <f>SUMIF(DATA!$A:$A,PPL!$A40,DATA!E:E)</f>
        <v>19</v>
      </c>
      <c r="H40">
        <f>SUMIF(DATA!$A:$A,PPL!$A40,DATA!F:F)</f>
        <v>350</v>
      </c>
      <c r="I40">
        <f>SUMIF(DATA!$A:$A,PPL!$A40,DATA!G:G)</f>
        <v>5</v>
      </c>
      <c r="J40">
        <f>SUMIF(DATA!$A:$A,PPL!$A40,DATA!H:H)</f>
        <v>0</v>
      </c>
      <c r="K40">
        <f>SUMIF(DATA!$A:$A,PPL!$A40,DATA!I:I)</f>
        <v>0</v>
      </c>
      <c r="L40">
        <f>SUMIF(DATA!$A:$A,PPL!$A40,DATA!J:J)</f>
        <v>0</v>
      </c>
      <c r="M40">
        <f t="shared" si="0"/>
        <v>312</v>
      </c>
      <c r="N40" s="3">
        <f t="shared" si="1"/>
        <v>45.814977973568283</v>
      </c>
      <c r="O40">
        <f ca="1">CEILING(VLOOKUP(TODAY(),TARGET!A:C,3,0)*E40/100,1)</f>
        <v>443</v>
      </c>
    </row>
    <row r="41" spans="1:15" x14ac:dyDescent="0.25">
      <c r="A41" t="s">
        <v>47</v>
      </c>
      <c r="B41" t="s">
        <v>286</v>
      </c>
      <c r="C41" t="s">
        <v>167</v>
      </c>
      <c r="D41" t="str">
        <f>VLOOKUP(C41,PML!A:B,2,0)</f>
        <v>Firly</v>
      </c>
      <c r="E41">
        <f>SUMIF(DATA!$A:$A,PPL!$A41,DATA!C:C)</f>
        <v>728</v>
      </c>
      <c r="F41">
        <f>SUMIF(DATA!$A:$A,PPL!$A41,DATA!D:D)</f>
        <v>277</v>
      </c>
      <c r="G41">
        <f>SUMIF(DATA!$A:$A,PPL!$A41,DATA!E:E)</f>
        <v>17</v>
      </c>
      <c r="H41">
        <f>SUMIF(DATA!$A:$A,PPL!$A41,DATA!F:F)</f>
        <v>243</v>
      </c>
      <c r="I41">
        <f>SUMIF(DATA!$A:$A,PPL!$A41,DATA!G:G)</f>
        <v>16</v>
      </c>
      <c r="J41">
        <f>SUMIF(DATA!$A:$A,PPL!$A41,DATA!H:H)</f>
        <v>0</v>
      </c>
      <c r="K41">
        <f>SUMIF(DATA!$A:$A,PPL!$A41,DATA!I:I)</f>
        <v>174</v>
      </c>
      <c r="L41">
        <f>SUMIF(DATA!$A:$A,PPL!$A41,DATA!J:J)</f>
        <v>1</v>
      </c>
      <c r="M41">
        <f t="shared" si="0"/>
        <v>468</v>
      </c>
      <c r="N41" s="3">
        <f t="shared" si="1"/>
        <v>64.285714285714292</v>
      </c>
      <c r="O41">
        <f ca="1">CEILING(VLOOKUP(TODAY(),TARGET!A:C,3,0)*E41/100,1)</f>
        <v>474</v>
      </c>
    </row>
    <row r="42" spans="1:15" x14ac:dyDescent="0.25">
      <c r="A42" t="s">
        <v>48</v>
      </c>
      <c r="B42" t="s">
        <v>287</v>
      </c>
      <c r="C42" t="s">
        <v>165</v>
      </c>
      <c r="D42" t="str">
        <f>VLOOKUP(C42,PML!A:B,2,0)</f>
        <v>Vera</v>
      </c>
      <c r="E42">
        <f>SUMIF(DATA!$A:$A,PPL!$A42,DATA!C:C)</f>
        <v>859</v>
      </c>
      <c r="F42">
        <f>SUMIF(DATA!$A:$A,PPL!$A42,DATA!D:D)</f>
        <v>406</v>
      </c>
      <c r="G42">
        <f>SUMIF(DATA!$A:$A,PPL!$A42,DATA!E:E)</f>
        <v>44</v>
      </c>
      <c r="H42">
        <f>SUMIF(DATA!$A:$A,PPL!$A42,DATA!F:F)</f>
        <v>302</v>
      </c>
      <c r="I42">
        <f>SUMIF(DATA!$A:$A,PPL!$A42,DATA!G:G)</f>
        <v>7</v>
      </c>
      <c r="J42">
        <f>SUMIF(DATA!$A:$A,PPL!$A42,DATA!H:H)</f>
        <v>3</v>
      </c>
      <c r="K42">
        <f>SUMIF(DATA!$A:$A,PPL!$A42,DATA!I:I)</f>
        <v>97</v>
      </c>
      <c r="L42">
        <f>SUMIF(DATA!$A:$A,PPL!$A42,DATA!J:J)</f>
        <v>0</v>
      </c>
      <c r="M42">
        <f t="shared" si="0"/>
        <v>513</v>
      </c>
      <c r="N42" s="3">
        <f t="shared" si="1"/>
        <v>59.720605355064023</v>
      </c>
      <c r="O42">
        <f ca="1">CEILING(VLOOKUP(TODAY(),TARGET!A:C,3,0)*E42/100,1)</f>
        <v>559</v>
      </c>
    </row>
    <row r="43" spans="1:15" x14ac:dyDescent="0.25">
      <c r="A43" t="s">
        <v>49</v>
      </c>
      <c r="B43" t="s">
        <v>288</v>
      </c>
      <c r="C43" t="s">
        <v>168</v>
      </c>
      <c r="D43" t="str">
        <f>VLOOKUP(C43,PML!A:B,2,0)</f>
        <v>Handoko</v>
      </c>
      <c r="E43">
        <f>SUMIF(DATA!$A:$A,PPL!$A43,DATA!C:C)</f>
        <v>678</v>
      </c>
      <c r="F43">
        <f>SUMIF(DATA!$A:$A,PPL!$A43,DATA!D:D)</f>
        <v>235</v>
      </c>
      <c r="G43">
        <f>SUMIF(DATA!$A:$A,PPL!$A43,DATA!E:E)</f>
        <v>22</v>
      </c>
      <c r="H43">
        <f>SUMIF(DATA!$A:$A,PPL!$A43,DATA!F:F)</f>
        <v>357</v>
      </c>
      <c r="I43">
        <f>SUMIF(DATA!$A:$A,PPL!$A43,DATA!G:G)</f>
        <v>44</v>
      </c>
      <c r="J43">
        <f>SUMIF(DATA!$A:$A,PPL!$A43,DATA!H:H)</f>
        <v>0</v>
      </c>
      <c r="K43">
        <f>SUMIF(DATA!$A:$A,PPL!$A43,DATA!I:I)</f>
        <v>20</v>
      </c>
      <c r="L43">
        <f>SUMIF(DATA!$A:$A,PPL!$A43,DATA!J:J)</f>
        <v>0</v>
      </c>
      <c r="M43">
        <f t="shared" si="0"/>
        <v>299</v>
      </c>
      <c r="N43" s="3">
        <f t="shared" si="1"/>
        <v>44.100294985250734</v>
      </c>
      <c r="O43">
        <f ca="1">CEILING(VLOOKUP(TODAY(),TARGET!A:C,3,0)*E43/100,1)</f>
        <v>441</v>
      </c>
    </row>
    <row r="44" spans="1:15" x14ac:dyDescent="0.25">
      <c r="A44" t="s">
        <v>50</v>
      </c>
      <c r="B44" t="s">
        <v>289</v>
      </c>
      <c r="C44" t="s">
        <v>169</v>
      </c>
      <c r="D44" t="str">
        <f>VLOOKUP(C44,PML!A:B,2,0)</f>
        <v>Rudy</v>
      </c>
      <c r="E44">
        <f>SUMIF(DATA!$A:$A,PPL!$A44,DATA!C:C)</f>
        <v>717</v>
      </c>
      <c r="F44">
        <f>SUMIF(DATA!$A:$A,PPL!$A44,DATA!D:D)</f>
        <v>206</v>
      </c>
      <c r="G44">
        <f>SUMIF(DATA!$A:$A,PPL!$A44,DATA!E:E)</f>
        <v>27</v>
      </c>
      <c r="H44">
        <f>SUMIF(DATA!$A:$A,PPL!$A44,DATA!F:F)</f>
        <v>315</v>
      </c>
      <c r="I44">
        <f>SUMIF(DATA!$A:$A,PPL!$A44,DATA!G:G)</f>
        <v>5</v>
      </c>
      <c r="J44">
        <f>SUMIF(DATA!$A:$A,PPL!$A44,DATA!H:H)</f>
        <v>0</v>
      </c>
      <c r="K44">
        <f>SUMIF(DATA!$A:$A,PPL!$A44,DATA!I:I)</f>
        <v>164</v>
      </c>
      <c r="L44">
        <f>SUMIF(DATA!$A:$A,PPL!$A44,DATA!J:J)</f>
        <v>0</v>
      </c>
      <c r="M44">
        <f t="shared" si="0"/>
        <v>375</v>
      </c>
      <c r="N44" s="3">
        <f t="shared" si="1"/>
        <v>52.30125523012552</v>
      </c>
      <c r="O44">
        <f ca="1">CEILING(VLOOKUP(TODAY(),TARGET!A:C,3,0)*E44/100,1)</f>
        <v>467</v>
      </c>
    </row>
    <row r="45" spans="1:15" x14ac:dyDescent="0.25">
      <c r="A45" t="s">
        <v>51</v>
      </c>
      <c r="B45" t="s">
        <v>290</v>
      </c>
      <c r="C45" t="s">
        <v>170</v>
      </c>
      <c r="D45" t="str">
        <f>VLOOKUP(C45,PML!A:B,2,0)</f>
        <v>Iska</v>
      </c>
      <c r="E45">
        <f>SUMIF(DATA!$A:$A,PPL!$A45,DATA!C:C)</f>
        <v>505</v>
      </c>
      <c r="F45">
        <f>SUMIF(DATA!$A:$A,PPL!$A45,DATA!D:D)</f>
        <v>303</v>
      </c>
      <c r="G45">
        <f>SUMIF(DATA!$A:$A,PPL!$A45,DATA!E:E)</f>
        <v>5</v>
      </c>
      <c r="H45">
        <f>SUMIF(DATA!$A:$A,PPL!$A45,DATA!F:F)</f>
        <v>189</v>
      </c>
      <c r="I45">
        <f>SUMIF(DATA!$A:$A,PPL!$A45,DATA!G:G)</f>
        <v>0</v>
      </c>
      <c r="J45">
        <f>SUMIF(DATA!$A:$A,PPL!$A45,DATA!H:H)</f>
        <v>1</v>
      </c>
      <c r="K45">
        <f>SUMIF(DATA!$A:$A,PPL!$A45,DATA!I:I)</f>
        <v>7</v>
      </c>
      <c r="L45">
        <f>SUMIF(DATA!$A:$A,PPL!$A45,DATA!J:J)</f>
        <v>0</v>
      </c>
      <c r="M45">
        <f t="shared" si="0"/>
        <v>311</v>
      </c>
      <c r="N45" s="3">
        <f t="shared" si="1"/>
        <v>61.584158415841586</v>
      </c>
      <c r="O45">
        <f ca="1">CEILING(VLOOKUP(TODAY(),TARGET!A:C,3,0)*E45/100,1)</f>
        <v>329</v>
      </c>
    </row>
    <row r="46" spans="1:15" x14ac:dyDescent="0.25">
      <c r="A46" t="s">
        <v>52</v>
      </c>
      <c r="B46" t="s">
        <v>291</v>
      </c>
      <c r="C46" t="s">
        <v>169</v>
      </c>
      <c r="D46" t="str">
        <f>VLOOKUP(C46,PML!A:B,2,0)</f>
        <v>Rudy</v>
      </c>
      <c r="E46">
        <f>SUMIF(DATA!$A:$A,PPL!$A46,DATA!C:C)</f>
        <v>567</v>
      </c>
      <c r="F46">
        <f>SUMIF(DATA!$A:$A,PPL!$A46,DATA!D:D)</f>
        <v>356</v>
      </c>
      <c r="G46">
        <f>SUMIF(DATA!$A:$A,PPL!$A46,DATA!E:E)</f>
        <v>8</v>
      </c>
      <c r="H46">
        <f>SUMIF(DATA!$A:$A,PPL!$A46,DATA!F:F)</f>
        <v>201</v>
      </c>
      <c r="I46">
        <f>SUMIF(DATA!$A:$A,PPL!$A46,DATA!G:G)</f>
        <v>2</v>
      </c>
      <c r="J46">
        <f>SUMIF(DATA!$A:$A,PPL!$A46,DATA!H:H)</f>
        <v>0</v>
      </c>
      <c r="K46">
        <f>SUMIF(DATA!$A:$A,PPL!$A46,DATA!I:I)</f>
        <v>0</v>
      </c>
      <c r="L46">
        <f>SUMIF(DATA!$A:$A,PPL!$A46,DATA!J:J)</f>
        <v>0</v>
      </c>
      <c r="M46">
        <f t="shared" si="0"/>
        <v>358</v>
      </c>
      <c r="N46" s="3">
        <f t="shared" si="1"/>
        <v>63.139329805996468</v>
      </c>
      <c r="O46">
        <f ca="1">CEILING(VLOOKUP(TODAY(),TARGET!A:C,3,0)*E46/100,1)</f>
        <v>369</v>
      </c>
    </row>
    <row r="47" spans="1:15" x14ac:dyDescent="0.25">
      <c r="A47" t="s">
        <v>53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638</v>
      </c>
      <c r="F47">
        <f>SUMIF(DATA!$A:$A,PPL!$A47,DATA!D:D)</f>
        <v>293</v>
      </c>
      <c r="G47">
        <f>SUMIF(DATA!$A:$A,PPL!$A47,DATA!E:E)</f>
        <v>17</v>
      </c>
      <c r="H47">
        <f>SUMIF(DATA!$A:$A,PPL!$A47,DATA!F:F)</f>
        <v>252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76</v>
      </c>
      <c r="L47">
        <f>SUMIF(DATA!$A:$A,PPL!$A47,DATA!J:J)</f>
        <v>0</v>
      </c>
      <c r="M47">
        <f t="shared" si="0"/>
        <v>369</v>
      </c>
      <c r="N47" s="3">
        <f t="shared" si="1"/>
        <v>57.836990595611283</v>
      </c>
      <c r="O47">
        <f ca="1">CEILING(VLOOKUP(TODAY(),TARGET!A:C,3,0)*E47/100,1)</f>
        <v>415</v>
      </c>
    </row>
    <row r="48" spans="1:15" x14ac:dyDescent="0.25">
      <c r="A48" t="s">
        <v>54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653</v>
      </c>
      <c r="F48">
        <f>SUMIF(DATA!$A:$A,PPL!$A48,DATA!D:D)</f>
        <v>309</v>
      </c>
      <c r="G48">
        <f>SUMIF(DATA!$A:$A,PPL!$A48,DATA!E:E)</f>
        <v>18</v>
      </c>
      <c r="H48">
        <f>SUMIF(DATA!$A:$A,PPL!$A48,DATA!F:F)</f>
        <v>283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43</v>
      </c>
      <c r="L48">
        <f>SUMIF(DATA!$A:$A,PPL!$A48,DATA!J:J)</f>
        <v>0</v>
      </c>
      <c r="M48">
        <f t="shared" si="0"/>
        <v>352</v>
      </c>
      <c r="N48" s="3">
        <f t="shared" si="1"/>
        <v>53.905053598774884</v>
      </c>
      <c r="O48">
        <f ca="1">CEILING(VLOOKUP(TODAY(),TARGET!A:C,3,0)*E48/100,1)</f>
        <v>425</v>
      </c>
    </row>
    <row r="49" spans="1:15" x14ac:dyDescent="0.25">
      <c r="A49" t="s">
        <v>55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625</v>
      </c>
      <c r="F49">
        <f>SUMIF(DATA!$A:$A,PPL!$A49,DATA!D:D)</f>
        <v>269</v>
      </c>
      <c r="G49">
        <f>SUMIF(DATA!$A:$A,PPL!$A49,DATA!E:E)</f>
        <v>1</v>
      </c>
      <c r="H49">
        <f>SUMIF(DATA!$A:$A,PPL!$A49,DATA!F:F)</f>
        <v>282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72</v>
      </c>
      <c r="L49">
        <f>SUMIF(DATA!$A:$A,PPL!$A49,DATA!J:J)</f>
        <v>0</v>
      </c>
      <c r="M49">
        <f t="shared" si="0"/>
        <v>342</v>
      </c>
      <c r="N49" s="3">
        <f t="shared" si="1"/>
        <v>54.72</v>
      </c>
      <c r="O49">
        <f ca="1">CEILING(VLOOKUP(TODAY(),TARGET!A:C,3,0)*E49/100,1)</f>
        <v>407</v>
      </c>
    </row>
    <row r="50" spans="1:15" x14ac:dyDescent="0.25">
      <c r="A50" t="s">
        <v>56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698</v>
      </c>
      <c r="F50">
        <f>SUMIF(DATA!$A:$A,PPL!$A50,DATA!D:D)</f>
        <v>279</v>
      </c>
      <c r="G50">
        <f>SUMIF(DATA!$A:$A,PPL!$A50,DATA!E:E)</f>
        <v>32</v>
      </c>
      <c r="H50">
        <f>SUMIF(DATA!$A:$A,PPL!$A50,DATA!F:F)</f>
        <v>335</v>
      </c>
      <c r="I50">
        <f>SUMIF(DATA!$A:$A,PPL!$A50,DATA!G:G)</f>
        <v>2</v>
      </c>
      <c r="J50">
        <f>SUMIF(DATA!$A:$A,PPL!$A50,DATA!H:H)</f>
        <v>0</v>
      </c>
      <c r="K50">
        <f>SUMIF(DATA!$A:$A,PPL!$A50,DATA!I:I)</f>
        <v>50</v>
      </c>
      <c r="L50">
        <f>SUMIF(DATA!$A:$A,PPL!$A50,DATA!J:J)</f>
        <v>0</v>
      </c>
      <c r="M50">
        <f t="shared" si="0"/>
        <v>331</v>
      </c>
      <c r="N50" s="3">
        <f t="shared" si="1"/>
        <v>47.421203438395416</v>
      </c>
      <c r="O50">
        <f ca="1">CEILING(VLOOKUP(TODAY(),TARGET!A:C,3,0)*E50/100,1)</f>
        <v>454</v>
      </c>
    </row>
    <row r="51" spans="1:15" x14ac:dyDescent="0.25">
      <c r="A51" t="s">
        <v>57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721</v>
      </c>
      <c r="F51">
        <f>SUMIF(DATA!$A:$A,PPL!$A51,DATA!D:D)</f>
        <v>384</v>
      </c>
      <c r="G51">
        <f>SUMIF(DATA!$A:$A,PPL!$A51,DATA!E:E)</f>
        <v>18</v>
      </c>
      <c r="H51">
        <f>SUMIF(DATA!$A:$A,PPL!$A51,DATA!F:F)</f>
        <v>292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27</v>
      </c>
      <c r="L51">
        <f>SUMIF(DATA!$A:$A,PPL!$A51,DATA!J:J)</f>
        <v>0</v>
      </c>
      <c r="M51">
        <f t="shared" si="0"/>
        <v>411</v>
      </c>
      <c r="N51" s="3">
        <f t="shared" si="1"/>
        <v>57.004160887656028</v>
      </c>
      <c r="O51">
        <f ca="1">CEILING(VLOOKUP(TODAY(),TARGET!A:C,3,0)*E51/100,1)</f>
        <v>469</v>
      </c>
    </row>
    <row r="52" spans="1:15" x14ac:dyDescent="0.25">
      <c r="A52" t="s">
        <v>58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628</v>
      </c>
      <c r="F52">
        <f>SUMIF(DATA!$A:$A,PPL!$A52,DATA!D:D)</f>
        <v>306</v>
      </c>
      <c r="G52">
        <f>SUMIF(DATA!$A:$A,PPL!$A52,DATA!E:E)</f>
        <v>20</v>
      </c>
      <c r="H52">
        <f>SUMIF(DATA!$A:$A,PPL!$A52,DATA!F:F)</f>
        <v>295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7</v>
      </c>
      <c r="L52">
        <f>SUMIF(DATA!$A:$A,PPL!$A52,DATA!J:J)</f>
        <v>0</v>
      </c>
      <c r="M52">
        <f t="shared" si="0"/>
        <v>313</v>
      </c>
      <c r="N52" s="3">
        <f t="shared" si="1"/>
        <v>49.840764331210188</v>
      </c>
      <c r="O52">
        <f ca="1">CEILING(VLOOKUP(TODAY(),TARGET!A:C,3,0)*E52/100,1)</f>
        <v>409</v>
      </c>
    </row>
    <row r="53" spans="1:15" x14ac:dyDescent="0.25">
      <c r="A53" t="s">
        <v>59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715</v>
      </c>
      <c r="F53">
        <f>SUMIF(DATA!$A:$A,PPL!$A53,DATA!D:D)</f>
        <v>298</v>
      </c>
      <c r="G53">
        <f>SUMIF(DATA!$A:$A,PPL!$A53,DATA!E:E)</f>
        <v>14</v>
      </c>
      <c r="H53">
        <f>SUMIF(DATA!$A:$A,PPL!$A53,DATA!F:F)</f>
        <v>219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184</v>
      </c>
      <c r="L53">
        <f>SUMIF(DATA!$A:$A,PPL!$A53,DATA!J:J)</f>
        <v>0</v>
      </c>
      <c r="M53">
        <f t="shared" si="0"/>
        <v>482</v>
      </c>
      <c r="N53" s="3">
        <f t="shared" si="1"/>
        <v>67.412587412587413</v>
      </c>
      <c r="O53">
        <f ca="1">CEILING(VLOOKUP(TODAY(),TARGET!A:C,3,0)*E53/100,1)</f>
        <v>465</v>
      </c>
    </row>
    <row r="54" spans="1:15" x14ac:dyDescent="0.25">
      <c r="A54" t="s">
        <v>60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615</v>
      </c>
      <c r="F54">
        <f>SUMIF(DATA!$A:$A,PPL!$A54,DATA!D:D)</f>
        <v>288</v>
      </c>
      <c r="G54">
        <f>SUMIF(DATA!$A:$A,PPL!$A54,DATA!E:E)</f>
        <v>37</v>
      </c>
      <c r="H54">
        <f>SUMIF(DATA!$A:$A,PPL!$A54,DATA!F:F)</f>
        <v>285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5</v>
      </c>
      <c r="L54">
        <f>SUMIF(DATA!$A:$A,PPL!$A54,DATA!J:J)</f>
        <v>0</v>
      </c>
      <c r="M54">
        <f t="shared" si="0"/>
        <v>293</v>
      </c>
      <c r="N54" s="3">
        <f t="shared" si="1"/>
        <v>47.642276422764226</v>
      </c>
      <c r="O54">
        <f ca="1">CEILING(VLOOKUP(TODAY(),TARGET!A:C,3,0)*E54/100,1)</f>
        <v>400</v>
      </c>
    </row>
    <row r="55" spans="1:15" x14ac:dyDescent="0.25">
      <c r="A55" t="s">
        <v>61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713</v>
      </c>
      <c r="F55">
        <f>SUMIF(DATA!$A:$A,PPL!$A55,DATA!D:D)</f>
        <v>329</v>
      </c>
      <c r="G55">
        <f>SUMIF(DATA!$A:$A,PPL!$A55,DATA!E:E)</f>
        <v>8</v>
      </c>
      <c r="H55">
        <f>SUMIF(DATA!$A:$A,PPL!$A55,DATA!F:F)</f>
        <v>364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12</v>
      </c>
      <c r="L55">
        <f>SUMIF(DATA!$A:$A,PPL!$A55,DATA!J:J)</f>
        <v>0</v>
      </c>
      <c r="M55">
        <f t="shared" si="0"/>
        <v>341</v>
      </c>
      <c r="N55" s="3">
        <f t="shared" si="1"/>
        <v>47.826086956521742</v>
      </c>
      <c r="O55">
        <f ca="1">CEILING(VLOOKUP(TODAY(),TARGET!A:C,3,0)*E55/100,1)</f>
        <v>464</v>
      </c>
    </row>
    <row r="56" spans="1:15" x14ac:dyDescent="0.25">
      <c r="A56" t="s">
        <v>63</v>
      </c>
      <c r="B56" t="s">
        <v>301</v>
      </c>
      <c r="C56" t="s">
        <v>168</v>
      </c>
      <c r="D56" t="str">
        <f>VLOOKUP(C56,PML!A:B,2,0)</f>
        <v>Handoko</v>
      </c>
      <c r="E56">
        <f>SUMIF(DATA!$A:$A,PPL!$A56,DATA!C:C)</f>
        <v>664</v>
      </c>
      <c r="F56">
        <f>SUMIF(DATA!$A:$A,PPL!$A56,DATA!D:D)</f>
        <v>253</v>
      </c>
      <c r="G56">
        <f>SUMIF(DATA!$A:$A,PPL!$A56,DATA!E:E)</f>
        <v>49</v>
      </c>
      <c r="H56">
        <f>SUMIF(DATA!$A:$A,PPL!$A56,DATA!F:F)</f>
        <v>315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47</v>
      </c>
      <c r="L56">
        <f>SUMIF(DATA!$A:$A,PPL!$A56,DATA!J:J)</f>
        <v>0</v>
      </c>
      <c r="M56">
        <f t="shared" si="0"/>
        <v>300</v>
      </c>
      <c r="N56" s="3">
        <f t="shared" si="1"/>
        <v>45.180722891566269</v>
      </c>
      <c r="O56">
        <f ca="1">CEILING(VLOOKUP(TODAY(),TARGET!A:C,3,0)*E56/100,1)</f>
        <v>432</v>
      </c>
    </row>
    <row r="57" spans="1:15" x14ac:dyDescent="0.25">
      <c r="A57" t="s">
        <v>64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666</v>
      </c>
      <c r="F57">
        <f>SUMIF(DATA!$A:$A,PPL!$A57,DATA!D:D)</f>
        <v>303</v>
      </c>
      <c r="G57">
        <f>SUMIF(DATA!$A:$A,PPL!$A57,DATA!E:E)</f>
        <v>16</v>
      </c>
      <c r="H57">
        <f>SUMIF(DATA!$A:$A,PPL!$A57,DATA!F:F)</f>
        <v>193</v>
      </c>
      <c r="I57">
        <f>SUMIF(DATA!$A:$A,PPL!$A57,DATA!G:G)</f>
        <v>3</v>
      </c>
      <c r="J57">
        <f>SUMIF(DATA!$A:$A,PPL!$A57,DATA!H:H)</f>
        <v>0</v>
      </c>
      <c r="K57">
        <f>SUMIF(DATA!$A:$A,PPL!$A57,DATA!I:I)</f>
        <v>151</v>
      </c>
      <c r="L57">
        <f>SUMIF(DATA!$A:$A,PPL!$A57,DATA!J:J)</f>
        <v>0</v>
      </c>
      <c r="M57">
        <f t="shared" si="0"/>
        <v>457</v>
      </c>
      <c r="N57" s="3">
        <f t="shared" si="1"/>
        <v>68.618618618618626</v>
      </c>
      <c r="O57">
        <f ca="1">CEILING(VLOOKUP(TODAY(),TARGET!A:C,3,0)*E57/100,1)</f>
        <v>433</v>
      </c>
    </row>
    <row r="58" spans="1:15" x14ac:dyDescent="0.25">
      <c r="A58" t="s">
        <v>65</v>
      </c>
      <c r="B58" t="s">
        <v>303</v>
      </c>
      <c r="C58" t="s">
        <v>180</v>
      </c>
      <c r="D58" t="str">
        <f>VLOOKUP(C58,PML!A:B,2,0)</f>
        <v>Alfian</v>
      </c>
      <c r="E58">
        <f>SUMIF(DATA!$A:$A,PPL!$A58,DATA!C:C)</f>
        <v>694</v>
      </c>
      <c r="F58">
        <f>SUMIF(DATA!$A:$A,PPL!$A58,DATA!D:D)</f>
        <v>374</v>
      </c>
      <c r="G58">
        <f>SUMIF(DATA!$A:$A,PPL!$A58,DATA!E:E)</f>
        <v>13</v>
      </c>
      <c r="H58">
        <f>SUMIF(DATA!$A:$A,PPL!$A58,DATA!F:F)</f>
        <v>284</v>
      </c>
      <c r="I58">
        <f>SUMIF(DATA!$A:$A,PPL!$A58,DATA!G:G)</f>
        <v>1</v>
      </c>
      <c r="J58">
        <f>SUMIF(DATA!$A:$A,PPL!$A58,DATA!H:H)</f>
        <v>0</v>
      </c>
      <c r="K58">
        <f>SUMIF(DATA!$A:$A,PPL!$A58,DATA!I:I)</f>
        <v>22</v>
      </c>
      <c r="L58">
        <f>SUMIF(DATA!$A:$A,PPL!$A58,DATA!J:J)</f>
        <v>0</v>
      </c>
      <c r="M58">
        <f t="shared" si="0"/>
        <v>397</v>
      </c>
      <c r="N58" s="3">
        <f t="shared" si="1"/>
        <v>57.204610951008647</v>
      </c>
      <c r="O58">
        <f ca="1">CEILING(VLOOKUP(TODAY(),TARGET!A:C,3,0)*E58/100,1)</f>
        <v>452</v>
      </c>
    </row>
    <row r="59" spans="1:15" x14ac:dyDescent="0.25">
      <c r="A59" t="s">
        <v>66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659</v>
      </c>
      <c r="F59">
        <f>SUMIF(DATA!$A:$A,PPL!$A59,DATA!D:D)</f>
        <v>329</v>
      </c>
      <c r="G59">
        <f>SUMIF(DATA!$A:$A,PPL!$A59,DATA!E:E)</f>
        <v>23</v>
      </c>
      <c r="H59">
        <f>SUMIF(DATA!$A:$A,PPL!$A59,DATA!F:F)</f>
        <v>279</v>
      </c>
      <c r="I59">
        <f>SUMIF(DATA!$A:$A,PPL!$A59,DATA!G:G)</f>
        <v>1</v>
      </c>
      <c r="J59">
        <f>SUMIF(DATA!$A:$A,PPL!$A59,DATA!H:H)</f>
        <v>1</v>
      </c>
      <c r="K59">
        <f>SUMIF(DATA!$A:$A,PPL!$A59,DATA!I:I)</f>
        <v>26</v>
      </c>
      <c r="L59">
        <f>SUMIF(DATA!$A:$A,PPL!$A59,DATA!J:J)</f>
        <v>0</v>
      </c>
      <c r="M59">
        <f t="shared" si="0"/>
        <v>357</v>
      </c>
      <c r="N59" s="3">
        <f t="shared" si="1"/>
        <v>54.172989377845212</v>
      </c>
      <c r="O59">
        <f ca="1">CEILING(VLOOKUP(TODAY(),TARGET!A:C,3,0)*E59/100,1)</f>
        <v>429</v>
      </c>
    </row>
    <row r="60" spans="1:15" x14ac:dyDescent="0.25">
      <c r="A60" t="s">
        <v>67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665</v>
      </c>
      <c r="F60">
        <f>SUMIF(DATA!$A:$A,PPL!$A60,DATA!D:D)</f>
        <v>373</v>
      </c>
      <c r="G60">
        <f>SUMIF(DATA!$A:$A,PPL!$A60,DATA!E:E)</f>
        <v>27</v>
      </c>
      <c r="H60">
        <f>SUMIF(DATA!$A:$A,PPL!$A60,DATA!F:F)</f>
        <v>250</v>
      </c>
      <c r="I60">
        <f>SUMIF(DATA!$A:$A,PPL!$A60,DATA!G:G)</f>
        <v>2</v>
      </c>
      <c r="J60">
        <f>SUMIF(DATA!$A:$A,PPL!$A60,DATA!H:H)</f>
        <v>0</v>
      </c>
      <c r="K60">
        <f>SUMIF(DATA!$A:$A,PPL!$A60,DATA!I:I)</f>
        <v>13</v>
      </c>
      <c r="L60">
        <f>SUMIF(DATA!$A:$A,PPL!$A60,DATA!J:J)</f>
        <v>0</v>
      </c>
      <c r="M60">
        <f t="shared" si="0"/>
        <v>388</v>
      </c>
      <c r="N60" s="3">
        <f t="shared" si="1"/>
        <v>58.345864661654133</v>
      </c>
      <c r="O60">
        <f ca="1">CEILING(VLOOKUP(TODAY(),TARGET!A:C,3,0)*E60/100,1)</f>
        <v>433</v>
      </c>
    </row>
    <row r="61" spans="1:15" x14ac:dyDescent="0.25">
      <c r="A61" t="s">
        <v>68</v>
      </c>
      <c r="B61" t="s">
        <v>306</v>
      </c>
      <c r="C61" t="s">
        <v>169</v>
      </c>
      <c r="D61" t="str">
        <f>VLOOKUP(C61,PML!A:B,2,0)</f>
        <v>Rudy</v>
      </c>
      <c r="E61">
        <f>SUMIF(DATA!$A:$A,PPL!$A61,DATA!C:C)</f>
        <v>745</v>
      </c>
      <c r="F61">
        <f>SUMIF(DATA!$A:$A,PPL!$A61,DATA!D:D)</f>
        <v>318</v>
      </c>
      <c r="G61">
        <f>SUMIF(DATA!$A:$A,PPL!$A61,DATA!E:E)</f>
        <v>57</v>
      </c>
      <c r="H61">
        <f>SUMIF(DATA!$A:$A,PPL!$A61,DATA!F:F)</f>
        <v>345</v>
      </c>
      <c r="I61">
        <f>SUMIF(DATA!$A:$A,PPL!$A61,DATA!G:G)</f>
        <v>5</v>
      </c>
      <c r="J61">
        <f>SUMIF(DATA!$A:$A,PPL!$A61,DATA!H:H)</f>
        <v>0</v>
      </c>
      <c r="K61">
        <f>SUMIF(DATA!$A:$A,PPL!$A61,DATA!I:I)</f>
        <v>20</v>
      </c>
      <c r="L61">
        <f>SUMIF(DATA!$A:$A,PPL!$A61,DATA!J:J)</f>
        <v>0</v>
      </c>
      <c r="M61">
        <f t="shared" si="0"/>
        <v>343</v>
      </c>
      <c r="N61" s="3">
        <f t="shared" si="1"/>
        <v>46.040268456375841</v>
      </c>
      <c r="O61">
        <f ca="1">CEILING(VLOOKUP(TODAY(),TARGET!A:C,3,0)*E61/100,1)</f>
        <v>485</v>
      </c>
    </row>
    <row r="62" spans="1:15" x14ac:dyDescent="0.25">
      <c r="A62" t="s">
        <v>69</v>
      </c>
      <c r="B62" t="s">
        <v>307</v>
      </c>
      <c r="C62" t="s">
        <v>168</v>
      </c>
      <c r="D62" t="str">
        <f>VLOOKUP(C62,PML!A:B,2,0)</f>
        <v>Handoko</v>
      </c>
      <c r="E62">
        <f>SUMIF(DATA!$A:$A,PPL!$A62,DATA!C:C)</f>
        <v>738</v>
      </c>
      <c r="F62">
        <f>SUMIF(DATA!$A:$A,PPL!$A62,DATA!D:D)</f>
        <v>337</v>
      </c>
      <c r="G62">
        <f>SUMIF(DATA!$A:$A,PPL!$A62,DATA!E:E)</f>
        <v>23</v>
      </c>
      <c r="H62">
        <f>SUMIF(DATA!$A:$A,PPL!$A62,DATA!F:F)</f>
        <v>303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75</v>
      </c>
      <c r="L62">
        <f>SUMIF(DATA!$A:$A,PPL!$A62,DATA!J:J)</f>
        <v>0</v>
      </c>
      <c r="M62">
        <f t="shared" si="0"/>
        <v>412</v>
      </c>
      <c r="N62" s="3">
        <f t="shared" si="1"/>
        <v>55.826558265582662</v>
      </c>
      <c r="O62">
        <f ca="1">CEILING(VLOOKUP(TODAY(),TARGET!A:C,3,0)*E62/100,1)</f>
        <v>480</v>
      </c>
    </row>
    <row r="63" spans="1:15" x14ac:dyDescent="0.25">
      <c r="A63" t="s">
        <v>70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711</v>
      </c>
      <c r="F63">
        <f>SUMIF(DATA!$A:$A,PPL!$A63,DATA!D:D)</f>
        <v>270</v>
      </c>
      <c r="G63">
        <f>SUMIF(DATA!$A:$A,PPL!$A63,DATA!E:E)</f>
        <v>61</v>
      </c>
      <c r="H63">
        <f>SUMIF(DATA!$A:$A,PPL!$A63,DATA!F:F)</f>
        <v>322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57</v>
      </c>
      <c r="L63">
        <f>SUMIF(DATA!$A:$A,PPL!$A63,DATA!J:J)</f>
        <v>0</v>
      </c>
      <c r="M63">
        <f t="shared" si="0"/>
        <v>328</v>
      </c>
      <c r="N63" s="3">
        <f t="shared" si="1"/>
        <v>46.132208157524616</v>
      </c>
      <c r="O63">
        <f ca="1">CEILING(VLOOKUP(TODAY(),TARGET!A:C,3,0)*E63/100,1)</f>
        <v>463</v>
      </c>
    </row>
    <row r="64" spans="1:15" x14ac:dyDescent="0.25">
      <c r="A64" t="s">
        <v>71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744</v>
      </c>
      <c r="F64">
        <f>SUMIF(DATA!$A:$A,PPL!$A64,DATA!D:D)</f>
        <v>380</v>
      </c>
      <c r="G64">
        <f>SUMIF(DATA!$A:$A,PPL!$A64,DATA!E:E)</f>
        <v>59</v>
      </c>
      <c r="H64">
        <f>SUMIF(DATA!$A:$A,PPL!$A64,DATA!F:F)</f>
        <v>287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18</v>
      </c>
      <c r="L64">
        <f>SUMIF(DATA!$A:$A,PPL!$A64,DATA!J:J)</f>
        <v>0</v>
      </c>
      <c r="M64">
        <f t="shared" ref="M64:M127" si="2">F64+I64+J64+K64+L64</f>
        <v>398</v>
      </c>
      <c r="N64" s="3">
        <f t="shared" ref="N64:N127" si="3">(M64/E64)*100</f>
        <v>53.494623655913976</v>
      </c>
      <c r="O64">
        <f ca="1">CEILING(VLOOKUP(TODAY(),TARGET!A:C,3,0)*E64/100,1)</f>
        <v>484</v>
      </c>
    </row>
    <row r="65" spans="1:15" x14ac:dyDescent="0.25">
      <c r="A65" t="s">
        <v>72</v>
      </c>
      <c r="B65" t="s">
        <v>310</v>
      </c>
      <c r="C65" t="s">
        <v>169</v>
      </c>
      <c r="D65" t="str">
        <f>VLOOKUP(C65,PML!A:B,2,0)</f>
        <v>Rudy</v>
      </c>
      <c r="E65">
        <f>SUMIF(DATA!$A:$A,PPL!$A65,DATA!C:C)</f>
        <v>645</v>
      </c>
      <c r="F65">
        <f>SUMIF(DATA!$A:$A,PPL!$A65,DATA!D:D)</f>
        <v>283</v>
      </c>
      <c r="G65">
        <f>SUMIF(DATA!$A:$A,PPL!$A65,DATA!E:E)</f>
        <v>38</v>
      </c>
      <c r="H65">
        <f>SUMIF(DATA!$A:$A,PPL!$A65,DATA!F:F)</f>
        <v>302</v>
      </c>
      <c r="I65">
        <f>SUMIF(DATA!$A:$A,PPL!$A65,DATA!G:G)</f>
        <v>3</v>
      </c>
      <c r="J65">
        <f>SUMIF(DATA!$A:$A,PPL!$A65,DATA!H:H)</f>
        <v>2</v>
      </c>
      <c r="K65">
        <f>SUMIF(DATA!$A:$A,PPL!$A65,DATA!I:I)</f>
        <v>17</v>
      </c>
      <c r="L65">
        <f>SUMIF(DATA!$A:$A,PPL!$A65,DATA!J:J)</f>
        <v>0</v>
      </c>
      <c r="M65">
        <f t="shared" si="2"/>
        <v>305</v>
      </c>
      <c r="N65" s="3">
        <f t="shared" si="3"/>
        <v>47.286821705426355</v>
      </c>
      <c r="O65">
        <f ca="1">CEILING(VLOOKUP(TODAY(),TARGET!A:C,3,0)*E65/100,1)</f>
        <v>420</v>
      </c>
    </row>
    <row r="66" spans="1:15" x14ac:dyDescent="0.25">
      <c r="A66" t="s">
        <v>73</v>
      </c>
      <c r="B66" t="s">
        <v>311</v>
      </c>
      <c r="C66" t="s">
        <v>168</v>
      </c>
      <c r="D66" t="str">
        <f>VLOOKUP(C66,PML!A:B,2,0)</f>
        <v>Handoko</v>
      </c>
      <c r="E66">
        <f>SUMIF(DATA!$A:$A,PPL!$A66,DATA!C:C)</f>
        <v>653</v>
      </c>
      <c r="F66">
        <f>SUMIF(DATA!$A:$A,PPL!$A66,DATA!D:D)</f>
        <v>270</v>
      </c>
      <c r="G66">
        <f>SUMIF(DATA!$A:$A,PPL!$A66,DATA!E:E)</f>
        <v>24</v>
      </c>
      <c r="H66">
        <f>SUMIF(DATA!$A:$A,PPL!$A66,DATA!F:F)</f>
        <v>330</v>
      </c>
      <c r="I66">
        <f>SUMIF(DATA!$A:$A,PPL!$A66,DATA!G:G)</f>
        <v>2</v>
      </c>
      <c r="J66">
        <f>SUMIF(DATA!$A:$A,PPL!$A66,DATA!H:H)</f>
        <v>0</v>
      </c>
      <c r="K66">
        <f>SUMIF(DATA!$A:$A,PPL!$A66,DATA!I:I)</f>
        <v>27</v>
      </c>
      <c r="L66">
        <f>SUMIF(DATA!$A:$A,PPL!$A66,DATA!J:J)</f>
        <v>0</v>
      </c>
      <c r="M66">
        <f t="shared" si="2"/>
        <v>299</v>
      </c>
      <c r="N66" s="3">
        <f t="shared" si="3"/>
        <v>45.788667687595712</v>
      </c>
      <c r="O66">
        <f ca="1">CEILING(VLOOKUP(TODAY(),TARGET!A:C,3,0)*E66/100,1)</f>
        <v>425</v>
      </c>
    </row>
    <row r="67" spans="1:15" x14ac:dyDescent="0.25">
      <c r="A67" t="s">
        <v>74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497</v>
      </c>
      <c r="F67">
        <f>SUMIF(DATA!$A:$A,PPL!$A67,DATA!D:D)</f>
        <v>231</v>
      </c>
      <c r="G67">
        <f>SUMIF(DATA!$A:$A,PPL!$A67,DATA!E:E)</f>
        <v>17</v>
      </c>
      <c r="H67">
        <f>SUMIF(DATA!$A:$A,PPL!$A67,DATA!F:F)</f>
        <v>207</v>
      </c>
      <c r="I67">
        <f>SUMIF(DATA!$A:$A,PPL!$A67,DATA!G:G)</f>
        <v>0</v>
      </c>
      <c r="J67">
        <f>SUMIF(DATA!$A:$A,PPL!$A67,DATA!H:H)</f>
        <v>3</v>
      </c>
      <c r="K67">
        <f>SUMIF(DATA!$A:$A,PPL!$A67,DATA!I:I)</f>
        <v>39</v>
      </c>
      <c r="L67">
        <f>SUMIF(DATA!$A:$A,PPL!$A67,DATA!J:J)</f>
        <v>0</v>
      </c>
      <c r="M67">
        <f t="shared" si="2"/>
        <v>273</v>
      </c>
      <c r="N67" s="3">
        <f t="shared" si="3"/>
        <v>54.929577464788736</v>
      </c>
      <c r="O67">
        <f ca="1">CEILING(VLOOKUP(TODAY(),TARGET!A:C,3,0)*E67/100,1)</f>
        <v>324</v>
      </c>
    </row>
    <row r="68" spans="1:15" x14ac:dyDescent="0.25">
      <c r="A68" t="s">
        <v>75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483</v>
      </c>
      <c r="F68">
        <f>SUMIF(DATA!$A:$A,PPL!$A68,DATA!D:D)</f>
        <v>201</v>
      </c>
      <c r="G68">
        <f>SUMIF(DATA!$A:$A,PPL!$A68,DATA!E:E)</f>
        <v>20</v>
      </c>
      <c r="H68">
        <f>SUMIF(DATA!$A:$A,PPL!$A68,DATA!F:F)</f>
        <v>221</v>
      </c>
      <c r="I68">
        <f>SUMIF(DATA!$A:$A,PPL!$A68,DATA!G:G)</f>
        <v>0</v>
      </c>
      <c r="J68">
        <f>SUMIF(DATA!$A:$A,PPL!$A68,DATA!H:H)</f>
        <v>4</v>
      </c>
      <c r="K68">
        <f>SUMIF(DATA!$A:$A,PPL!$A68,DATA!I:I)</f>
        <v>37</v>
      </c>
      <c r="L68">
        <f>SUMIF(DATA!$A:$A,PPL!$A68,DATA!J:J)</f>
        <v>0</v>
      </c>
      <c r="M68">
        <f t="shared" si="2"/>
        <v>242</v>
      </c>
      <c r="N68" s="3">
        <f t="shared" si="3"/>
        <v>50.103519668737064</v>
      </c>
      <c r="O68">
        <f ca="1">CEILING(VLOOKUP(TODAY(),TARGET!A:C,3,0)*E68/100,1)</f>
        <v>314</v>
      </c>
    </row>
    <row r="69" spans="1:15" x14ac:dyDescent="0.25">
      <c r="A69" t="s">
        <v>76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508</v>
      </c>
      <c r="F69">
        <f>SUMIF(DATA!$A:$A,PPL!$A69,DATA!D:D)</f>
        <v>225</v>
      </c>
      <c r="G69">
        <f>SUMIF(DATA!$A:$A,PPL!$A69,DATA!E:E)</f>
        <v>7</v>
      </c>
      <c r="H69">
        <f>SUMIF(DATA!$A:$A,PPL!$A69,DATA!F:F)</f>
        <v>229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47</v>
      </c>
      <c r="L69">
        <f>SUMIF(DATA!$A:$A,PPL!$A69,DATA!J:J)</f>
        <v>0</v>
      </c>
      <c r="M69">
        <f t="shared" si="2"/>
        <v>272</v>
      </c>
      <c r="N69" s="3">
        <f t="shared" si="3"/>
        <v>53.543307086614178</v>
      </c>
      <c r="O69">
        <f ca="1">CEILING(VLOOKUP(TODAY(),TARGET!A:C,3,0)*E69/100,1)</f>
        <v>331</v>
      </c>
    </row>
    <row r="70" spans="1:15" x14ac:dyDescent="0.25">
      <c r="A70" t="s">
        <v>77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461</v>
      </c>
      <c r="F70">
        <f>SUMIF(DATA!$A:$A,PPL!$A70,DATA!D:D)</f>
        <v>280</v>
      </c>
      <c r="G70">
        <f>SUMIF(DATA!$A:$A,PPL!$A70,DATA!E:E)</f>
        <v>0</v>
      </c>
      <c r="H70">
        <f>SUMIF(DATA!$A:$A,PPL!$A70,DATA!F:F)</f>
        <v>168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12</v>
      </c>
      <c r="L70">
        <f>SUMIF(DATA!$A:$A,PPL!$A70,DATA!J:J)</f>
        <v>0</v>
      </c>
      <c r="M70">
        <f t="shared" si="2"/>
        <v>293</v>
      </c>
      <c r="N70" s="3">
        <f t="shared" si="3"/>
        <v>63.557483731019524</v>
      </c>
      <c r="O70">
        <f ca="1">CEILING(VLOOKUP(TODAY(),TARGET!A:C,3,0)*E70/100,1)</f>
        <v>300</v>
      </c>
    </row>
    <row r="71" spans="1:15" x14ac:dyDescent="0.25">
      <c r="A71" t="s">
        <v>78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284</v>
      </c>
      <c r="G71">
        <f>SUMIF(DATA!$A:$A,PPL!$A71,DATA!E:E)</f>
        <v>3</v>
      </c>
      <c r="H71">
        <f>SUMIF(DATA!$A:$A,PPL!$A71,DATA!F:F)</f>
        <v>262</v>
      </c>
      <c r="I71">
        <f>SUMIF(DATA!$A:$A,PPL!$A71,DATA!G:G)</f>
        <v>0</v>
      </c>
      <c r="J71">
        <f>SUMIF(DATA!$A:$A,PPL!$A71,DATA!H:H)</f>
        <v>1</v>
      </c>
      <c r="K71">
        <f>SUMIF(DATA!$A:$A,PPL!$A71,DATA!I:I)</f>
        <v>20</v>
      </c>
      <c r="L71">
        <f>SUMIF(DATA!$A:$A,PPL!$A71,DATA!J:J)</f>
        <v>0</v>
      </c>
      <c r="M71">
        <f t="shared" si="2"/>
        <v>305</v>
      </c>
      <c r="N71" s="3">
        <f t="shared" si="3"/>
        <v>53.508771929824562</v>
      </c>
      <c r="O71">
        <f ca="1">CEILING(VLOOKUP(TODAY(),TARGET!A:C,3,0)*E71/100,1)</f>
        <v>371</v>
      </c>
    </row>
    <row r="72" spans="1:15" x14ac:dyDescent="0.25">
      <c r="A72" t="s">
        <v>79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511</v>
      </c>
      <c r="F72">
        <f>SUMIF(DATA!$A:$A,PPL!$A72,DATA!D:D)</f>
        <v>246</v>
      </c>
      <c r="G72">
        <f>SUMIF(DATA!$A:$A,PPL!$A72,DATA!E:E)</f>
        <v>17</v>
      </c>
      <c r="H72">
        <f>SUMIF(DATA!$A:$A,PPL!$A72,DATA!F:F)</f>
        <v>222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26</v>
      </c>
      <c r="L72">
        <f>SUMIF(DATA!$A:$A,PPL!$A72,DATA!J:J)</f>
        <v>0</v>
      </c>
      <c r="M72">
        <f t="shared" si="2"/>
        <v>272</v>
      </c>
      <c r="N72" s="3">
        <f t="shared" si="3"/>
        <v>53.228962818003907</v>
      </c>
      <c r="O72">
        <f ca="1">CEILING(VLOOKUP(TODAY(),TARGET!A:C,3,0)*E72/100,1)</f>
        <v>333</v>
      </c>
    </row>
    <row r="73" spans="1:15" x14ac:dyDescent="0.25">
      <c r="A73" t="s">
        <v>80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0</v>
      </c>
      <c r="F73">
        <f>SUMIF(DATA!$A:$A,PPL!$A73,DATA!D:D)</f>
        <v>0</v>
      </c>
      <c r="G73">
        <f>SUMIF(DATA!$A:$A,PPL!$A73,DATA!E:E)</f>
        <v>0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2"/>
        <v>0</v>
      </c>
      <c r="N73" s="3" t="e">
        <f t="shared" si="3"/>
        <v>#DIV/0!</v>
      </c>
      <c r="O73">
        <f ca="1">CEILING(VLOOKUP(TODAY(),TARGET!A:C,3,0)*E73/100,1)</f>
        <v>0</v>
      </c>
    </row>
    <row r="74" spans="1:15" x14ac:dyDescent="0.25">
      <c r="A74" t="s">
        <v>81</v>
      </c>
      <c r="B74" t="s">
        <v>396</v>
      </c>
      <c r="C74" t="s">
        <v>171</v>
      </c>
      <c r="D74" t="str">
        <f>VLOOKUP(C74,PML!A:B,2,0)</f>
        <v>Puput</v>
      </c>
      <c r="E74">
        <f>SUMIF(DATA!$A:$A,PPL!$A74,DATA!C:C)</f>
        <v>526</v>
      </c>
      <c r="F74">
        <f>SUMIF(DATA!$A:$A,PPL!$A74,DATA!D:D)</f>
        <v>239</v>
      </c>
      <c r="G74">
        <f>SUMIF(DATA!$A:$A,PPL!$A74,DATA!E:E)</f>
        <v>58</v>
      </c>
      <c r="H74">
        <f>SUMIF(DATA!$A:$A,PPL!$A74,DATA!F:F)</f>
        <v>184</v>
      </c>
      <c r="I74">
        <f>SUMIF(DATA!$A:$A,PPL!$A74,DATA!G:G)</f>
        <v>2</v>
      </c>
      <c r="J74">
        <f>SUMIF(DATA!$A:$A,PPL!$A74,DATA!H:H)</f>
        <v>1</v>
      </c>
      <c r="K74">
        <f>SUMIF(DATA!$A:$A,PPL!$A74,DATA!I:I)</f>
        <v>42</v>
      </c>
      <c r="L74">
        <f>SUMIF(DATA!$A:$A,PPL!$A74,DATA!J:J)</f>
        <v>0</v>
      </c>
      <c r="M74">
        <f t="shared" si="2"/>
        <v>284</v>
      </c>
      <c r="N74" s="3">
        <f t="shared" si="3"/>
        <v>53.992395437262353</v>
      </c>
      <c r="O74">
        <f ca="1">CEILING(VLOOKUP(TODAY(),TARGET!A:C,3,0)*E74/100,1)</f>
        <v>342</v>
      </c>
    </row>
    <row r="75" spans="1:15" x14ac:dyDescent="0.25">
      <c r="A75" t="s">
        <v>82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467</v>
      </c>
      <c r="F75">
        <f>SUMIF(DATA!$A:$A,PPL!$A75,DATA!D:D)</f>
        <v>236</v>
      </c>
      <c r="G75">
        <f>SUMIF(DATA!$A:$A,PPL!$A75,DATA!E:E)</f>
        <v>77</v>
      </c>
      <c r="H75">
        <f>SUMIF(DATA!$A:$A,PPL!$A75,DATA!F:F)</f>
        <v>143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11</v>
      </c>
      <c r="L75">
        <f>SUMIF(DATA!$A:$A,PPL!$A75,DATA!J:J)</f>
        <v>0</v>
      </c>
      <c r="M75">
        <f t="shared" si="2"/>
        <v>247</v>
      </c>
      <c r="N75" s="3">
        <f t="shared" si="3"/>
        <v>52.890792291220556</v>
      </c>
      <c r="O75">
        <f ca="1">CEILING(VLOOKUP(TODAY(),TARGET!A:C,3,0)*E75/100,1)</f>
        <v>304</v>
      </c>
    </row>
    <row r="76" spans="1:15" x14ac:dyDescent="0.25">
      <c r="A76" t="s">
        <v>83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429</v>
      </c>
      <c r="F76">
        <f>SUMIF(DATA!$A:$A,PPL!$A76,DATA!D:D)</f>
        <v>184</v>
      </c>
      <c r="G76">
        <f>SUMIF(DATA!$A:$A,PPL!$A76,DATA!E:E)</f>
        <v>34</v>
      </c>
      <c r="H76">
        <f>SUMIF(DATA!$A:$A,PPL!$A76,DATA!F:F)</f>
        <v>189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22</v>
      </c>
      <c r="L76">
        <f>SUMIF(DATA!$A:$A,PPL!$A76,DATA!J:J)</f>
        <v>0</v>
      </c>
      <c r="M76">
        <f t="shared" si="2"/>
        <v>206</v>
      </c>
      <c r="N76" s="3">
        <f t="shared" si="3"/>
        <v>48.018648018648022</v>
      </c>
      <c r="O76">
        <f ca="1">CEILING(VLOOKUP(TODAY(),TARGET!A:C,3,0)*E76/100,1)</f>
        <v>279</v>
      </c>
    </row>
    <row r="77" spans="1:15" x14ac:dyDescent="0.25">
      <c r="A77" t="s">
        <v>84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500</v>
      </c>
      <c r="F77">
        <f>SUMIF(DATA!$A:$A,PPL!$A77,DATA!D:D)</f>
        <v>208</v>
      </c>
      <c r="G77">
        <f>SUMIF(DATA!$A:$A,PPL!$A77,DATA!E:E)</f>
        <v>39</v>
      </c>
      <c r="H77">
        <f>SUMIF(DATA!$A:$A,PPL!$A77,DATA!F:F)</f>
        <v>180</v>
      </c>
      <c r="I77">
        <f>SUMIF(DATA!$A:$A,PPL!$A77,DATA!G:G)</f>
        <v>0</v>
      </c>
      <c r="J77">
        <f>SUMIF(DATA!$A:$A,PPL!$A77,DATA!H:H)</f>
        <v>5</v>
      </c>
      <c r="K77">
        <f>SUMIF(DATA!$A:$A,PPL!$A77,DATA!I:I)</f>
        <v>68</v>
      </c>
      <c r="L77">
        <f>SUMIF(DATA!$A:$A,PPL!$A77,DATA!J:J)</f>
        <v>0</v>
      </c>
      <c r="M77">
        <f t="shared" si="2"/>
        <v>281</v>
      </c>
      <c r="N77" s="3">
        <f t="shared" si="3"/>
        <v>56.2</v>
      </c>
      <c r="O77">
        <f ca="1">CEILING(VLOOKUP(TODAY(),TARGET!A:C,3,0)*E77/100,1)</f>
        <v>326</v>
      </c>
    </row>
    <row r="78" spans="1:15" x14ac:dyDescent="0.25">
      <c r="A78" t="s">
        <v>85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459</v>
      </c>
      <c r="F78">
        <f>SUMIF(DATA!$A:$A,PPL!$A78,DATA!D:D)</f>
        <v>207</v>
      </c>
      <c r="G78">
        <f>SUMIF(DATA!$A:$A,PPL!$A78,DATA!E:E)</f>
        <v>24</v>
      </c>
      <c r="H78">
        <f>SUMIF(DATA!$A:$A,PPL!$A78,DATA!F:F)</f>
        <v>189</v>
      </c>
      <c r="I78">
        <f>SUMIF(DATA!$A:$A,PPL!$A78,DATA!G:G)</f>
        <v>2</v>
      </c>
      <c r="J78">
        <f>SUMIF(DATA!$A:$A,PPL!$A78,DATA!H:H)</f>
        <v>0</v>
      </c>
      <c r="K78">
        <f>SUMIF(DATA!$A:$A,PPL!$A78,DATA!I:I)</f>
        <v>37</v>
      </c>
      <c r="L78">
        <f>SUMIF(DATA!$A:$A,PPL!$A78,DATA!J:J)</f>
        <v>0</v>
      </c>
      <c r="M78">
        <f t="shared" si="2"/>
        <v>246</v>
      </c>
      <c r="N78" s="3">
        <f t="shared" si="3"/>
        <v>53.594771241830067</v>
      </c>
      <c r="O78">
        <f ca="1">CEILING(VLOOKUP(TODAY(),TARGET!A:C,3,0)*E78/100,1)</f>
        <v>299</v>
      </c>
    </row>
    <row r="79" spans="1:15" x14ac:dyDescent="0.25">
      <c r="A79" t="s">
        <v>86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431</v>
      </c>
      <c r="F79">
        <f>SUMIF(DATA!$A:$A,PPL!$A79,DATA!D:D)</f>
        <v>191</v>
      </c>
      <c r="G79">
        <f>SUMIF(DATA!$A:$A,PPL!$A79,DATA!E:E)</f>
        <v>30</v>
      </c>
      <c r="H79">
        <f>SUMIF(DATA!$A:$A,PPL!$A79,DATA!F:F)</f>
        <v>175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35</v>
      </c>
      <c r="L79">
        <f>SUMIF(DATA!$A:$A,PPL!$A79,DATA!J:J)</f>
        <v>0</v>
      </c>
      <c r="M79">
        <f t="shared" si="2"/>
        <v>226</v>
      </c>
      <c r="N79" s="3">
        <f t="shared" si="3"/>
        <v>52.436194895591647</v>
      </c>
      <c r="O79">
        <f ca="1">CEILING(VLOOKUP(TODAY(),TARGET!A:C,3,0)*E79/100,1)</f>
        <v>281</v>
      </c>
    </row>
    <row r="80" spans="1:15" x14ac:dyDescent="0.25">
      <c r="A80" t="s">
        <v>87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422</v>
      </c>
      <c r="F80">
        <f>SUMIF(DATA!$A:$A,PPL!$A80,DATA!D:D)</f>
        <v>195</v>
      </c>
      <c r="G80">
        <f>SUMIF(DATA!$A:$A,PPL!$A80,DATA!E:E)</f>
        <v>25</v>
      </c>
      <c r="H80">
        <f>SUMIF(DATA!$A:$A,PPL!$A80,DATA!F:F)</f>
        <v>167</v>
      </c>
      <c r="I80">
        <f>SUMIF(DATA!$A:$A,PPL!$A80,DATA!G:G)</f>
        <v>0</v>
      </c>
      <c r="J80">
        <f>SUMIF(DATA!$A:$A,PPL!$A80,DATA!H:H)</f>
        <v>3</v>
      </c>
      <c r="K80">
        <f>SUMIF(DATA!$A:$A,PPL!$A80,DATA!I:I)</f>
        <v>32</v>
      </c>
      <c r="L80">
        <f>SUMIF(DATA!$A:$A,PPL!$A80,DATA!J:J)</f>
        <v>0</v>
      </c>
      <c r="M80">
        <f t="shared" si="2"/>
        <v>230</v>
      </c>
      <c r="N80" s="3">
        <f t="shared" si="3"/>
        <v>54.502369668246445</v>
      </c>
      <c r="O80">
        <f ca="1">CEILING(VLOOKUP(TODAY(),TARGET!A:C,3,0)*E80/100,1)</f>
        <v>275</v>
      </c>
    </row>
    <row r="81" spans="1:15" x14ac:dyDescent="0.25">
      <c r="A81" t="s">
        <v>88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444</v>
      </c>
      <c r="F81">
        <f>SUMIF(DATA!$A:$A,PPL!$A81,DATA!D:D)</f>
        <v>189</v>
      </c>
      <c r="G81">
        <f>SUMIF(DATA!$A:$A,PPL!$A81,DATA!E:E)</f>
        <v>35</v>
      </c>
      <c r="H81">
        <f>SUMIF(DATA!$A:$A,PPL!$A81,DATA!F:F)</f>
        <v>196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24</v>
      </c>
      <c r="L81">
        <f>SUMIF(DATA!$A:$A,PPL!$A81,DATA!J:J)</f>
        <v>0</v>
      </c>
      <c r="M81">
        <f t="shared" si="2"/>
        <v>213</v>
      </c>
      <c r="N81" s="3">
        <f t="shared" si="3"/>
        <v>47.972972972972968</v>
      </c>
      <c r="O81">
        <f ca="1">CEILING(VLOOKUP(TODAY(),TARGET!A:C,3,0)*E81/100,1)</f>
        <v>289</v>
      </c>
    </row>
    <row r="82" spans="1:15" x14ac:dyDescent="0.25">
      <c r="A82" t="s">
        <v>89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436</v>
      </c>
      <c r="F82">
        <f>SUMIF(DATA!$A:$A,PPL!$A82,DATA!D:D)</f>
        <v>209</v>
      </c>
      <c r="G82">
        <f>SUMIF(DATA!$A:$A,PPL!$A82,DATA!E:E)</f>
        <v>47</v>
      </c>
      <c r="H82">
        <f>SUMIF(DATA!$A:$A,PPL!$A82,DATA!F:F)</f>
        <v>177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3</v>
      </c>
      <c r="L82">
        <f>SUMIF(DATA!$A:$A,PPL!$A82,DATA!J:J)</f>
        <v>0</v>
      </c>
      <c r="M82">
        <f t="shared" si="2"/>
        <v>212</v>
      </c>
      <c r="N82" s="3">
        <f t="shared" si="3"/>
        <v>48.623853211009177</v>
      </c>
      <c r="O82">
        <f ca="1">CEILING(VLOOKUP(TODAY(),TARGET!A:C,3,0)*E82/100,1)</f>
        <v>284</v>
      </c>
    </row>
    <row r="83" spans="1:15" x14ac:dyDescent="0.25">
      <c r="A83" t="s">
        <v>90</v>
      </c>
      <c r="B83" t="s">
        <v>327</v>
      </c>
      <c r="C83" t="s">
        <v>173</v>
      </c>
      <c r="D83" t="str">
        <f>VLOOKUP(C83,PML!A:B,2,0)</f>
        <v>Uneth</v>
      </c>
      <c r="E83">
        <f>SUMIF(DATA!$A:$A,PPL!$A83,DATA!C:C)</f>
        <v>731</v>
      </c>
      <c r="F83">
        <f>SUMIF(DATA!$A:$A,PPL!$A83,DATA!D:D)</f>
        <v>337</v>
      </c>
      <c r="G83">
        <f>SUMIF(DATA!$A:$A,PPL!$A83,DATA!E:E)</f>
        <v>1</v>
      </c>
      <c r="H83">
        <f>SUMIF(DATA!$A:$A,PPL!$A83,DATA!F:F)</f>
        <v>357</v>
      </c>
      <c r="I83">
        <f>SUMIF(DATA!$A:$A,PPL!$A83,DATA!G:G)</f>
        <v>1</v>
      </c>
      <c r="J83">
        <f>SUMIF(DATA!$A:$A,PPL!$A83,DATA!H:H)</f>
        <v>2</v>
      </c>
      <c r="K83">
        <f>SUMIF(DATA!$A:$A,PPL!$A83,DATA!I:I)</f>
        <v>32</v>
      </c>
      <c r="L83">
        <f>SUMIF(DATA!$A:$A,PPL!$A83,DATA!J:J)</f>
        <v>1</v>
      </c>
      <c r="M83">
        <f t="shared" si="2"/>
        <v>373</v>
      </c>
      <c r="N83" s="3">
        <f t="shared" si="3"/>
        <v>51.02599179206566</v>
      </c>
      <c r="O83">
        <f ca="1">CEILING(VLOOKUP(TODAY(),TARGET!A:C,3,0)*E83/100,1)</f>
        <v>476</v>
      </c>
    </row>
    <row r="84" spans="1:15" x14ac:dyDescent="0.25">
      <c r="A84" t="s">
        <v>91</v>
      </c>
      <c r="B84" t="s">
        <v>328</v>
      </c>
      <c r="C84" t="s">
        <v>174</v>
      </c>
      <c r="D84" t="str">
        <f>VLOOKUP(C84,PML!A:B,2,0)</f>
        <v>Aji</v>
      </c>
      <c r="E84">
        <f>SUMIF(DATA!$A:$A,PPL!$A84,DATA!C:C)</f>
        <v>670</v>
      </c>
      <c r="F84">
        <f>SUMIF(DATA!$A:$A,PPL!$A84,DATA!D:D)</f>
        <v>292</v>
      </c>
      <c r="G84">
        <f>SUMIF(DATA!$A:$A,PPL!$A84,DATA!E:E)</f>
        <v>28</v>
      </c>
      <c r="H84">
        <f>SUMIF(DATA!$A:$A,PPL!$A84,DATA!F:F)</f>
        <v>326</v>
      </c>
      <c r="I84">
        <f>SUMIF(DATA!$A:$A,PPL!$A84,DATA!G:G)</f>
        <v>4</v>
      </c>
      <c r="J84">
        <f>SUMIF(DATA!$A:$A,PPL!$A84,DATA!H:H)</f>
        <v>0</v>
      </c>
      <c r="K84">
        <f>SUMIF(DATA!$A:$A,PPL!$A84,DATA!I:I)</f>
        <v>20</v>
      </c>
      <c r="L84">
        <f>SUMIF(DATA!$A:$A,PPL!$A84,DATA!J:J)</f>
        <v>0</v>
      </c>
      <c r="M84">
        <f t="shared" si="2"/>
        <v>316</v>
      </c>
      <c r="N84" s="3">
        <f t="shared" si="3"/>
        <v>47.164179104477611</v>
      </c>
      <c r="O84">
        <f ca="1">CEILING(VLOOKUP(TODAY(),TARGET!A:C,3,0)*E84/100,1)</f>
        <v>436</v>
      </c>
    </row>
    <row r="85" spans="1:15" x14ac:dyDescent="0.25">
      <c r="A85" t="s">
        <v>92</v>
      </c>
      <c r="B85" t="s">
        <v>329</v>
      </c>
      <c r="C85" t="s">
        <v>175</v>
      </c>
      <c r="D85" t="str">
        <f>VLOOKUP(C85,PML!A:B,2,0)</f>
        <v>Alan</v>
      </c>
      <c r="E85">
        <f>SUMIF(DATA!$A:$A,PPL!$A85,DATA!C:C)</f>
        <v>644</v>
      </c>
      <c r="F85">
        <f>SUMIF(DATA!$A:$A,PPL!$A85,DATA!D:D)</f>
        <v>337</v>
      </c>
      <c r="G85">
        <f>SUMIF(DATA!$A:$A,PPL!$A85,DATA!E:E)</f>
        <v>28</v>
      </c>
      <c r="H85">
        <f>SUMIF(DATA!$A:$A,PPL!$A85,DATA!F:F)</f>
        <v>238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41</v>
      </c>
      <c r="L85">
        <f>SUMIF(DATA!$A:$A,PPL!$A85,DATA!J:J)</f>
        <v>0</v>
      </c>
      <c r="M85">
        <f t="shared" si="2"/>
        <v>378</v>
      </c>
      <c r="N85" s="3">
        <f t="shared" si="3"/>
        <v>58.695652173913047</v>
      </c>
      <c r="O85">
        <f ca="1">CEILING(VLOOKUP(TODAY(),TARGET!A:C,3,0)*E85/100,1)</f>
        <v>419</v>
      </c>
    </row>
    <row r="86" spans="1:15" x14ac:dyDescent="0.25">
      <c r="A86" t="s">
        <v>93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640</v>
      </c>
      <c r="F86">
        <f>SUMIF(DATA!$A:$A,PPL!$A86,DATA!D:D)</f>
        <v>303</v>
      </c>
      <c r="G86">
        <f>SUMIF(DATA!$A:$A,PPL!$A86,DATA!E:E)</f>
        <v>37</v>
      </c>
      <c r="H86">
        <f>SUMIF(DATA!$A:$A,PPL!$A86,DATA!F:F)</f>
        <v>275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25</v>
      </c>
      <c r="L86">
        <f>SUMIF(DATA!$A:$A,PPL!$A86,DATA!J:J)</f>
        <v>0</v>
      </c>
      <c r="M86">
        <f t="shared" si="2"/>
        <v>328</v>
      </c>
      <c r="N86" s="3">
        <f t="shared" si="3"/>
        <v>51.249999999999993</v>
      </c>
      <c r="O86">
        <f ca="1">CEILING(VLOOKUP(TODAY(),TARGET!A:C,3,0)*E86/100,1)</f>
        <v>417</v>
      </c>
    </row>
    <row r="87" spans="1:15" x14ac:dyDescent="0.25">
      <c r="A87" t="s">
        <v>94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586</v>
      </c>
      <c r="F87">
        <f>SUMIF(DATA!$A:$A,PPL!$A87,DATA!D:D)</f>
        <v>242</v>
      </c>
      <c r="G87">
        <f>SUMIF(DATA!$A:$A,PPL!$A87,DATA!E:E)</f>
        <v>53</v>
      </c>
      <c r="H87">
        <f>SUMIF(DATA!$A:$A,PPL!$A87,DATA!F:F)</f>
        <v>278</v>
      </c>
      <c r="I87">
        <f>SUMIF(DATA!$A:$A,PPL!$A87,DATA!G:G)</f>
        <v>3</v>
      </c>
      <c r="J87">
        <f>SUMIF(DATA!$A:$A,PPL!$A87,DATA!H:H)</f>
        <v>0</v>
      </c>
      <c r="K87">
        <f>SUMIF(DATA!$A:$A,PPL!$A87,DATA!I:I)</f>
        <v>10</v>
      </c>
      <c r="L87">
        <f>SUMIF(DATA!$A:$A,PPL!$A87,DATA!J:J)</f>
        <v>0</v>
      </c>
      <c r="M87">
        <f t="shared" si="2"/>
        <v>255</v>
      </c>
      <c r="N87" s="3">
        <f t="shared" si="3"/>
        <v>43.515358361774744</v>
      </c>
      <c r="O87">
        <f ca="1">CEILING(VLOOKUP(TODAY(),TARGET!A:C,3,0)*E87/100,1)</f>
        <v>381</v>
      </c>
    </row>
    <row r="88" spans="1:15" x14ac:dyDescent="0.25">
      <c r="A88" t="s">
        <v>95</v>
      </c>
      <c r="B88" t="s">
        <v>332</v>
      </c>
      <c r="C88" t="s">
        <v>173</v>
      </c>
      <c r="D88" t="str">
        <f>VLOOKUP(C88,PML!A:B,2,0)</f>
        <v>Uneth</v>
      </c>
      <c r="E88">
        <f>SUMIF(DATA!$A:$A,PPL!$A88,DATA!C:C)</f>
        <v>636</v>
      </c>
      <c r="F88">
        <f>SUMIF(DATA!$A:$A,PPL!$A88,DATA!D:D)</f>
        <v>352</v>
      </c>
      <c r="G88">
        <f>SUMIF(DATA!$A:$A,PPL!$A88,DATA!E:E)</f>
        <v>2</v>
      </c>
      <c r="H88">
        <f>SUMIF(DATA!$A:$A,PPL!$A88,DATA!F:F)</f>
        <v>244</v>
      </c>
      <c r="I88">
        <f>SUMIF(DATA!$A:$A,PPL!$A88,DATA!G:G)</f>
        <v>11</v>
      </c>
      <c r="J88">
        <f>SUMIF(DATA!$A:$A,PPL!$A88,DATA!H:H)</f>
        <v>1</v>
      </c>
      <c r="K88">
        <f>SUMIF(DATA!$A:$A,PPL!$A88,DATA!I:I)</f>
        <v>26</v>
      </c>
      <c r="L88">
        <f>SUMIF(DATA!$A:$A,PPL!$A88,DATA!J:J)</f>
        <v>0</v>
      </c>
      <c r="M88">
        <f t="shared" si="2"/>
        <v>390</v>
      </c>
      <c r="N88" s="3">
        <f t="shared" si="3"/>
        <v>61.320754716981128</v>
      </c>
      <c r="O88">
        <f ca="1">CEILING(VLOOKUP(TODAY(),TARGET!A:C,3,0)*E88/100,1)</f>
        <v>414</v>
      </c>
    </row>
    <row r="89" spans="1:15" x14ac:dyDescent="0.25">
      <c r="A89" t="s">
        <v>96</v>
      </c>
      <c r="B89" t="s">
        <v>333</v>
      </c>
      <c r="C89" t="s">
        <v>175</v>
      </c>
      <c r="D89" t="str">
        <f>VLOOKUP(C89,PML!A:B,2,0)</f>
        <v>Alan</v>
      </c>
      <c r="E89">
        <f>SUMIF(DATA!$A:$A,PPL!$A89,DATA!C:C)</f>
        <v>636</v>
      </c>
      <c r="F89">
        <f>SUMIF(DATA!$A:$A,PPL!$A89,DATA!D:D)</f>
        <v>196</v>
      </c>
      <c r="G89">
        <f>SUMIF(DATA!$A:$A,PPL!$A89,DATA!E:E)</f>
        <v>117</v>
      </c>
      <c r="H89">
        <f>SUMIF(DATA!$A:$A,PPL!$A89,DATA!F:F)</f>
        <v>247</v>
      </c>
      <c r="I89">
        <f>SUMIF(DATA!$A:$A,PPL!$A89,DATA!G:G)</f>
        <v>42</v>
      </c>
      <c r="J89">
        <f>SUMIF(DATA!$A:$A,PPL!$A89,DATA!H:H)</f>
        <v>5</v>
      </c>
      <c r="K89">
        <f>SUMIF(DATA!$A:$A,PPL!$A89,DATA!I:I)</f>
        <v>29</v>
      </c>
      <c r="L89">
        <f>SUMIF(DATA!$A:$A,PPL!$A89,DATA!J:J)</f>
        <v>0</v>
      </c>
      <c r="M89">
        <f t="shared" si="2"/>
        <v>272</v>
      </c>
      <c r="N89" s="3">
        <f t="shared" si="3"/>
        <v>42.767295597484278</v>
      </c>
      <c r="O89">
        <f ca="1">CEILING(VLOOKUP(TODAY(),TARGET!A:C,3,0)*E89/100,1)</f>
        <v>414</v>
      </c>
    </row>
    <row r="90" spans="1:15" x14ac:dyDescent="0.25">
      <c r="A90" t="s">
        <v>97</v>
      </c>
      <c r="B90" t="s">
        <v>334</v>
      </c>
      <c r="C90" t="s">
        <v>175</v>
      </c>
      <c r="D90" t="str">
        <f>VLOOKUP(C90,PML!A:B,2,0)</f>
        <v>Alan</v>
      </c>
      <c r="E90">
        <f>SUMIF(DATA!$A:$A,PPL!$A90,DATA!C:C)</f>
        <v>633</v>
      </c>
      <c r="F90">
        <f>SUMIF(DATA!$A:$A,PPL!$A90,DATA!D:D)</f>
        <v>219</v>
      </c>
      <c r="G90">
        <f>SUMIF(DATA!$A:$A,PPL!$A90,DATA!E:E)</f>
        <v>2</v>
      </c>
      <c r="H90">
        <f>SUMIF(DATA!$A:$A,PPL!$A90,DATA!F:F)</f>
        <v>328</v>
      </c>
      <c r="I90">
        <f>SUMIF(DATA!$A:$A,PPL!$A90,DATA!G:G)</f>
        <v>13</v>
      </c>
      <c r="J90">
        <f>SUMIF(DATA!$A:$A,PPL!$A90,DATA!H:H)</f>
        <v>0</v>
      </c>
      <c r="K90">
        <f>SUMIF(DATA!$A:$A,PPL!$A90,DATA!I:I)</f>
        <v>71</v>
      </c>
      <c r="L90">
        <f>SUMIF(DATA!$A:$A,PPL!$A90,DATA!J:J)</f>
        <v>0</v>
      </c>
      <c r="M90">
        <f t="shared" si="2"/>
        <v>303</v>
      </c>
      <c r="N90" s="3">
        <f t="shared" si="3"/>
        <v>47.867298578199055</v>
      </c>
      <c r="O90">
        <f ca="1">CEILING(VLOOKUP(TODAY(),TARGET!A:C,3,0)*E90/100,1)</f>
        <v>412</v>
      </c>
    </row>
    <row r="91" spans="1:15" x14ac:dyDescent="0.25">
      <c r="A91" t="s">
        <v>98</v>
      </c>
      <c r="B91" t="s">
        <v>335</v>
      </c>
      <c r="C91" t="s">
        <v>174</v>
      </c>
      <c r="D91" t="str">
        <f>VLOOKUP(C91,PML!A:B,2,0)</f>
        <v>Aji</v>
      </c>
      <c r="E91">
        <f>SUMIF(DATA!$A:$A,PPL!$A91,DATA!C:C)</f>
        <v>630</v>
      </c>
      <c r="F91">
        <f>SUMIF(DATA!$A:$A,PPL!$A91,DATA!D:D)</f>
        <v>319</v>
      </c>
      <c r="G91">
        <f>SUMIF(DATA!$A:$A,PPL!$A91,DATA!E:E)</f>
        <v>44</v>
      </c>
      <c r="H91">
        <f>SUMIF(DATA!$A:$A,PPL!$A91,DATA!F:F)</f>
        <v>250</v>
      </c>
      <c r="I91">
        <f>SUMIF(DATA!$A:$A,PPL!$A91,DATA!G:G)</f>
        <v>3</v>
      </c>
      <c r="J91">
        <f>SUMIF(DATA!$A:$A,PPL!$A91,DATA!H:H)</f>
        <v>1</v>
      </c>
      <c r="K91">
        <f>SUMIF(DATA!$A:$A,PPL!$A91,DATA!I:I)</f>
        <v>13</v>
      </c>
      <c r="L91">
        <f>SUMIF(DATA!$A:$A,PPL!$A91,DATA!J:J)</f>
        <v>0</v>
      </c>
      <c r="M91">
        <f t="shared" si="2"/>
        <v>336</v>
      </c>
      <c r="N91" s="3">
        <f t="shared" si="3"/>
        <v>53.333333333333336</v>
      </c>
      <c r="O91">
        <f ca="1">CEILING(VLOOKUP(TODAY(),TARGET!A:C,3,0)*E91/100,1)</f>
        <v>410</v>
      </c>
    </row>
    <row r="92" spans="1:15" x14ac:dyDescent="0.25">
      <c r="A92" t="s">
        <v>99</v>
      </c>
      <c r="B92" t="s">
        <v>336</v>
      </c>
      <c r="C92" t="s">
        <v>174</v>
      </c>
      <c r="D92" t="str">
        <f>VLOOKUP(C92,PML!A:B,2,0)</f>
        <v>Aji</v>
      </c>
      <c r="E92">
        <f>SUMIF(DATA!$A:$A,PPL!$A92,DATA!C:C)</f>
        <v>658</v>
      </c>
      <c r="F92">
        <f>SUMIF(DATA!$A:$A,PPL!$A92,DATA!D:D)</f>
        <v>282</v>
      </c>
      <c r="G92">
        <f>SUMIF(DATA!$A:$A,PPL!$A92,DATA!E:E)</f>
        <v>47</v>
      </c>
      <c r="H92">
        <f>SUMIF(DATA!$A:$A,PPL!$A92,DATA!F:F)</f>
        <v>263</v>
      </c>
      <c r="I92">
        <f>SUMIF(DATA!$A:$A,PPL!$A92,DATA!G:G)</f>
        <v>5</v>
      </c>
      <c r="J92">
        <f>SUMIF(DATA!$A:$A,PPL!$A92,DATA!H:H)</f>
        <v>1</v>
      </c>
      <c r="K92">
        <f>SUMIF(DATA!$A:$A,PPL!$A92,DATA!I:I)</f>
        <v>60</v>
      </c>
      <c r="L92">
        <f>SUMIF(DATA!$A:$A,PPL!$A92,DATA!J:J)</f>
        <v>0</v>
      </c>
      <c r="M92">
        <f t="shared" si="2"/>
        <v>348</v>
      </c>
      <c r="N92" s="3">
        <f t="shared" si="3"/>
        <v>52.887537993920972</v>
      </c>
      <c r="O92">
        <f ca="1">CEILING(VLOOKUP(TODAY(),TARGET!A:C,3,0)*E92/100,1)</f>
        <v>428</v>
      </c>
    </row>
    <row r="93" spans="1:15" x14ac:dyDescent="0.25">
      <c r="A93" t="s">
        <v>100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580</v>
      </c>
      <c r="F93">
        <f>SUMIF(DATA!$A:$A,PPL!$A93,DATA!D:D)</f>
        <v>231</v>
      </c>
      <c r="G93">
        <f>SUMIF(DATA!$A:$A,PPL!$A93,DATA!E:E)</f>
        <v>28</v>
      </c>
      <c r="H93">
        <f>SUMIF(DATA!$A:$A,PPL!$A93,DATA!F:F)</f>
        <v>279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42</v>
      </c>
      <c r="L93">
        <f>SUMIF(DATA!$A:$A,PPL!$A93,DATA!J:J)</f>
        <v>0</v>
      </c>
      <c r="M93">
        <f t="shared" si="2"/>
        <v>273</v>
      </c>
      <c r="N93" s="3">
        <f t="shared" si="3"/>
        <v>47.068965517241381</v>
      </c>
      <c r="O93">
        <f ca="1">CEILING(VLOOKUP(TODAY(),TARGET!A:C,3,0)*E93/100,1)</f>
        <v>378</v>
      </c>
    </row>
    <row r="94" spans="1:15" x14ac:dyDescent="0.25">
      <c r="A94" t="s">
        <v>101</v>
      </c>
      <c r="B94" t="s">
        <v>338</v>
      </c>
      <c r="C94" t="s">
        <v>175</v>
      </c>
      <c r="D94" t="str">
        <f>VLOOKUP(C94,PML!A:B,2,0)</f>
        <v>Alan</v>
      </c>
      <c r="E94">
        <f>SUMIF(DATA!$A:$A,PPL!$A94,DATA!C:C)</f>
        <v>633</v>
      </c>
      <c r="F94">
        <f>SUMIF(DATA!$A:$A,PPL!$A94,DATA!D:D)</f>
        <v>264</v>
      </c>
      <c r="G94">
        <f>SUMIF(DATA!$A:$A,PPL!$A94,DATA!E:E)</f>
        <v>0</v>
      </c>
      <c r="H94">
        <f>SUMIF(DATA!$A:$A,PPL!$A94,DATA!F:F)</f>
        <v>296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73</v>
      </c>
      <c r="L94">
        <f>SUMIF(DATA!$A:$A,PPL!$A94,DATA!J:J)</f>
        <v>0</v>
      </c>
      <c r="M94">
        <f t="shared" si="2"/>
        <v>337</v>
      </c>
      <c r="N94" s="3">
        <f t="shared" si="3"/>
        <v>53.238546603475513</v>
      </c>
      <c r="O94">
        <f ca="1">CEILING(VLOOKUP(TODAY(),TARGET!A:C,3,0)*E94/100,1)</f>
        <v>412</v>
      </c>
    </row>
    <row r="95" spans="1:15" x14ac:dyDescent="0.25">
      <c r="A95" t="s">
        <v>102</v>
      </c>
      <c r="B95" t="s">
        <v>339</v>
      </c>
      <c r="C95" t="s">
        <v>175</v>
      </c>
      <c r="D95" t="str">
        <f>VLOOKUP(C95,PML!A:B,2,0)</f>
        <v>Alan</v>
      </c>
      <c r="E95">
        <f>SUMIF(DATA!$A:$A,PPL!$A95,DATA!C:C)</f>
        <v>658</v>
      </c>
      <c r="F95">
        <f>SUMIF(DATA!$A:$A,PPL!$A95,DATA!D:D)</f>
        <v>260</v>
      </c>
      <c r="G95">
        <f>SUMIF(DATA!$A:$A,PPL!$A95,DATA!E:E)</f>
        <v>30</v>
      </c>
      <c r="H95">
        <f>SUMIF(DATA!$A:$A,PPL!$A95,DATA!F:F)</f>
        <v>297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71</v>
      </c>
      <c r="L95">
        <f>SUMIF(DATA!$A:$A,PPL!$A95,DATA!J:J)</f>
        <v>0</v>
      </c>
      <c r="M95">
        <f t="shared" si="2"/>
        <v>331</v>
      </c>
      <c r="N95" s="3">
        <f t="shared" si="3"/>
        <v>50.303951367781153</v>
      </c>
      <c r="O95">
        <f ca="1">CEILING(VLOOKUP(TODAY(),TARGET!A:C,3,0)*E95/100,1)</f>
        <v>428</v>
      </c>
    </row>
    <row r="96" spans="1:15" x14ac:dyDescent="0.25">
      <c r="A96" t="s">
        <v>103</v>
      </c>
      <c r="B96" t="s">
        <v>340</v>
      </c>
      <c r="C96" t="s">
        <v>173</v>
      </c>
      <c r="D96" t="str">
        <f>VLOOKUP(C96,PML!A:B,2,0)</f>
        <v>Uneth</v>
      </c>
      <c r="E96">
        <f>SUMIF(DATA!$A:$A,PPL!$A96,DATA!C:C)</f>
        <v>672</v>
      </c>
      <c r="F96">
        <f>SUMIF(DATA!$A:$A,PPL!$A96,DATA!D:D)</f>
        <v>465</v>
      </c>
      <c r="G96">
        <f>SUMIF(DATA!$A:$A,PPL!$A96,DATA!E:E)</f>
        <v>6</v>
      </c>
      <c r="H96">
        <f>SUMIF(DATA!$A:$A,PPL!$A96,DATA!F:F)</f>
        <v>193</v>
      </c>
      <c r="I96">
        <f>SUMIF(DATA!$A:$A,PPL!$A96,DATA!G:G)</f>
        <v>1</v>
      </c>
      <c r="J96">
        <f>SUMIF(DATA!$A:$A,PPL!$A96,DATA!H:H)</f>
        <v>1</v>
      </c>
      <c r="K96">
        <f>SUMIF(DATA!$A:$A,PPL!$A96,DATA!I:I)</f>
        <v>6</v>
      </c>
      <c r="L96">
        <f>SUMIF(DATA!$A:$A,PPL!$A96,DATA!J:J)</f>
        <v>0</v>
      </c>
      <c r="M96">
        <f t="shared" si="2"/>
        <v>473</v>
      </c>
      <c r="N96" s="3">
        <f t="shared" si="3"/>
        <v>70.386904761904773</v>
      </c>
      <c r="O96">
        <f ca="1">CEILING(VLOOKUP(TODAY(),TARGET!A:C,3,0)*E96/100,1)</f>
        <v>437</v>
      </c>
    </row>
    <row r="97" spans="1:15" x14ac:dyDescent="0.25">
      <c r="A97" t="s">
        <v>104</v>
      </c>
      <c r="B97" t="s">
        <v>341</v>
      </c>
      <c r="C97" t="s">
        <v>173</v>
      </c>
      <c r="D97" t="str">
        <f>VLOOKUP(C97,PML!A:B,2,0)</f>
        <v>Uneth</v>
      </c>
      <c r="E97">
        <f>SUMIF(DATA!$A:$A,PPL!$A97,DATA!C:C)</f>
        <v>735</v>
      </c>
      <c r="F97">
        <f>SUMIF(DATA!$A:$A,PPL!$A97,DATA!D:D)</f>
        <v>336</v>
      </c>
      <c r="G97">
        <f>SUMIF(DATA!$A:$A,PPL!$A97,DATA!E:E)</f>
        <v>25</v>
      </c>
      <c r="H97">
        <f>SUMIF(DATA!$A:$A,PPL!$A97,DATA!F:F)</f>
        <v>272</v>
      </c>
      <c r="I97">
        <f>SUMIF(DATA!$A:$A,PPL!$A97,DATA!G:G)</f>
        <v>0</v>
      </c>
      <c r="J97">
        <f>SUMIF(DATA!$A:$A,PPL!$A97,DATA!H:H)</f>
        <v>1</v>
      </c>
      <c r="K97">
        <f>SUMIF(DATA!$A:$A,PPL!$A97,DATA!I:I)</f>
        <v>101</v>
      </c>
      <c r="L97">
        <f>SUMIF(DATA!$A:$A,PPL!$A97,DATA!J:J)</f>
        <v>0</v>
      </c>
      <c r="M97">
        <f t="shared" si="2"/>
        <v>438</v>
      </c>
      <c r="N97" s="3">
        <f t="shared" si="3"/>
        <v>59.591836734693885</v>
      </c>
      <c r="O97">
        <f ca="1">CEILING(VLOOKUP(TODAY(),TARGET!A:C,3,0)*E97/100,1)</f>
        <v>478</v>
      </c>
    </row>
    <row r="98" spans="1:15" x14ac:dyDescent="0.25">
      <c r="A98" t="s">
        <v>105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478</v>
      </c>
      <c r="F98">
        <f>SUMIF(DATA!$A:$A,PPL!$A98,DATA!D:D)</f>
        <v>211</v>
      </c>
      <c r="G98">
        <f>SUMIF(DATA!$A:$A,PPL!$A98,DATA!E:E)</f>
        <v>29</v>
      </c>
      <c r="H98">
        <f>SUMIF(DATA!$A:$A,PPL!$A98,DATA!F:F)</f>
        <v>174</v>
      </c>
      <c r="I98">
        <f>SUMIF(DATA!$A:$A,PPL!$A98,DATA!G:G)</f>
        <v>2</v>
      </c>
      <c r="J98">
        <f>SUMIF(DATA!$A:$A,PPL!$A98,DATA!H:H)</f>
        <v>0</v>
      </c>
      <c r="K98">
        <f>SUMIF(DATA!$A:$A,PPL!$A98,DATA!I:I)</f>
        <v>62</v>
      </c>
      <c r="L98">
        <f>SUMIF(DATA!$A:$A,PPL!$A98,DATA!J:J)</f>
        <v>0</v>
      </c>
      <c r="M98">
        <f t="shared" si="2"/>
        <v>275</v>
      </c>
      <c r="N98" s="3">
        <f t="shared" si="3"/>
        <v>57.531380753138073</v>
      </c>
      <c r="O98">
        <f ca="1">CEILING(VLOOKUP(TODAY(),TARGET!A:C,3,0)*E98/100,1)</f>
        <v>311</v>
      </c>
    </row>
    <row r="99" spans="1:15" x14ac:dyDescent="0.25">
      <c r="A99" t="s">
        <v>106</v>
      </c>
      <c r="B99" t="s">
        <v>343</v>
      </c>
      <c r="C99" t="s">
        <v>174</v>
      </c>
      <c r="D99" t="str">
        <f>VLOOKUP(C99,PML!A:B,2,0)</f>
        <v>Aji</v>
      </c>
      <c r="E99">
        <f>SUMIF(DATA!$A:$A,PPL!$A99,DATA!C:C)</f>
        <v>602</v>
      </c>
      <c r="F99">
        <f>SUMIF(DATA!$A:$A,PPL!$A99,DATA!D:D)</f>
        <v>275</v>
      </c>
      <c r="G99">
        <f>SUMIF(DATA!$A:$A,PPL!$A99,DATA!E:E)</f>
        <v>19</v>
      </c>
      <c r="H99">
        <f>SUMIF(DATA!$A:$A,PPL!$A99,DATA!F:F)</f>
        <v>252</v>
      </c>
      <c r="I99">
        <f>SUMIF(DATA!$A:$A,PPL!$A99,DATA!G:G)</f>
        <v>2</v>
      </c>
      <c r="J99">
        <f>SUMIF(DATA!$A:$A,PPL!$A99,DATA!H:H)</f>
        <v>0</v>
      </c>
      <c r="K99">
        <f>SUMIF(DATA!$A:$A,PPL!$A99,DATA!I:I)</f>
        <v>54</v>
      </c>
      <c r="L99">
        <f>SUMIF(DATA!$A:$A,PPL!$A99,DATA!J:J)</f>
        <v>0</v>
      </c>
      <c r="M99">
        <f t="shared" si="2"/>
        <v>331</v>
      </c>
      <c r="N99" s="3">
        <f t="shared" si="3"/>
        <v>54.983388704318934</v>
      </c>
      <c r="O99">
        <f ca="1">CEILING(VLOOKUP(TODAY(),TARGET!A:C,3,0)*E99/100,1)</f>
        <v>392</v>
      </c>
    </row>
    <row r="100" spans="1:15" x14ac:dyDescent="0.25">
      <c r="A100" t="s">
        <v>107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568</v>
      </c>
      <c r="F100">
        <f>SUMIF(DATA!$A:$A,PPL!$A100,DATA!D:D)</f>
        <v>259</v>
      </c>
      <c r="G100">
        <f>SUMIF(DATA!$A:$A,PPL!$A100,DATA!E:E)</f>
        <v>16</v>
      </c>
      <c r="H100">
        <f>SUMIF(DATA!$A:$A,PPL!$A100,DATA!F:F)</f>
        <v>279</v>
      </c>
      <c r="I100">
        <f>SUMIF(DATA!$A:$A,PPL!$A100,DATA!G:G)</f>
        <v>2</v>
      </c>
      <c r="J100">
        <f>SUMIF(DATA!$A:$A,PPL!$A100,DATA!H:H)</f>
        <v>0</v>
      </c>
      <c r="K100">
        <f>SUMIF(DATA!$A:$A,PPL!$A100,DATA!I:I)</f>
        <v>12</v>
      </c>
      <c r="L100">
        <f>SUMIF(DATA!$A:$A,PPL!$A100,DATA!J:J)</f>
        <v>0</v>
      </c>
      <c r="M100">
        <f t="shared" si="2"/>
        <v>273</v>
      </c>
      <c r="N100" s="3">
        <f t="shared" si="3"/>
        <v>48.063380281690144</v>
      </c>
      <c r="O100">
        <f ca="1">CEILING(VLOOKUP(TODAY(),TARGET!A:C,3,0)*E100/100,1)</f>
        <v>370</v>
      </c>
    </row>
    <row r="101" spans="1:15" x14ac:dyDescent="0.25">
      <c r="A101" t="s">
        <v>108</v>
      </c>
      <c r="B101" t="s">
        <v>345</v>
      </c>
      <c r="C101" t="s">
        <v>174</v>
      </c>
      <c r="D101" t="str">
        <f>VLOOKUP(C101,PML!A:B,2,0)</f>
        <v>Aji</v>
      </c>
      <c r="E101">
        <f>SUMIF(DATA!$A:$A,PPL!$A101,DATA!C:C)</f>
        <v>722</v>
      </c>
      <c r="F101">
        <f>SUMIF(DATA!$A:$A,PPL!$A101,DATA!D:D)</f>
        <v>269</v>
      </c>
      <c r="G101">
        <f>SUMIF(DATA!$A:$A,PPL!$A101,DATA!E:E)</f>
        <v>41</v>
      </c>
      <c r="H101">
        <f>SUMIF(DATA!$A:$A,PPL!$A101,DATA!F:F)</f>
        <v>317</v>
      </c>
      <c r="I101">
        <f>SUMIF(DATA!$A:$A,PPL!$A101,DATA!G:G)</f>
        <v>0</v>
      </c>
      <c r="J101">
        <f>SUMIF(DATA!$A:$A,PPL!$A101,DATA!H:H)</f>
        <v>1</v>
      </c>
      <c r="K101">
        <f>SUMIF(DATA!$A:$A,PPL!$A101,DATA!I:I)</f>
        <v>94</v>
      </c>
      <c r="L101">
        <f>SUMIF(DATA!$A:$A,PPL!$A101,DATA!J:J)</f>
        <v>0</v>
      </c>
      <c r="M101">
        <f t="shared" si="2"/>
        <v>364</v>
      </c>
      <c r="N101" s="3">
        <f t="shared" si="3"/>
        <v>50.415512465373958</v>
      </c>
      <c r="O101">
        <f ca="1">CEILING(VLOOKUP(TODAY(),TARGET!A:C,3,0)*E101/100,1)</f>
        <v>470</v>
      </c>
    </row>
    <row r="102" spans="1:15" x14ac:dyDescent="0.25">
      <c r="A102" t="s">
        <v>109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701</v>
      </c>
      <c r="F102">
        <f>SUMIF(DATA!$A:$A,PPL!$A102,DATA!D:D)</f>
        <v>431</v>
      </c>
      <c r="G102">
        <f>SUMIF(DATA!$A:$A,PPL!$A102,DATA!E:E)</f>
        <v>79</v>
      </c>
      <c r="H102">
        <f>SUMIF(DATA!$A:$A,PPL!$A102,DATA!F:F)</f>
        <v>184</v>
      </c>
      <c r="I102">
        <f>SUMIF(DATA!$A:$A,PPL!$A102,DATA!G:G)</f>
        <v>1</v>
      </c>
      <c r="J102">
        <f>SUMIF(DATA!$A:$A,PPL!$A102,DATA!H:H)</f>
        <v>0</v>
      </c>
      <c r="K102">
        <f>SUMIF(DATA!$A:$A,PPL!$A102,DATA!I:I)</f>
        <v>6</v>
      </c>
      <c r="L102">
        <f>SUMIF(DATA!$A:$A,PPL!$A102,DATA!J:J)</f>
        <v>0</v>
      </c>
      <c r="M102">
        <f t="shared" si="2"/>
        <v>438</v>
      </c>
      <c r="N102" s="3">
        <f t="shared" si="3"/>
        <v>62.48216833095578</v>
      </c>
      <c r="O102">
        <f ca="1">CEILING(VLOOKUP(TODAY(),TARGET!A:C,3,0)*E102/100,1)</f>
        <v>456</v>
      </c>
    </row>
    <row r="103" spans="1:15" x14ac:dyDescent="0.25">
      <c r="A103" t="s">
        <v>110</v>
      </c>
      <c r="B103" t="s">
        <v>347</v>
      </c>
      <c r="C103" t="s">
        <v>176</v>
      </c>
      <c r="D103" t="str">
        <f>VLOOKUP(C103,PML!A:B,2,0)</f>
        <v>Gabe</v>
      </c>
      <c r="E103">
        <f>SUMIF(DATA!$A:$A,PPL!$A103,DATA!C:C)</f>
        <v>669</v>
      </c>
      <c r="F103">
        <f>SUMIF(DATA!$A:$A,PPL!$A103,DATA!D:D)</f>
        <v>599</v>
      </c>
      <c r="G103">
        <f>SUMIF(DATA!$A:$A,PPL!$A103,DATA!E:E)</f>
        <v>20</v>
      </c>
      <c r="H103">
        <f>SUMIF(DATA!$A:$A,PPL!$A103,DATA!F:F)</f>
        <v>13</v>
      </c>
      <c r="I103">
        <f>SUMIF(DATA!$A:$A,PPL!$A103,DATA!G:G)</f>
        <v>4</v>
      </c>
      <c r="J103">
        <f>SUMIF(DATA!$A:$A,PPL!$A103,DATA!H:H)</f>
        <v>0</v>
      </c>
      <c r="K103">
        <f>SUMIF(DATA!$A:$A,PPL!$A103,DATA!I:I)</f>
        <v>33</v>
      </c>
      <c r="L103">
        <f>SUMIF(DATA!$A:$A,PPL!$A103,DATA!J:J)</f>
        <v>0</v>
      </c>
      <c r="M103">
        <f t="shared" si="2"/>
        <v>636</v>
      </c>
      <c r="N103" s="3">
        <f t="shared" si="3"/>
        <v>95.067264573991025</v>
      </c>
      <c r="O103">
        <f ca="1">CEILING(VLOOKUP(TODAY(),TARGET!A:C,3,0)*E103/100,1)</f>
        <v>435</v>
      </c>
    </row>
    <row r="104" spans="1:15" x14ac:dyDescent="0.25">
      <c r="A104" t="s">
        <v>111</v>
      </c>
      <c r="B104" t="s">
        <v>348</v>
      </c>
      <c r="C104" t="s">
        <v>176</v>
      </c>
      <c r="D104" t="str">
        <f>VLOOKUP(C104,PML!A:B,2,0)</f>
        <v>Gabe</v>
      </c>
      <c r="E104">
        <f>SUMIF(DATA!$A:$A,PPL!$A104,DATA!C:C)</f>
        <v>654</v>
      </c>
      <c r="F104">
        <f>SUMIF(DATA!$A:$A,PPL!$A104,DATA!D:D)</f>
        <v>268</v>
      </c>
      <c r="G104">
        <f>SUMIF(DATA!$A:$A,PPL!$A104,DATA!E:E)</f>
        <v>40</v>
      </c>
      <c r="H104">
        <f>SUMIF(DATA!$A:$A,PPL!$A104,DATA!F:F)</f>
        <v>303</v>
      </c>
      <c r="I104">
        <f>SUMIF(DATA!$A:$A,PPL!$A104,DATA!G:G)</f>
        <v>23</v>
      </c>
      <c r="J104">
        <f>SUMIF(DATA!$A:$A,PPL!$A104,DATA!H:H)</f>
        <v>0</v>
      </c>
      <c r="K104">
        <f>SUMIF(DATA!$A:$A,PPL!$A104,DATA!I:I)</f>
        <v>20</v>
      </c>
      <c r="L104">
        <f>SUMIF(DATA!$A:$A,PPL!$A104,DATA!J:J)</f>
        <v>0</v>
      </c>
      <c r="M104">
        <f t="shared" si="2"/>
        <v>311</v>
      </c>
      <c r="N104" s="3">
        <f t="shared" si="3"/>
        <v>47.553516819571868</v>
      </c>
      <c r="O104">
        <f ca="1">CEILING(VLOOKUP(TODAY(),TARGET!A:C,3,0)*E104/100,1)</f>
        <v>426</v>
      </c>
    </row>
    <row r="105" spans="1:15" x14ac:dyDescent="0.25">
      <c r="A105" t="s">
        <v>112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713</v>
      </c>
      <c r="F105">
        <f>SUMIF(DATA!$A:$A,PPL!$A105,DATA!D:D)</f>
        <v>449</v>
      </c>
      <c r="G105">
        <f>SUMIF(DATA!$A:$A,PPL!$A105,DATA!E:E)</f>
        <v>87</v>
      </c>
      <c r="H105">
        <f>SUMIF(DATA!$A:$A,PPL!$A105,DATA!F:F)</f>
        <v>177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2"/>
        <v>449</v>
      </c>
      <c r="N105" s="3">
        <f t="shared" si="3"/>
        <v>62.973352033660589</v>
      </c>
      <c r="O105">
        <f ca="1">CEILING(VLOOKUP(TODAY(),TARGET!A:C,3,0)*E105/100,1)</f>
        <v>464</v>
      </c>
    </row>
    <row r="106" spans="1:15" x14ac:dyDescent="0.25">
      <c r="A106" t="s">
        <v>113</v>
      </c>
      <c r="B106" t="s">
        <v>350</v>
      </c>
      <c r="C106" t="s">
        <v>177</v>
      </c>
      <c r="D106" t="str">
        <f>VLOOKUP(C106,PML!A:B,2,0)</f>
        <v>Neivrid</v>
      </c>
      <c r="E106">
        <f>SUMIF(DATA!$A:$A,PPL!$A106,DATA!C:C)</f>
        <v>691</v>
      </c>
      <c r="F106">
        <f>SUMIF(DATA!$A:$A,PPL!$A106,DATA!D:D)</f>
        <v>427</v>
      </c>
      <c r="G106">
        <f>SUMIF(DATA!$A:$A,PPL!$A106,DATA!E:E)</f>
        <v>23</v>
      </c>
      <c r="H106">
        <f>SUMIF(DATA!$A:$A,PPL!$A106,DATA!F:F)</f>
        <v>239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1</v>
      </c>
      <c r="L106">
        <f>SUMIF(DATA!$A:$A,PPL!$A106,DATA!J:J)</f>
        <v>0</v>
      </c>
      <c r="M106">
        <f t="shared" si="2"/>
        <v>429</v>
      </c>
      <c r="N106" s="3">
        <f t="shared" si="3"/>
        <v>62.08393632416788</v>
      </c>
      <c r="O106">
        <f ca="1">CEILING(VLOOKUP(TODAY(),TARGET!A:C,3,0)*E106/100,1)</f>
        <v>450</v>
      </c>
    </row>
    <row r="107" spans="1:15" x14ac:dyDescent="0.25">
      <c r="A107" t="s">
        <v>114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694</v>
      </c>
      <c r="F107">
        <f>SUMIF(DATA!$A:$A,PPL!$A107,DATA!D:D)</f>
        <v>398</v>
      </c>
      <c r="G107">
        <f>SUMIF(DATA!$A:$A,PPL!$A107,DATA!E:E)</f>
        <v>11</v>
      </c>
      <c r="H107">
        <f>SUMIF(DATA!$A:$A,PPL!$A107,DATA!F:F)</f>
        <v>283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1</v>
      </c>
      <c r="L107">
        <f>SUMIF(DATA!$A:$A,PPL!$A107,DATA!J:J)</f>
        <v>0</v>
      </c>
      <c r="M107">
        <f t="shared" si="2"/>
        <v>400</v>
      </c>
      <c r="N107" s="3">
        <f t="shared" si="3"/>
        <v>57.636887608069166</v>
      </c>
      <c r="O107">
        <f ca="1">CEILING(VLOOKUP(TODAY(),TARGET!A:C,3,0)*E107/100,1)</f>
        <v>452</v>
      </c>
    </row>
    <row r="108" spans="1:15" x14ac:dyDescent="0.25">
      <c r="A108" t="s">
        <v>115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602</v>
      </c>
      <c r="F108">
        <f>SUMIF(DATA!$A:$A,PPL!$A108,DATA!D:D)</f>
        <v>370</v>
      </c>
      <c r="G108">
        <f>SUMIF(DATA!$A:$A,PPL!$A108,DATA!E:E)</f>
        <v>17</v>
      </c>
      <c r="H108">
        <f>SUMIF(DATA!$A:$A,PPL!$A108,DATA!F:F)</f>
        <v>214</v>
      </c>
      <c r="I108">
        <f>SUMIF(DATA!$A:$A,PPL!$A108,DATA!G:G)</f>
        <v>1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2"/>
        <v>371</v>
      </c>
      <c r="N108" s="3">
        <f t="shared" si="3"/>
        <v>61.627906976744185</v>
      </c>
      <c r="O108">
        <f ca="1">CEILING(VLOOKUP(TODAY(),TARGET!A:C,3,0)*E108/100,1)</f>
        <v>392</v>
      </c>
    </row>
    <row r="109" spans="1:15" x14ac:dyDescent="0.25">
      <c r="A109" t="s">
        <v>116</v>
      </c>
      <c r="B109" t="s">
        <v>353</v>
      </c>
      <c r="C109" t="s">
        <v>178</v>
      </c>
      <c r="D109" t="str">
        <f>VLOOKUP(C109,PML!A:B,2,0)</f>
        <v>Rizky</v>
      </c>
      <c r="E109">
        <f>SUMIF(DATA!$A:$A,PPL!$A109,DATA!C:C)</f>
        <v>682</v>
      </c>
      <c r="F109">
        <f>SUMIF(DATA!$A:$A,PPL!$A109,DATA!D:D)</f>
        <v>441</v>
      </c>
      <c r="G109">
        <f>SUMIF(DATA!$A:$A,PPL!$A109,DATA!E:E)</f>
        <v>39</v>
      </c>
      <c r="H109">
        <f>SUMIF(DATA!$A:$A,PPL!$A109,DATA!F:F)</f>
        <v>200</v>
      </c>
      <c r="I109">
        <f>SUMIF(DATA!$A:$A,PPL!$A109,DATA!G:G)</f>
        <v>2</v>
      </c>
      <c r="J109">
        <f>SUMIF(DATA!$A:$A,PPL!$A109,DATA!H:H)</f>
        <v>0</v>
      </c>
      <c r="K109">
        <f>SUMIF(DATA!$A:$A,PPL!$A109,DATA!I:I)</f>
        <v>0</v>
      </c>
      <c r="L109">
        <f>SUMIF(DATA!$A:$A,PPL!$A109,DATA!J:J)</f>
        <v>0</v>
      </c>
      <c r="M109">
        <f t="shared" si="2"/>
        <v>443</v>
      </c>
      <c r="N109" s="3">
        <f t="shared" si="3"/>
        <v>64.956011730205276</v>
      </c>
      <c r="O109">
        <f ca="1">CEILING(VLOOKUP(TODAY(),TARGET!A:C,3,0)*E109/100,1)</f>
        <v>444</v>
      </c>
    </row>
    <row r="110" spans="1:15" x14ac:dyDescent="0.25">
      <c r="A110" t="s">
        <v>117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637</v>
      </c>
      <c r="F110">
        <f>SUMIF(DATA!$A:$A,PPL!$A110,DATA!D:D)</f>
        <v>320</v>
      </c>
      <c r="G110">
        <f>SUMIF(DATA!$A:$A,PPL!$A110,DATA!E:E)</f>
        <v>67</v>
      </c>
      <c r="H110">
        <f>SUMIF(DATA!$A:$A,PPL!$A110,DATA!F:F)</f>
        <v>248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1</v>
      </c>
      <c r="L110">
        <f>SUMIF(DATA!$A:$A,PPL!$A110,DATA!J:J)</f>
        <v>0</v>
      </c>
      <c r="M110">
        <f t="shared" si="2"/>
        <v>322</v>
      </c>
      <c r="N110" s="3">
        <f t="shared" si="3"/>
        <v>50.549450549450547</v>
      </c>
      <c r="O110">
        <f ca="1">CEILING(VLOOKUP(TODAY(),TARGET!A:C,3,0)*E110/100,1)</f>
        <v>415</v>
      </c>
    </row>
    <row r="111" spans="1:15" x14ac:dyDescent="0.25">
      <c r="A111" t="s">
        <v>118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592</v>
      </c>
      <c r="F111">
        <f>SUMIF(DATA!$A:$A,PPL!$A111,DATA!D:D)</f>
        <v>293</v>
      </c>
      <c r="G111">
        <f>SUMIF(DATA!$A:$A,PPL!$A111,DATA!E:E)</f>
        <v>23</v>
      </c>
      <c r="H111">
        <f>SUMIF(DATA!$A:$A,PPL!$A111,DATA!F:F)</f>
        <v>272</v>
      </c>
      <c r="I111">
        <f>SUMIF(DATA!$A:$A,PPL!$A111,DATA!G:G)</f>
        <v>4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297</v>
      </c>
      <c r="N111" s="3">
        <f t="shared" si="3"/>
        <v>50.168918918918912</v>
      </c>
      <c r="O111">
        <f ca="1">CEILING(VLOOKUP(TODAY(),TARGET!A:C,3,0)*E111/100,1)</f>
        <v>385</v>
      </c>
    </row>
    <row r="112" spans="1:15" x14ac:dyDescent="0.25">
      <c r="A112" t="s">
        <v>978</v>
      </c>
      <c r="B112" t="s">
        <v>979</v>
      </c>
      <c r="C112" t="s">
        <v>178</v>
      </c>
      <c r="D112" t="str">
        <f>VLOOKUP(C112,PML!A:B,2,0)</f>
        <v>Rizky</v>
      </c>
      <c r="E112">
        <f>SUMIF(DATA!$A:$A,PPL!$A112,DATA!C:C)</f>
        <v>662</v>
      </c>
      <c r="F112">
        <f>SUMIF(DATA!$A:$A,PPL!$A112,DATA!D:D)</f>
        <v>379</v>
      </c>
      <c r="G112">
        <f>SUMIF(DATA!$A:$A,PPL!$A112,DATA!E:E)</f>
        <v>31</v>
      </c>
      <c r="H112">
        <f>SUMIF(DATA!$A:$A,PPL!$A112,DATA!F:F)</f>
        <v>251</v>
      </c>
      <c r="I112">
        <f>SUMIF(DATA!$A:$A,PPL!$A112,DATA!G:G)</f>
        <v>1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380</v>
      </c>
      <c r="N112" s="3">
        <f t="shared" si="3"/>
        <v>57.401812688821749</v>
      </c>
      <c r="O112">
        <f ca="1">CEILING(VLOOKUP(TODAY(),TARGET!A:C,3,0)*E112/100,1)</f>
        <v>431</v>
      </c>
    </row>
    <row r="113" spans="1:15" x14ac:dyDescent="0.25">
      <c r="A113" t="s">
        <v>120</v>
      </c>
      <c r="B113" t="s">
        <v>356</v>
      </c>
      <c r="C113" t="s">
        <v>176</v>
      </c>
      <c r="D113" t="str">
        <f>VLOOKUP(C113,PML!A:B,2,0)</f>
        <v>Gabe</v>
      </c>
      <c r="E113">
        <f>SUMIF(DATA!$A:$A,PPL!$A113,DATA!C:C)</f>
        <v>717</v>
      </c>
      <c r="F113">
        <f>SUMIF(DATA!$A:$A,PPL!$A113,DATA!D:D)</f>
        <v>319</v>
      </c>
      <c r="G113">
        <f>SUMIF(DATA!$A:$A,PPL!$A113,DATA!E:E)</f>
        <v>75</v>
      </c>
      <c r="H113">
        <f>SUMIF(DATA!$A:$A,PPL!$A113,DATA!F:F)</f>
        <v>317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6</v>
      </c>
      <c r="L113">
        <f>SUMIF(DATA!$A:$A,PPL!$A113,DATA!J:J)</f>
        <v>0</v>
      </c>
      <c r="M113">
        <f t="shared" si="2"/>
        <v>325</v>
      </c>
      <c r="N113" s="3">
        <f t="shared" si="3"/>
        <v>45.327754532775458</v>
      </c>
      <c r="O113">
        <f ca="1">CEILING(VLOOKUP(TODAY(),TARGET!A:C,3,0)*E113/100,1)</f>
        <v>467</v>
      </c>
    </row>
    <row r="114" spans="1:15" x14ac:dyDescent="0.25">
      <c r="A114" t="s">
        <v>121</v>
      </c>
      <c r="B114" t="s">
        <v>357</v>
      </c>
      <c r="C114" t="s">
        <v>176</v>
      </c>
      <c r="D114" t="str">
        <f>VLOOKUP(C114,PML!A:B,2,0)</f>
        <v>Gabe</v>
      </c>
      <c r="E114">
        <f>SUMIF(DATA!$A:$A,PPL!$A114,DATA!C:C)</f>
        <v>690</v>
      </c>
      <c r="F114">
        <f>SUMIF(DATA!$A:$A,PPL!$A114,DATA!D:D)</f>
        <v>358</v>
      </c>
      <c r="G114">
        <f>SUMIF(DATA!$A:$A,PPL!$A114,DATA!E:E)</f>
        <v>64</v>
      </c>
      <c r="H114">
        <f>SUMIF(DATA!$A:$A,PPL!$A114,DATA!F:F)</f>
        <v>251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17</v>
      </c>
      <c r="L114">
        <f>SUMIF(DATA!$A:$A,PPL!$A114,DATA!J:J)</f>
        <v>0</v>
      </c>
      <c r="M114">
        <f t="shared" si="2"/>
        <v>375</v>
      </c>
      <c r="N114" s="3">
        <f t="shared" si="3"/>
        <v>54.347826086956516</v>
      </c>
      <c r="O114">
        <f ca="1">CEILING(VLOOKUP(TODAY(),TARGET!A:C,3,0)*E114/100,1)</f>
        <v>449</v>
      </c>
    </row>
    <row r="115" spans="1:15" x14ac:dyDescent="0.25">
      <c r="A115" t="s">
        <v>122</v>
      </c>
      <c r="B115" t="s">
        <v>358</v>
      </c>
      <c r="C115" t="s">
        <v>176</v>
      </c>
      <c r="D115" t="str">
        <f>VLOOKUP(C115,PML!A:B,2,0)</f>
        <v>Gabe</v>
      </c>
      <c r="E115">
        <f>SUMIF(DATA!$A:$A,PPL!$A115,DATA!C:C)</f>
        <v>645</v>
      </c>
      <c r="F115">
        <f>SUMIF(DATA!$A:$A,PPL!$A115,DATA!D:D)</f>
        <v>263</v>
      </c>
      <c r="G115">
        <f>SUMIF(DATA!$A:$A,PPL!$A115,DATA!E:E)</f>
        <v>50</v>
      </c>
      <c r="H115">
        <f>SUMIF(DATA!$A:$A,PPL!$A115,DATA!F:F)</f>
        <v>287</v>
      </c>
      <c r="I115">
        <f>SUMIF(DATA!$A:$A,PPL!$A115,DATA!G:G)</f>
        <v>3</v>
      </c>
      <c r="J115">
        <f>SUMIF(DATA!$A:$A,PPL!$A115,DATA!H:H)</f>
        <v>0</v>
      </c>
      <c r="K115">
        <f>SUMIF(DATA!$A:$A,PPL!$A115,DATA!I:I)</f>
        <v>42</v>
      </c>
      <c r="L115">
        <f>SUMIF(DATA!$A:$A,PPL!$A115,DATA!J:J)</f>
        <v>0</v>
      </c>
      <c r="M115">
        <f t="shared" si="2"/>
        <v>308</v>
      </c>
      <c r="N115" s="3">
        <f t="shared" si="3"/>
        <v>47.751937984496124</v>
      </c>
      <c r="O115">
        <f ca="1">CEILING(VLOOKUP(TODAY(),TARGET!A:C,3,0)*E115/100,1)</f>
        <v>420</v>
      </c>
    </row>
    <row r="116" spans="1:15" x14ac:dyDescent="0.25">
      <c r="A116" t="s">
        <v>123</v>
      </c>
      <c r="B116" t="s">
        <v>359</v>
      </c>
      <c r="C116" t="s">
        <v>178</v>
      </c>
      <c r="D116" t="str">
        <f>VLOOKUP(C116,PML!A:B,2,0)</f>
        <v>Rizky</v>
      </c>
      <c r="E116">
        <f>SUMIF(DATA!$A:$A,PPL!$A116,DATA!C:C)</f>
        <v>663</v>
      </c>
      <c r="F116">
        <f>SUMIF(DATA!$A:$A,PPL!$A116,DATA!D:D)</f>
        <v>404</v>
      </c>
      <c r="G116">
        <f>SUMIF(DATA!$A:$A,PPL!$A116,DATA!E:E)</f>
        <v>4</v>
      </c>
      <c r="H116">
        <f>SUMIF(DATA!$A:$A,PPL!$A116,DATA!F:F)</f>
        <v>253</v>
      </c>
      <c r="I116">
        <f>SUMIF(DATA!$A:$A,PPL!$A116,DATA!G:G)</f>
        <v>2</v>
      </c>
      <c r="J116">
        <f>SUMIF(DATA!$A:$A,PPL!$A116,DATA!H:H)</f>
        <v>0</v>
      </c>
      <c r="K116">
        <f>SUMIF(DATA!$A:$A,PPL!$A116,DATA!I:I)</f>
        <v>0</v>
      </c>
      <c r="L116">
        <f>SUMIF(DATA!$A:$A,PPL!$A116,DATA!J:J)</f>
        <v>0</v>
      </c>
      <c r="M116">
        <f t="shared" si="2"/>
        <v>406</v>
      </c>
      <c r="N116" s="3">
        <f t="shared" si="3"/>
        <v>61.236802413273004</v>
      </c>
      <c r="O116">
        <f ca="1">CEILING(VLOOKUP(TODAY(),TARGET!A:C,3,0)*E116/100,1)</f>
        <v>431</v>
      </c>
    </row>
    <row r="117" spans="1:15" x14ac:dyDescent="0.25">
      <c r="A117" t="s">
        <v>124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664</v>
      </c>
      <c r="F117">
        <f>SUMIF(DATA!$A:$A,PPL!$A117,DATA!D:D)</f>
        <v>391</v>
      </c>
      <c r="G117">
        <f>SUMIF(DATA!$A:$A,PPL!$A117,DATA!E:E)</f>
        <v>75</v>
      </c>
      <c r="H117">
        <f>SUMIF(DATA!$A:$A,PPL!$A117,DATA!F:F)</f>
        <v>165</v>
      </c>
      <c r="I117">
        <f>SUMIF(DATA!$A:$A,PPL!$A117,DATA!G:G)</f>
        <v>24</v>
      </c>
      <c r="J117">
        <f>SUMIF(DATA!$A:$A,PPL!$A117,DATA!H:H)</f>
        <v>0</v>
      </c>
      <c r="K117">
        <f>SUMIF(DATA!$A:$A,PPL!$A117,DATA!I:I)</f>
        <v>9</v>
      </c>
      <c r="L117">
        <f>SUMIF(DATA!$A:$A,PPL!$A117,DATA!J:J)</f>
        <v>0</v>
      </c>
      <c r="M117">
        <f t="shared" si="2"/>
        <v>424</v>
      </c>
      <c r="N117" s="3">
        <f t="shared" si="3"/>
        <v>63.855421686746979</v>
      </c>
      <c r="O117">
        <f ca="1">CEILING(VLOOKUP(TODAY(),TARGET!A:C,3,0)*E117/100,1)</f>
        <v>432</v>
      </c>
    </row>
    <row r="118" spans="1:15" x14ac:dyDescent="0.25">
      <c r="A118" t="s">
        <v>125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782</v>
      </c>
      <c r="F118">
        <f>SUMIF(DATA!$A:$A,PPL!$A118,DATA!D:D)</f>
        <v>462</v>
      </c>
      <c r="G118">
        <f>SUMIF(DATA!$A:$A,PPL!$A118,DATA!E:E)</f>
        <v>54</v>
      </c>
      <c r="H118">
        <f>SUMIF(DATA!$A:$A,PPL!$A118,DATA!F:F)</f>
        <v>235</v>
      </c>
      <c r="I118">
        <f>SUMIF(DATA!$A:$A,PPL!$A118,DATA!G:G)</f>
        <v>7</v>
      </c>
      <c r="J118">
        <f>SUMIF(DATA!$A:$A,PPL!$A118,DATA!H:H)</f>
        <v>0</v>
      </c>
      <c r="K118">
        <f>SUMIF(DATA!$A:$A,PPL!$A118,DATA!I:I)</f>
        <v>24</v>
      </c>
      <c r="L118">
        <f>SUMIF(DATA!$A:$A,PPL!$A118,DATA!J:J)</f>
        <v>0</v>
      </c>
      <c r="M118">
        <f t="shared" si="2"/>
        <v>493</v>
      </c>
      <c r="N118" s="3">
        <f t="shared" si="3"/>
        <v>63.04347826086957</v>
      </c>
      <c r="O118">
        <f ca="1">CEILING(VLOOKUP(TODAY(),TARGET!A:C,3,0)*E118/100,1)</f>
        <v>509</v>
      </c>
    </row>
    <row r="119" spans="1:15" x14ac:dyDescent="0.25">
      <c r="A119" t="s">
        <v>126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695</v>
      </c>
      <c r="F119">
        <f>SUMIF(DATA!$A:$A,PPL!$A119,DATA!D:D)</f>
        <v>318</v>
      </c>
      <c r="G119">
        <f>SUMIF(DATA!$A:$A,PPL!$A119,DATA!E:E)</f>
        <v>35</v>
      </c>
      <c r="H119">
        <f>SUMIF(DATA!$A:$A,PPL!$A119,DATA!F:F)</f>
        <v>328</v>
      </c>
      <c r="I119">
        <f>SUMIF(DATA!$A:$A,PPL!$A119,DATA!G:G)</f>
        <v>1</v>
      </c>
      <c r="J119">
        <f>SUMIF(DATA!$A:$A,PPL!$A119,DATA!H:H)</f>
        <v>2</v>
      </c>
      <c r="K119">
        <f>SUMIF(DATA!$A:$A,PPL!$A119,DATA!I:I)</f>
        <v>11</v>
      </c>
      <c r="L119">
        <f>SUMIF(DATA!$A:$A,PPL!$A119,DATA!J:J)</f>
        <v>0</v>
      </c>
      <c r="M119">
        <f t="shared" si="2"/>
        <v>332</v>
      </c>
      <c r="N119" s="3">
        <f t="shared" si="3"/>
        <v>47.769784172661872</v>
      </c>
      <c r="O119">
        <f ca="1">CEILING(VLOOKUP(TODAY(),TARGET!A:C,3,0)*E119/100,1)</f>
        <v>452</v>
      </c>
    </row>
    <row r="120" spans="1:15" x14ac:dyDescent="0.25">
      <c r="A120" t="s">
        <v>127</v>
      </c>
      <c r="B120" t="s">
        <v>363</v>
      </c>
      <c r="C120" t="s">
        <v>177</v>
      </c>
      <c r="D120" t="str">
        <f>VLOOKUP(C120,PML!A:B,2,0)</f>
        <v>Neivrid</v>
      </c>
      <c r="E120">
        <f>SUMIF(DATA!$A:$A,PPL!$A120,DATA!C:C)</f>
        <v>643</v>
      </c>
      <c r="F120">
        <f>SUMIF(DATA!$A:$A,PPL!$A120,DATA!D:D)</f>
        <v>359</v>
      </c>
      <c r="G120">
        <f>SUMIF(DATA!$A:$A,PPL!$A120,DATA!E:E)</f>
        <v>9</v>
      </c>
      <c r="H120">
        <f>SUMIF(DATA!$A:$A,PPL!$A120,DATA!F:F)</f>
        <v>238</v>
      </c>
      <c r="I120">
        <f>SUMIF(DATA!$A:$A,PPL!$A120,DATA!G:G)</f>
        <v>21</v>
      </c>
      <c r="J120">
        <f>SUMIF(DATA!$A:$A,PPL!$A120,DATA!H:H)</f>
        <v>2</v>
      </c>
      <c r="K120">
        <f>SUMIF(DATA!$A:$A,PPL!$A120,DATA!I:I)</f>
        <v>14</v>
      </c>
      <c r="L120">
        <f>SUMIF(DATA!$A:$A,PPL!$A120,DATA!J:J)</f>
        <v>0</v>
      </c>
      <c r="M120">
        <f t="shared" si="2"/>
        <v>396</v>
      </c>
      <c r="N120" s="3">
        <f t="shared" si="3"/>
        <v>61.586314152410573</v>
      </c>
      <c r="O120">
        <f ca="1">CEILING(VLOOKUP(TODAY(),TARGET!A:C,3,0)*E120/100,1)</f>
        <v>418</v>
      </c>
    </row>
    <row r="121" spans="1:15" x14ac:dyDescent="0.25">
      <c r="A121" t="s">
        <v>128</v>
      </c>
      <c r="B121" t="s">
        <v>364</v>
      </c>
      <c r="C121" t="s">
        <v>177</v>
      </c>
      <c r="D121" t="str">
        <f>VLOOKUP(C121,PML!A:B,2,0)</f>
        <v>Neivrid</v>
      </c>
      <c r="E121">
        <f>SUMIF(DATA!$A:$A,PPL!$A121,DATA!C:C)</f>
        <v>655</v>
      </c>
      <c r="F121">
        <f>SUMIF(DATA!$A:$A,PPL!$A121,DATA!D:D)</f>
        <v>367</v>
      </c>
      <c r="G121">
        <f>SUMIF(DATA!$A:$A,PPL!$A121,DATA!E:E)</f>
        <v>33</v>
      </c>
      <c r="H121">
        <f>SUMIF(DATA!$A:$A,PPL!$A121,DATA!F:F)</f>
        <v>226</v>
      </c>
      <c r="I121">
        <f>SUMIF(DATA!$A:$A,PPL!$A121,DATA!G:G)</f>
        <v>1</v>
      </c>
      <c r="J121">
        <f>SUMIF(DATA!$A:$A,PPL!$A121,DATA!H:H)</f>
        <v>5</v>
      </c>
      <c r="K121">
        <f>SUMIF(DATA!$A:$A,PPL!$A121,DATA!I:I)</f>
        <v>23</v>
      </c>
      <c r="L121">
        <f>SUMIF(DATA!$A:$A,PPL!$A121,DATA!J:J)</f>
        <v>0</v>
      </c>
      <c r="M121">
        <f t="shared" si="2"/>
        <v>396</v>
      </c>
      <c r="N121" s="3">
        <f t="shared" si="3"/>
        <v>60.458015267175568</v>
      </c>
      <c r="O121">
        <f ca="1">CEILING(VLOOKUP(TODAY(),TARGET!A:C,3,0)*E121/100,1)</f>
        <v>426</v>
      </c>
    </row>
    <row r="122" spans="1:15" x14ac:dyDescent="0.25">
      <c r="A122" t="s">
        <v>129</v>
      </c>
      <c r="B122" t="s">
        <v>365</v>
      </c>
      <c r="C122" t="s">
        <v>177</v>
      </c>
      <c r="D122" t="str">
        <f>VLOOKUP(C122,PML!A:B,2,0)</f>
        <v>Neivrid</v>
      </c>
      <c r="E122">
        <f>SUMIF(DATA!$A:$A,PPL!$A122,DATA!C:C)</f>
        <v>637</v>
      </c>
      <c r="F122">
        <f>SUMIF(DATA!$A:$A,PPL!$A122,DATA!D:D)</f>
        <v>330</v>
      </c>
      <c r="G122">
        <f>SUMIF(DATA!$A:$A,PPL!$A122,DATA!E:E)</f>
        <v>21</v>
      </c>
      <c r="H122">
        <f>SUMIF(DATA!$A:$A,PPL!$A122,DATA!F:F)</f>
        <v>283</v>
      </c>
      <c r="I122">
        <f>SUMIF(DATA!$A:$A,PPL!$A122,DATA!G:G)</f>
        <v>2</v>
      </c>
      <c r="J122">
        <f>SUMIF(DATA!$A:$A,PPL!$A122,DATA!H:H)</f>
        <v>1</v>
      </c>
      <c r="K122">
        <f>SUMIF(DATA!$A:$A,PPL!$A122,DATA!I:I)</f>
        <v>0</v>
      </c>
      <c r="L122">
        <f>SUMIF(DATA!$A:$A,PPL!$A122,DATA!J:J)</f>
        <v>0</v>
      </c>
      <c r="M122">
        <f t="shared" si="2"/>
        <v>333</v>
      </c>
      <c r="N122" s="3">
        <f t="shared" si="3"/>
        <v>52.276295133437991</v>
      </c>
      <c r="O122">
        <f ca="1">CEILING(VLOOKUP(TODAY(),TARGET!A:C,3,0)*E122/100,1)</f>
        <v>415</v>
      </c>
    </row>
    <row r="123" spans="1:15" x14ac:dyDescent="0.25">
      <c r="A123" t="s">
        <v>130</v>
      </c>
      <c r="B123" t="s">
        <v>366</v>
      </c>
      <c r="C123" t="s">
        <v>179</v>
      </c>
      <c r="D123" t="str">
        <f>VLOOKUP(C123,PML!A:B,2,0)</f>
        <v>Saul</v>
      </c>
      <c r="E123">
        <f>SUMIF(DATA!$A:$A,PPL!$A123,DATA!C:C)</f>
        <v>631</v>
      </c>
      <c r="F123">
        <f>SUMIF(DATA!$A:$A,PPL!$A123,DATA!D:D)</f>
        <v>172</v>
      </c>
      <c r="G123">
        <f>SUMIF(DATA!$A:$A,PPL!$A123,DATA!E:E)</f>
        <v>22</v>
      </c>
      <c r="H123">
        <f>SUMIF(DATA!$A:$A,PPL!$A123,DATA!F:F)</f>
        <v>330</v>
      </c>
      <c r="I123">
        <f>SUMIF(DATA!$A:$A,PPL!$A123,DATA!G:G)</f>
        <v>10</v>
      </c>
      <c r="J123">
        <f>SUMIF(DATA!$A:$A,PPL!$A123,DATA!H:H)</f>
        <v>0</v>
      </c>
      <c r="K123">
        <f>SUMIF(DATA!$A:$A,PPL!$A123,DATA!I:I)</f>
        <v>97</v>
      </c>
      <c r="L123">
        <f>SUMIF(DATA!$A:$A,PPL!$A123,DATA!J:J)</f>
        <v>0</v>
      </c>
      <c r="M123">
        <f t="shared" si="2"/>
        <v>279</v>
      </c>
      <c r="N123" s="3">
        <f t="shared" si="3"/>
        <v>44.215530903328052</v>
      </c>
      <c r="O123">
        <f ca="1">CEILING(VLOOKUP(TODAY(),TARGET!A:C,3,0)*E123/100,1)</f>
        <v>411</v>
      </c>
    </row>
    <row r="124" spans="1:15" x14ac:dyDescent="0.25">
      <c r="A124" t="s">
        <v>131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643</v>
      </c>
      <c r="F124">
        <f>SUMIF(DATA!$A:$A,PPL!$A124,DATA!D:D)</f>
        <v>279</v>
      </c>
      <c r="G124">
        <f>SUMIF(DATA!$A:$A,PPL!$A124,DATA!E:E)</f>
        <v>6</v>
      </c>
      <c r="H124">
        <f>SUMIF(DATA!$A:$A,PPL!$A124,DATA!F:F)</f>
        <v>347</v>
      </c>
      <c r="I124">
        <f>SUMIF(DATA!$A:$A,PPL!$A124,DATA!G:G)</f>
        <v>2</v>
      </c>
      <c r="J124">
        <f>SUMIF(DATA!$A:$A,PPL!$A124,DATA!H:H)</f>
        <v>1</v>
      </c>
      <c r="K124">
        <f>SUMIF(DATA!$A:$A,PPL!$A124,DATA!I:I)</f>
        <v>8</v>
      </c>
      <c r="L124">
        <f>SUMIF(DATA!$A:$A,PPL!$A124,DATA!J:J)</f>
        <v>0</v>
      </c>
      <c r="M124">
        <f t="shared" si="2"/>
        <v>290</v>
      </c>
      <c r="N124" s="3">
        <f t="shared" si="3"/>
        <v>45.101088646967341</v>
      </c>
      <c r="O124">
        <f ca="1">CEILING(VLOOKUP(TODAY(),TARGET!A:C,3,0)*E124/100,1)</f>
        <v>418</v>
      </c>
    </row>
    <row r="125" spans="1:15" x14ac:dyDescent="0.25">
      <c r="A125" t="s">
        <v>132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653</v>
      </c>
      <c r="F125">
        <f>SUMIF(DATA!$A:$A,PPL!$A125,DATA!D:D)</f>
        <v>355</v>
      </c>
      <c r="G125">
        <f>SUMIF(DATA!$A:$A,PPL!$A125,DATA!E:E)</f>
        <v>40</v>
      </c>
      <c r="H125">
        <f>SUMIF(DATA!$A:$A,PPL!$A125,DATA!F:F)</f>
        <v>256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2</v>
      </c>
      <c r="L125">
        <f>SUMIF(DATA!$A:$A,PPL!$A125,DATA!J:J)</f>
        <v>0</v>
      </c>
      <c r="M125">
        <f t="shared" si="2"/>
        <v>357</v>
      </c>
      <c r="N125" s="3">
        <f t="shared" si="3"/>
        <v>54.670750382848389</v>
      </c>
      <c r="O125">
        <f ca="1">CEILING(VLOOKUP(TODAY(),TARGET!A:C,3,0)*E125/100,1)</f>
        <v>425</v>
      </c>
    </row>
    <row r="126" spans="1:15" x14ac:dyDescent="0.25">
      <c r="A126" t="s">
        <v>133</v>
      </c>
      <c r="B126" t="s">
        <v>369</v>
      </c>
      <c r="C126" t="s">
        <v>180</v>
      </c>
      <c r="D126" t="str">
        <f>VLOOKUP(C126,PML!A:B,2,0)</f>
        <v>Alfian</v>
      </c>
      <c r="E126">
        <f>SUMIF(DATA!$A:$A,PPL!$A126,DATA!C:C)</f>
        <v>644</v>
      </c>
      <c r="F126">
        <f>SUMIF(DATA!$A:$A,PPL!$A126,DATA!D:D)</f>
        <v>328</v>
      </c>
      <c r="G126">
        <f>SUMIF(DATA!$A:$A,PPL!$A126,DATA!E:E)</f>
        <v>2</v>
      </c>
      <c r="H126">
        <f>SUMIF(DATA!$A:$A,PPL!$A126,DATA!F:F)</f>
        <v>297</v>
      </c>
      <c r="I126">
        <f>SUMIF(DATA!$A:$A,PPL!$A126,DATA!G:G)</f>
        <v>0</v>
      </c>
      <c r="J126">
        <f>SUMIF(DATA!$A:$A,PPL!$A126,DATA!H:H)</f>
        <v>2</v>
      </c>
      <c r="K126">
        <f>SUMIF(DATA!$A:$A,PPL!$A126,DATA!I:I)</f>
        <v>14</v>
      </c>
      <c r="L126">
        <f>SUMIF(DATA!$A:$A,PPL!$A126,DATA!J:J)</f>
        <v>1</v>
      </c>
      <c r="M126">
        <f t="shared" si="2"/>
        <v>345</v>
      </c>
      <c r="N126" s="3">
        <f t="shared" si="3"/>
        <v>53.571428571428569</v>
      </c>
      <c r="O126">
        <f ca="1">CEILING(VLOOKUP(TODAY(),TARGET!A:C,3,0)*E126/100,1)</f>
        <v>419</v>
      </c>
    </row>
    <row r="127" spans="1:15" x14ac:dyDescent="0.25">
      <c r="A127" t="s">
        <v>134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653</v>
      </c>
      <c r="F127">
        <f>SUMIF(DATA!$A:$A,PPL!$A127,DATA!D:D)</f>
        <v>272</v>
      </c>
      <c r="G127">
        <f>SUMIF(DATA!$A:$A,PPL!$A127,DATA!E:E)</f>
        <v>4</v>
      </c>
      <c r="H127">
        <f>SUMIF(DATA!$A:$A,PPL!$A127,DATA!F:F)</f>
        <v>347</v>
      </c>
      <c r="I127">
        <f>SUMIF(DATA!$A:$A,PPL!$A127,DATA!G:G)</f>
        <v>1</v>
      </c>
      <c r="J127">
        <f>SUMIF(DATA!$A:$A,PPL!$A127,DATA!H:H)</f>
        <v>0</v>
      </c>
      <c r="K127">
        <f>SUMIF(DATA!$A:$A,PPL!$A127,DATA!I:I)</f>
        <v>29</v>
      </c>
      <c r="L127">
        <f>SUMIF(DATA!$A:$A,PPL!$A127,DATA!J:J)</f>
        <v>0</v>
      </c>
      <c r="M127">
        <f t="shared" si="2"/>
        <v>302</v>
      </c>
      <c r="N127" s="3">
        <f t="shared" si="3"/>
        <v>46.248085758039814</v>
      </c>
      <c r="O127">
        <f ca="1">CEILING(VLOOKUP(TODAY(),TARGET!A:C,3,0)*E127/100,1)</f>
        <v>425</v>
      </c>
    </row>
    <row r="128" spans="1:15" x14ac:dyDescent="0.25">
      <c r="A128" t="s">
        <v>136</v>
      </c>
      <c r="B128" t="s">
        <v>371</v>
      </c>
      <c r="C128" t="s">
        <v>180</v>
      </c>
      <c r="D128" t="str">
        <f>VLOOKUP(C128,PML!A:B,2,0)</f>
        <v>Alfian</v>
      </c>
      <c r="E128">
        <f>SUMIF(DATA!$A:$A,PPL!$A128,DATA!C:C)</f>
        <v>626</v>
      </c>
      <c r="F128">
        <f>SUMIF(DATA!$A:$A,PPL!$A128,DATA!D:D)</f>
        <v>270</v>
      </c>
      <c r="G128">
        <f>SUMIF(DATA!$A:$A,PPL!$A128,DATA!E:E)</f>
        <v>24</v>
      </c>
      <c r="H128">
        <f>SUMIF(DATA!$A:$A,PPL!$A128,DATA!F:F)</f>
        <v>325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7</v>
      </c>
      <c r="L128">
        <f>SUMIF(DATA!$A:$A,PPL!$A128,DATA!J:J)</f>
        <v>0</v>
      </c>
      <c r="M128">
        <f t="shared" ref="M128:M135" si="4">F128+I128+J128+K128+L128</f>
        <v>277</v>
      </c>
      <c r="N128" s="3">
        <f t="shared" ref="N128:N135" si="5">(M128/E128)*100</f>
        <v>44.249201277955272</v>
      </c>
      <c r="O128">
        <f ca="1">CEILING(VLOOKUP(TODAY(),TARGET!A:C,3,0)*E128/100,1)</f>
        <v>407</v>
      </c>
    </row>
    <row r="129" spans="1:15" x14ac:dyDescent="0.25">
      <c r="A129" t="s">
        <v>137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676</v>
      </c>
      <c r="F129">
        <f>SUMIF(DATA!$A:$A,PPL!$A129,DATA!D:D)</f>
        <v>359</v>
      </c>
      <c r="G129">
        <f>SUMIF(DATA!$A:$A,PPL!$A129,DATA!E:E)</f>
        <v>33</v>
      </c>
      <c r="H129">
        <f>SUMIF(DATA!$A:$A,PPL!$A129,DATA!F:F)</f>
        <v>266</v>
      </c>
      <c r="I129">
        <f>SUMIF(DATA!$A:$A,PPL!$A129,DATA!G:G)</f>
        <v>2</v>
      </c>
      <c r="J129">
        <f>SUMIF(DATA!$A:$A,PPL!$A129,DATA!H:H)</f>
        <v>2</v>
      </c>
      <c r="K129">
        <f>SUMIF(DATA!$A:$A,PPL!$A129,DATA!I:I)</f>
        <v>14</v>
      </c>
      <c r="L129">
        <f>SUMIF(DATA!$A:$A,PPL!$A129,DATA!J:J)</f>
        <v>0</v>
      </c>
      <c r="M129">
        <f t="shared" si="4"/>
        <v>377</v>
      </c>
      <c r="N129" s="3">
        <f t="shared" si="5"/>
        <v>55.769230769230774</v>
      </c>
      <c r="O129">
        <f ca="1">CEILING(VLOOKUP(TODAY(),TARGET!A:C,3,0)*E129/100,1)</f>
        <v>440</v>
      </c>
    </row>
    <row r="130" spans="1:15" x14ac:dyDescent="0.25">
      <c r="A130" t="s">
        <v>138</v>
      </c>
      <c r="B130" t="s">
        <v>373</v>
      </c>
      <c r="C130" t="s">
        <v>180</v>
      </c>
      <c r="D130" t="str">
        <f>VLOOKUP(C130,PML!A:B,2,0)</f>
        <v>Alfian</v>
      </c>
      <c r="E130">
        <f>SUMIF(DATA!$A:$A,PPL!$A130,DATA!C:C)</f>
        <v>645</v>
      </c>
      <c r="F130">
        <f>SUMIF(DATA!$A:$A,PPL!$A130,DATA!D:D)</f>
        <v>273</v>
      </c>
      <c r="G130">
        <f>SUMIF(DATA!$A:$A,PPL!$A130,DATA!E:E)</f>
        <v>11</v>
      </c>
      <c r="H130">
        <f>SUMIF(DATA!$A:$A,PPL!$A130,DATA!F:F)</f>
        <v>335</v>
      </c>
      <c r="I130">
        <f>SUMIF(DATA!$A:$A,PPL!$A130,DATA!G:G)</f>
        <v>1</v>
      </c>
      <c r="J130">
        <f>SUMIF(DATA!$A:$A,PPL!$A130,DATA!H:H)</f>
        <v>6</v>
      </c>
      <c r="K130">
        <f>SUMIF(DATA!$A:$A,PPL!$A130,DATA!I:I)</f>
        <v>19</v>
      </c>
      <c r="L130">
        <f>SUMIF(DATA!$A:$A,PPL!$A130,DATA!J:J)</f>
        <v>0</v>
      </c>
      <c r="M130">
        <f t="shared" si="4"/>
        <v>299</v>
      </c>
      <c r="N130" s="3">
        <f t="shared" si="5"/>
        <v>46.356589147286819</v>
      </c>
      <c r="O130">
        <f ca="1">CEILING(VLOOKUP(TODAY(),TARGET!A:C,3,0)*E130/100,1)</f>
        <v>420</v>
      </c>
    </row>
    <row r="131" spans="1:15" x14ac:dyDescent="0.25">
      <c r="A131" t="s">
        <v>139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563</v>
      </c>
      <c r="F131">
        <f>SUMIF(DATA!$A:$A,PPL!$A131,DATA!D:D)</f>
        <v>232</v>
      </c>
      <c r="G131">
        <f>SUMIF(DATA!$A:$A,PPL!$A131,DATA!E:E)</f>
        <v>14</v>
      </c>
      <c r="H131">
        <f>SUMIF(DATA!$A:$A,PPL!$A131,DATA!F:F)</f>
        <v>261</v>
      </c>
      <c r="I131">
        <f>SUMIF(DATA!$A:$A,PPL!$A131,DATA!G:G)</f>
        <v>3</v>
      </c>
      <c r="J131">
        <f>SUMIF(DATA!$A:$A,PPL!$A131,DATA!H:H)</f>
        <v>0</v>
      </c>
      <c r="K131">
        <f>SUMIF(DATA!$A:$A,PPL!$A131,DATA!I:I)</f>
        <v>53</v>
      </c>
      <c r="L131">
        <f>SUMIF(DATA!$A:$A,PPL!$A131,DATA!J:J)</f>
        <v>0</v>
      </c>
      <c r="M131">
        <f t="shared" si="4"/>
        <v>288</v>
      </c>
      <c r="N131" s="3">
        <f t="shared" si="5"/>
        <v>51.154529307282417</v>
      </c>
      <c r="O131">
        <f ca="1">CEILING(VLOOKUP(TODAY(),TARGET!A:C,3,0)*E131/100,1)</f>
        <v>366</v>
      </c>
    </row>
    <row r="132" spans="1:15" x14ac:dyDescent="0.25">
      <c r="A132" t="s">
        <v>140</v>
      </c>
      <c r="B132" t="s">
        <v>375</v>
      </c>
      <c r="C132" t="s">
        <v>179</v>
      </c>
      <c r="D132" t="str">
        <f>VLOOKUP(C132,PML!A:B,2,0)</f>
        <v>Saul</v>
      </c>
      <c r="E132">
        <f>SUMIF(DATA!$A:$A,PPL!$A132,DATA!C:C)</f>
        <v>669</v>
      </c>
      <c r="F132">
        <f>SUMIF(DATA!$A:$A,PPL!$A132,DATA!D:D)</f>
        <v>311</v>
      </c>
      <c r="G132">
        <f>SUMIF(DATA!$A:$A,PPL!$A132,DATA!E:E)</f>
        <v>2</v>
      </c>
      <c r="H132">
        <f>SUMIF(DATA!$A:$A,PPL!$A132,DATA!F:F)</f>
        <v>259</v>
      </c>
      <c r="I132">
        <f>SUMIF(DATA!$A:$A,PPL!$A132,DATA!G:G)</f>
        <v>4</v>
      </c>
      <c r="J132">
        <f>SUMIF(DATA!$A:$A,PPL!$A132,DATA!H:H)</f>
        <v>7</v>
      </c>
      <c r="K132">
        <f>SUMIF(DATA!$A:$A,PPL!$A132,DATA!I:I)</f>
        <v>86</v>
      </c>
      <c r="L132">
        <f>SUMIF(DATA!$A:$A,PPL!$A132,DATA!J:J)</f>
        <v>0</v>
      </c>
      <c r="M132">
        <f t="shared" si="4"/>
        <v>408</v>
      </c>
      <c r="N132" s="3">
        <f t="shared" si="5"/>
        <v>60.986547085201792</v>
      </c>
      <c r="O132">
        <f ca="1">CEILING(VLOOKUP(TODAY(),TARGET!A:C,3,0)*E132/100,1)</f>
        <v>435</v>
      </c>
    </row>
    <row r="133" spans="1:15" x14ac:dyDescent="0.25">
      <c r="A133" t="s">
        <v>141</v>
      </c>
      <c r="B133" t="s">
        <v>376</v>
      </c>
      <c r="C133" t="s">
        <v>179</v>
      </c>
      <c r="D133" t="str">
        <f>VLOOKUP(C133,PML!A:B,2,0)</f>
        <v>Saul</v>
      </c>
      <c r="E133">
        <f>SUMIF(DATA!$A:$A,PPL!$A133,DATA!C:C)</f>
        <v>636</v>
      </c>
      <c r="F133">
        <f>SUMIF(DATA!$A:$A,PPL!$A133,DATA!D:D)</f>
        <v>283</v>
      </c>
      <c r="G133">
        <f>SUMIF(DATA!$A:$A,PPL!$A133,DATA!E:E)</f>
        <v>33</v>
      </c>
      <c r="H133">
        <f>SUMIF(DATA!$A:$A,PPL!$A133,DATA!F:F)</f>
        <v>221</v>
      </c>
      <c r="I133">
        <f>SUMIF(DATA!$A:$A,PPL!$A133,DATA!G:G)</f>
        <v>7</v>
      </c>
      <c r="J133">
        <f>SUMIF(DATA!$A:$A,PPL!$A133,DATA!H:H)</f>
        <v>0</v>
      </c>
      <c r="K133">
        <f>SUMIF(DATA!$A:$A,PPL!$A133,DATA!I:I)</f>
        <v>92</v>
      </c>
      <c r="L133">
        <f>SUMIF(DATA!$A:$A,PPL!$A133,DATA!J:J)</f>
        <v>0</v>
      </c>
      <c r="M133">
        <f t="shared" si="4"/>
        <v>382</v>
      </c>
      <c r="N133" s="3">
        <f t="shared" si="5"/>
        <v>60.062893081761004</v>
      </c>
      <c r="O133">
        <f ca="1">CEILING(VLOOKUP(TODAY(),TARGET!A:C,3,0)*E133/100,1)</f>
        <v>414</v>
      </c>
    </row>
    <row r="134" spans="1:15" x14ac:dyDescent="0.25">
      <c r="A134" t="s">
        <v>142</v>
      </c>
      <c r="B134" t="s">
        <v>377</v>
      </c>
      <c r="C134" t="s">
        <v>179</v>
      </c>
      <c r="D134" t="str">
        <f>VLOOKUP(C134,PML!A:B,2,0)</f>
        <v>Saul</v>
      </c>
      <c r="E134">
        <f>SUMIF(DATA!$A:$A,PPL!$A134,DATA!C:C)</f>
        <v>725</v>
      </c>
      <c r="F134">
        <f>SUMIF(DATA!$A:$A,PPL!$A134,DATA!D:D)</f>
        <v>324</v>
      </c>
      <c r="G134">
        <f>SUMIF(DATA!$A:$A,PPL!$A134,DATA!E:E)</f>
        <v>33</v>
      </c>
      <c r="H134">
        <f>SUMIF(DATA!$A:$A,PPL!$A134,DATA!F:F)</f>
        <v>308</v>
      </c>
      <c r="I134">
        <f>SUMIF(DATA!$A:$A,PPL!$A134,DATA!G:G)</f>
        <v>12</v>
      </c>
      <c r="J134">
        <f>SUMIF(DATA!$A:$A,PPL!$A134,DATA!H:H)</f>
        <v>0</v>
      </c>
      <c r="K134">
        <f>SUMIF(DATA!$A:$A,PPL!$A134,DATA!I:I)</f>
        <v>48</v>
      </c>
      <c r="L134">
        <f>SUMIF(DATA!$A:$A,PPL!$A134,DATA!J:J)</f>
        <v>0</v>
      </c>
      <c r="M134">
        <f t="shared" si="4"/>
        <v>384</v>
      </c>
      <c r="N134" s="3">
        <f t="shared" si="5"/>
        <v>52.96551724137931</v>
      </c>
      <c r="O134">
        <f ca="1">CEILING(VLOOKUP(TODAY(),TARGET!A:C,3,0)*E134/100,1)</f>
        <v>472</v>
      </c>
    </row>
    <row r="135" spans="1:15" x14ac:dyDescent="0.25">
      <c r="A135" t="s">
        <v>384</v>
      </c>
      <c r="B135" t="s">
        <v>385</v>
      </c>
      <c r="C135" t="s">
        <v>180</v>
      </c>
      <c r="D135" t="str">
        <f>VLOOKUP(C135,PML!A:B,2,0)</f>
        <v>Alfian</v>
      </c>
      <c r="E135">
        <f>SUMIF(DATA!$A:$A,PPL!$A135,DATA!C:C)</f>
        <v>857</v>
      </c>
      <c r="F135">
        <f>SUMIF(DATA!$A:$A,PPL!$A135,DATA!D:D)</f>
        <v>476</v>
      </c>
      <c r="G135">
        <f>SUMIF(DATA!$A:$A,PPL!$A135,DATA!E:E)</f>
        <v>16</v>
      </c>
      <c r="H135">
        <f>SUMIF(DATA!$A:$A,PPL!$A135,DATA!F:F)</f>
        <v>357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8</v>
      </c>
      <c r="L135">
        <f>SUMIF(DATA!$A:$A,PPL!$A135,DATA!J:J)</f>
        <v>0</v>
      </c>
      <c r="M135">
        <f t="shared" si="4"/>
        <v>484</v>
      </c>
      <c r="N135" s="3">
        <f t="shared" si="5"/>
        <v>56.476079346557761</v>
      </c>
      <c r="O135">
        <f ca="1">CEILING(VLOOKUP(TODAY(),TARGET!A:C,3,0)*E135/100,1)</f>
        <v>558</v>
      </c>
    </row>
    <row r="136" spans="1:15" x14ac:dyDescent="0.25">
      <c r="A136" t="s">
        <v>981</v>
      </c>
      <c r="B136" t="s">
        <v>984</v>
      </c>
      <c r="C136" t="s">
        <v>166</v>
      </c>
      <c r="D136" t="str">
        <f>VLOOKUP(C136,PML!A:B,2,0)</f>
        <v>NurAlamsyah</v>
      </c>
      <c r="E136">
        <f>SUMIF(DATA!$A:$A,PPL!$A136,DATA!C:C)</f>
        <v>212</v>
      </c>
      <c r="F136">
        <f>SUMIF(DATA!$A:$A,PPL!$A136,DATA!D:D)</f>
        <v>7</v>
      </c>
      <c r="G136">
        <f>SUMIF(DATA!$A:$A,PPL!$A136,DATA!E:E)</f>
        <v>1</v>
      </c>
      <c r="H136">
        <f>SUMIF(DATA!$A:$A,PPL!$A136,DATA!F:F)</f>
        <v>203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1</v>
      </c>
      <c r="L136">
        <f>SUMIF(DATA!$A:$A,PPL!$A136,DATA!J:J)</f>
        <v>0</v>
      </c>
      <c r="M136">
        <f t="shared" ref="M136:M139" si="6">F136+I136+J136+K136+L136</f>
        <v>8</v>
      </c>
      <c r="N136" s="3">
        <f t="shared" ref="N136:N139" si="7">(M136/E136)*100</f>
        <v>3.7735849056603774</v>
      </c>
      <c r="O136">
        <f ca="1">CEILING(VLOOKUP(TODAY(),TARGET!A:C,3,0)*E136/100,1)</f>
        <v>138</v>
      </c>
    </row>
    <row r="137" spans="1:15" x14ac:dyDescent="0.25">
      <c r="A137" t="s">
        <v>982</v>
      </c>
      <c r="B137" t="s">
        <v>985</v>
      </c>
      <c r="C137" t="s">
        <v>171</v>
      </c>
      <c r="D137" t="str">
        <f>VLOOKUP(C137,PML!A:B,2,0)</f>
        <v>Puput</v>
      </c>
      <c r="E137">
        <f>SUMIF(DATA!$A:$A,PPL!$A137,DATA!C:C)</f>
        <v>506</v>
      </c>
      <c r="F137">
        <f>SUMIF(DATA!$A:$A,PPL!$A137,DATA!D:D)</f>
        <v>260</v>
      </c>
      <c r="G137">
        <f>SUMIF(DATA!$A:$A,PPL!$A137,DATA!E:E)</f>
        <v>0</v>
      </c>
      <c r="H137">
        <f>SUMIF(DATA!$A:$A,PPL!$A137,DATA!F:F)</f>
        <v>236</v>
      </c>
      <c r="I137">
        <f>SUMIF(DATA!$A:$A,PPL!$A137,DATA!G:G)</f>
        <v>0</v>
      </c>
      <c r="J137">
        <f>SUMIF(DATA!$A:$A,PPL!$A137,DATA!H:H)</f>
        <v>1</v>
      </c>
      <c r="K137">
        <f>SUMIF(DATA!$A:$A,PPL!$A137,DATA!I:I)</f>
        <v>9</v>
      </c>
      <c r="L137">
        <f>SUMIF(DATA!$A:$A,PPL!$A137,DATA!J:J)</f>
        <v>0</v>
      </c>
      <c r="M137">
        <f t="shared" si="6"/>
        <v>270</v>
      </c>
      <c r="N137" s="3">
        <f t="shared" si="7"/>
        <v>53.359683794466406</v>
      </c>
      <c r="O137">
        <f ca="1">CEILING(VLOOKUP(TODAY(),TARGET!A:C,3,0)*E137/100,1)</f>
        <v>329</v>
      </c>
    </row>
    <row r="138" spans="1:15" x14ac:dyDescent="0.25">
      <c r="A138" t="s">
        <v>980</v>
      </c>
      <c r="B138" t="s">
        <v>986</v>
      </c>
      <c r="C138" t="s">
        <v>173</v>
      </c>
      <c r="D138" t="str">
        <f>VLOOKUP(C138,PML!A:B,2,0)</f>
        <v>Uneth</v>
      </c>
      <c r="E138">
        <f>SUMIF(DATA!$A:$A,PPL!$A138,DATA!C:C)</f>
        <v>76</v>
      </c>
      <c r="F138">
        <f>SUMIF(DATA!$A:$A,PPL!$A138,DATA!D:D)</f>
        <v>0</v>
      </c>
      <c r="G138">
        <f>SUMIF(DATA!$A:$A,PPL!$A138,DATA!E:E)</f>
        <v>2</v>
      </c>
      <c r="H138">
        <f>SUMIF(DATA!$A:$A,PPL!$A138,DATA!F:F)</f>
        <v>64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10</v>
      </c>
      <c r="L138">
        <f>SUMIF(DATA!$A:$A,PPL!$A138,DATA!J:J)</f>
        <v>0</v>
      </c>
      <c r="M138">
        <f t="shared" si="6"/>
        <v>10</v>
      </c>
      <c r="N138" s="3">
        <f t="shared" si="7"/>
        <v>13.157894736842104</v>
      </c>
      <c r="O138">
        <f ca="1">CEILING(VLOOKUP(TODAY(),TARGET!A:C,3,0)*E138/100,1)</f>
        <v>50</v>
      </c>
    </row>
    <row r="139" spans="1:15" x14ac:dyDescent="0.25">
      <c r="A139" t="s">
        <v>983</v>
      </c>
      <c r="B139" t="s">
        <v>987</v>
      </c>
      <c r="C139" t="s">
        <v>167</v>
      </c>
      <c r="D139" t="str">
        <f>VLOOKUP(C139,PML!A:B,2,0)</f>
        <v>Firly</v>
      </c>
      <c r="E139">
        <f>SUMIF(DATA!$A:$A,PPL!$A139,DATA!C:C)</f>
        <v>678</v>
      </c>
      <c r="F139">
        <f>SUMIF(DATA!$A:$A,PPL!$A139,DATA!D:D)</f>
        <v>285</v>
      </c>
      <c r="G139">
        <f>SUMIF(DATA!$A:$A,PPL!$A139,DATA!E:E)</f>
        <v>15</v>
      </c>
      <c r="H139">
        <f>SUMIF(DATA!$A:$A,PPL!$A139,DATA!F:F)</f>
        <v>307</v>
      </c>
      <c r="I139">
        <f>SUMIF(DATA!$A:$A,PPL!$A139,DATA!G:G)</f>
        <v>1</v>
      </c>
      <c r="J139">
        <f>SUMIF(DATA!$A:$A,PPL!$A139,DATA!H:H)</f>
        <v>0</v>
      </c>
      <c r="K139">
        <f>SUMIF(DATA!$A:$A,PPL!$A139,DATA!I:I)</f>
        <v>70</v>
      </c>
      <c r="L139">
        <f>SUMIF(DATA!$A:$A,PPL!$A139,DATA!J:J)</f>
        <v>0</v>
      </c>
      <c r="M139">
        <f t="shared" si="6"/>
        <v>356</v>
      </c>
      <c r="N139" s="3">
        <f t="shared" si="7"/>
        <v>52.507374631268434</v>
      </c>
      <c r="O139">
        <f ca="1">CEILING(VLOOKUP(TODAY(),TARGET!A:C,3,0)*E139/100,1)</f>
        <v>441</v>
      </c>
    </row>
    <row r="140" spans="1:15" x14ac:dyDescent="0.25">
      <c r="A140" t="s">
        <v>988</v>
      </c>
      <c r="B140" t="s">
        <v>991</v>
      </c>
      <c r="C140" t="s">
        <v>170</v>
      </c>
      <c r="D140" t="str">
        <f>VLOOKUP(C140,PML!A:B,2,0)</f>
        <v>Iska</v>
      </c>
      <c r="E140">
        <f>SUMIF(DATA!$A:$A,PPL!$A140,DATA!C:C)</f>
        <v>798</v>
      </c>
      <c r="F140">
        <f>SUMIF(DATA!$A:$A,PPL!$A140,DATA!D:D)</f>
        <v>388</v>
      </c>
      <c r="G140">
        <f>SUMIF(DATA!$A:$A,PPL!$A140,DATA!E:E)</f>
        <v>25</v>
      </c>
      <c r="H140">
        <f>SUMIF(DATA!$A:$A,PPL!$A140,DATA!F:F)</f>
        <v>357</v>
      </c>
      <c r="I140">
        <f>SUMIF(DATA!$A:$A,PPL!$A140,DATA!G:G)</f>
        <v>0</v>
      </c>
      <c r="J140">
        <f>SUMIF(DATA!$A:$A,PPL!$A140,DATA!H:H)</f>
        <v>0</v>
      </c>
      <c r="K140">
        <f>SUMIF(DATA!$A:$A,PPL!$A140,DATA!I:I)</f>
        <v>28</v>
      </c>
      <c r="L140">
        <f>SUMIF(DATA!$A:$A,PPL!$A140,DATA!J:J)</f>
        <v>0</v>
      </c>
      <c r="M140">
        <f t="shared" ref="M140:M142" si="8">F140+I140+J140+K140+L140</f>
        <v>416</v>
      </c>
      <c r="N140" s="3">
        <f t="shared" ref="N140:N142" si="9">(M140/E140)*100</f>
        <v>52.130325814536334</v>
      </c>
      <c r="O140">
        <f ca="1">CEILING(VLOOKUP(TODAY(),TARGET!A:C,3,0)*E140/100,1)</f>
        <v>519</v>
      </c>
    </row>
    <row r="141" spans="1:15" x14ac:dyDescent="0.25">
      <c r="A141" t="s">
        <v>989</v>
      </c>
      <c r="B141" t="s">
        <v>992</v>
      </c>
      <c r="C141" t="s">
        <v>165</v>
      </c>
      <c r="D141" t="str">
        <f>VLOOKUP(C141,PML!A:B,2,0)</f>
        <v>Vera</v>
      </c>
      <c r="E141">
        <f>SUMIF(DATA!$A:$A,PPL!$A141,DATA!C:C)</f>
        <v>658</v>
      </c>
      <c r="F141">
        <f>SUMIF(DATA!$A:$A,PPL!$A141,DATA!D:D)</f>
        <v>310</v>
      </c>
      <c r="G141">
        <f>SUMIF(DATA!$A:$A,PPL!$A141,DATA!E:E)</f>
        <v>15</v>
      </c>
      <c r="H141">
        <f>SUMIF(DATA!$A:$A,PPL!$A141,DATA!F:F)</f>
        <v>284</v>
      </c>
      <c r="I141">
        <f>SUMIF(DATA!$A:$A,PPL!$A141,DATA!G:G)</f>
        <v>3</v>
      </c>
      <c r="J141">
        <f>SUMIF(DATA!$A:$A,PPL!$A141,DATA!H:H)</f>
        <v>0</v>
      </c>
      <c r="K141">
        <f>SUMIF(DATA!$A:$A,PPL!$A141,DATA!I:I)</f>
        <v>46</v>
      </c>
      <c r="L141">
        <f>SUMIF(DATA!$A:$A,PPL!$A141,DATA!J:J)</f>
        <v>0</v>
      </c>
      <c r="M141">
        <f t="shared" si="8"/>
        <v>359</v>
      </c>
      <c r="N141" s="3">
        <f t="shared" si="9"/>
        <v>54.559270516717326</v>
      </c>
      <c r="O141">
        <f ca="1">CEILING(VLOOKUP(TODAY(),TARGET!A:C,3,0)*E141/100,1)</f>
        <v>428</v>
      </c>
    </row>
    <row r="142" spans="1:15" x14ac:dyDescent="0.25">
      <c r="A142" t="s">
        <v>990</v>
      </c>
      <c r="B142" t="s">
        <v>993</v>
      </c>
      <c r="C142" t="s">
        <v>163</v>
      </c>
      <c r="D142" t="str">
        <f>VLOOKUP(C142,PML!A:B,2,0)</f>
        <v>Lasimran</v>
      </c>
      <c r="E142">
        <f>SUMIF(DATA!$A:$A,PPL!$A142,DATA!C:C)</f>
        <v>573</v>
      </c>
      <c r="F142">
        <f>SUMIF(DATA!$A:$A,PPL!$A142,DATA!D:D)</f>
        <v>269</v>
      </c>
      <c r="G142">
        <f>SUMIF(DATA!$A:$A,PPL!$A142,DATA!E:E)</f>
        <v>4</v>
      </c>
      <c r="H142">
        <f>SUMIF(DATA!$A:$A,PPL!$A142,DATA!F:F)</f>
        <v>271</v>
      </c>
      <c r="I142">
        <f>SUMIF(DATA!$A:$A,PPL!$A142,DATA!G:G)</f>
        <v>0</v>
      </c>
      <c r="J142">
        <f>SUMIF(DATA!$A:$A,PPL!$A142,DATA!H:H)</f>
        <v>1</v>
      </c>
      <c r="K142">
        <f>SUMIF(DATA!$A:$A,PPL!$A142,DATA!I:I)</f>
        <v>28</v>
      </c>
      <c r="L142">
        <f>SUMIF(DATA!$A:$A,PPL!$A142,DATA!J:J)</f>
        <v>0</v>
      </c>
      <c r="M142">
        <f t="shared" si="8"/>
        <v>298</v>
      </c>
      <c r="N142" s="3">
        <f t="shared" si="9"/>
        <v>52.006980802792327</v>
      </c>
      <c r="O142">
        <f ca="1">CEILING(VLOOKUP(TODAY(),TARGET!A:C,3,0)*E142/100,1)</f>
        <v>373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378</v>
      </c>
      <c r="L1" t="s">
        <v>391</v>
      </c>
    </row>
    <row r="2" spans="1:12" x14ac:dyDescent="0.25">
      <c r="A2" t="s">
        <v>162</v>
      </c>
      <c r="B2" t="s">
        <v>198</v>
      </c>
      <c r="C2">
        <f>SUMIF(PPL!$C:$C,PML!$A2,PPL!E:E)</f>
        <v>4631</v>
      </c>
      <c r="D2">
        <f>SUMIF(PPL!$C:$C,PML!$A2,PPL!F:F)</f>
        <v>2052</v>
      </c>
      <c r="E2">
        <f>SUMIF(PPL!$C:$C,PML!$A2,PPL!G:G)</f>
        <v>48</v>
      </c>
      <c r="F2">
        <f>SUMIF(PPL!$C:$C,PML!$A2,PPL!H:H)</f>
        <v>1723</v>
      </c>
      <c r="G2">
        <f>SUMIF(PPL!$C:$C,PML!$A2,PPL!I:I)</f>
        <v>2</v>
      </c>
      <c r="H2">
        <f>SUMIF(PPL!$C:$C,PML!$A2,PPL!J:J)</f>
        <v>0</v>
      </c>
      <c r="I2">
        <f>SUMIF(PPL!$C:$C,PML!$A2,PPL!K:K)</f>
        <v>806</v>
      </c>
      <c r="J2">
        <f>SUMIF(PPL!$C:$C,PML!$A2,PPL!L:L)</f>
        <v>0</v>
      </c>
      <c r="K2">
        <f>D2</f>
        <v>2052</v>
      </c>
      <c r="L2" s="3">
        <f>(SUM(D2)/C2)*100</f>
        <v>44.310084215072337</v>
      </c>
    </row>
    <row r="3" spans="1:12" x14ac:dyDescent="0.25">
      <c r="A3" t="s">
        <v>163</v>
      </c>
      <c r="B3" t="s">
        <v>187</v>
      </c>
      <c r="C3">
        <f>SUMIF(PPL!$C:$C,PML!$A3,PPL!E:E)</f>
        <v>4666</v>
      </c>
      <c r="D3">
        <f>SUMIF(PPL!$C:$C,PML!$A3,PPL!F:F)</f>
        <v>2287</v>
      </c>
      <c r="E3">
        <f>SUMIF(PPL!$C:$C,PML!$A3,PPL!G:G)</f>
        <v>69</v>
      </c>
      <c r="F3">
        <f>SUMIF(PPL!$C:$C,PML!$A3,PPL!H:H)</f>
        <v>1622</v>
      </c>
      <c r="G3">
        <f>SUMIF(PPL!$C:$C,PML!$A3,PPL!I:I)</f>
        <v>4</v>
      </c>
      <c r="H3">
        <f>SUMIF(PPL!$C:$C,PML!$A3,PPL!J:J)</f>
        <v>1</v>
      </c>
      <c r="I3">
        <f>SUMIF(PPL!$C:$C,PML!$A3,PPL!K:K)</f>
        <v>683</v>
      </c>
      <c r="J3">
        <f>SUMIF(PPL!$C:$C,PML!$A3,PPL!L:L)</f>
        <v>0</v>
      </c>
      <c r="K3">
        <f t="shared" ref="K3:K20" si="0">D3</f>
        <v>2287</v>
      </c>
      <c r="L3" s="3">
        <f t="shared" ref="L3:L20" si="1">(SUM(D3)/C3)*100</f>
        <v>49.014144877839691</v>
      </c>
    </row>
    <row r="4" spans="1:12" x14ac:dyDescent="0.25">
      <c r="A4" t="s">
        <v>164</v>
      </c>
      <c r="B4" t="s">
        <v>190</v>
      </c>
      <c r="C4">
        <f>SUMIF(PPL!$C:$C,PML!$A4,PPL!E:E)</f>
        <v>4909</v>
      </c>
      <c r="D4">
        <f>SUMIF(PPL!$C:$C,PML!$A4,PPL!F:F)</f>
        <v>2224</v>
      </c>
      <c r="E4">
        <f>SUMIF(PPL!$C:$C,PML!$A4,PPL!G:G)</f>
        <v>105</v>
      </c>
      <c r="F4">
        <f>SUMIF(PPL!$C:$C,PML!$A4,PPL!H:H)</f>
        <v>1974</v>
      </c>
      <c r="G4">
        <f>SUMIF(PPL!$C:$C,PML!$A4,PPL!I:I)</f>
        <v>17</v>
      </c>
      <c r="H4">
        <f>SUMIF(PPL!$C:$C,PML!$A4,PPL!J:J)</f>
        <v>0</v>
      </c>
      <c r="I4">
        <f>SUMIF(PPL!$C:$C,PML!$A4,PPL!K:K)</f>
        <v>588</v>
      </c>
      <c r="J4">
        <f>SUMIF(PPL!$C:$C,PML!$A4,PPL!L:L)</f>
        <v>1</v>
      </c>
      <c r="K4">
        <f t="shared" si="0"/>
        <v>2224</v>
      </c>
      <c r="L4" s="3">
        <f t="shared" si="1"/>
        <v>45.304542676716238</v>
      </c>
    </row>
    <row r="5" spans="1:12" x14ac:dyDescent="0.25">
      <c r="A5" t="s">
        <v>165</v>
      </c>
      <c r="B5" t="s">
        <v>181</v>
      </c>
      <c r="C5">
        <f>SUMIF(PPL!$C:$C,PML!$A5,PPL!E:E)</f>
        <v>5892</v>
      </c>
      <c r="D5">
        <f>SUMIF(PPL!$C:$C,PML!$A5,PPL!F:F)</f>
        <v>2614</v>
      </c>
      <c r="E5">
        <f>SUMIF(PPL!$C:$C,PML!$A5,PPL!G:G)</f>
        <v>412</v>
      </c>
      <c r="F5">
        <f>SUMIF(PPL!$C:$C,PML!$A5,PPL!H:H)</f>
        <v>2302</v>
      </c>
      <c r="G5">
        <f>SUMIF(PPL!$C:$C,PML!$A5,PPL!I:I)</f>
        <v>98</v>
      </c>
      <c r="H5">
        <f>SUMIF(PPL!$C:$C,PML!$A5,PPL!J:J)</f>
        <v>8</v>
      </c>
      <c r="I5">
        <f>SUMIF(PPL!$C:$C,PML!$A5,PPL!K:K)</f>
        <v>458</v>
      </c>
      <c r="J5">
        <f>SUMIF(PPL!$C:$C,PML!$A5,PPL!L:L)</f>
        <v>0</v>
      </c>
      <c r="K5">
        <f t="shared" si="0"/>
        <v>2614</v>
      </c>
      <c r="L5" s="3">
        <f t="shared" si="1"/>
        <v>44.365241004752207</v>
      </c>
    </row>
    <row r="6" spans="1:12" x14ac:dyDescent="0.25">
      <c r="A6" t="s">
        <v>166</v>
      </c>
      <c r="B6" t="s">
        <v>189</v>
      </c>
      <c r="C6">
        <f>SUMIF(PPL!$C:$C,PML!$A6,PPL!E:E)</f>
        <v>5228</v>
      </c>
      <c r="D6">
        <f>SUMIF(PPL!$C:$C,PML!$A6,PPL!F:F)</f>
        <v>2615</v>
      </c>
      <c r="E6">
        <f>SUMIF(PPL!$C:$C,PML!$A6,PPL!G:G)</f>
        <v>158</v>
      </c>
      <c r="F6">
        <f>SUMIF(PPL!$C:$C,PML!$A6,PPL!H:H)</f>
        <v>2370</v>
      </c>
      <c r="G6">
        <f>SUMIF(PPL!$C:$C,PML!$A6,PPL!I:I)</f>
        <v>36</v>
      </c>
      <c r="H6">
        <f>SUMIF(PPL!$C:$C,PML!$A6,PPL!J:J)</f>
        <v>3</v>
      </c>
      <c r="I6">
        <f>SUMIF(PPL!$C:$C,PML!$A6,PPL!K:K)</f>
        <v>46</v>
      </c>
      <c r="J6">
        <f>SUMIF(PPL!$C:$C,PML!$A6,PPL!L:L)</f>
        <v>0</v>
      </c>
      <c r="K6">
        <f t="shared" si="0"/>
        <v>2615</v>
      </c>
      <c r="L6" s="3">
        <f t="shared" si="1"/>
        <v>50.01912777352716</v>
      </c>
    </row>
    <row r="7" spans="1:12" x14ac:dyDescent="0.25">
      <c r="A7" t="s">
        <v>167</v>
      </c>
      <c r="B7" t="s">
        <v>182</v>
      </c>
      <c r="C7">
        <f>SUMIF(PPL!$C:$C,PML!$A7,PPL!E:E)</f>
        <v>5661</v>
      </c>
      <c r="D7">
        <f>SUMIF(PPL!$C:$C,PML!$A7,PPL!F:F)</f>
        <v>2267</v>
      </c>
      <c r="E7">
        <f>SUMIF(PPL!$C:$C,PML!$A7,PPL!G:G)</f>
        <v>171</v>
      </c>
      <c r="F7">
        <f>SUMIF(PPL!$C:$C,PML!$A7,PPL!H:H)</f>
        <v>2261</v>
      </c>
      <c r="G7">
        <f>SUMIF(PPL!$C:$C,PML!$A7,PPL!I:I)</f>
        <v>46</v>
      </c>
      <c r="H7">
        <f>SUMIF(PPL!$C:$C,PML!$A7,PPL!J:J)</f>
        <v>1</v>
      </c>
      <c r="I7">
        <f>SUMIF(PPL!$C:$C,PML!$A7,PPL!K:K)</f>
        <v>914</v>
      </c>
      <c r="J7">
        <f>SUMIF(PPL!$C:$C,PML!$A7,PPL!L:L)</f>
        <v>1</v>
      </c>
      <c r="K7">
        <f t="shared" si="0"/>
        <v>2267</v>
      </c>
      <c r="L7" s="3">
        <f t="shared" si="1"/>
        <v>40.045928281222402</v>
      </c>
    </row>
    <row r="8" spans="1:12" x14ac:dyDescent="0.25">
      <c r="A8" t="s">
        <v>168</v>
      </c>
      <c r="B8" t="s">
        <v>197</v>
      </c>
      <c r="C8">
        <f>SUMIF(PPL!$C:$C,PML!$A8,PPL!E:E)</f>
        <v>5347</v>
      </c>
      <c r="D8">
        <f>SUMIF(PPL!$C:$C,PML!$A8,PPL!F:F)</f>
        <v>2245</v>
      </c>
      <c r="E8">
        <f>SUMIF(PPL!$C:$C,PML!$A8,PPL!G:G)</f>
        <v>186</v>
      </c>
      <c r="F8">
        <f>SUMIF(PPL!$C:$C,PML!$A8,PPL!H:H)</f>
        <v>2457</v>
      </c>
      <c r="G8">
        <f>SUMIF(PPL!$C:$C,PML!$A8,PPL!I:I)</f>
        <v>49</v>
      </c>
      <c r="H8">
        <f>SUMIF(PPL!$C:$C,PML!$A8,PPL!J:J)</f>
        <v>0</v>
      </c>
      <c r="I8">
        <f>SUMIF(PPL!$C:$C,PML!$A8,PPL!K:K)</f>
        <v>410</v>
      </c>
      <c r="J8">
        <f>SUMIF(PPL!$C:$C,PML!$A8,PPL!L:L)</f>
        <v>0</v>
      </c>
      <c r="K8">
        <f t="shared" si="0"/>
        <v>2245</v>
      </c>
      <c r="L8" s="3">
        <f t="shared" si="1"/>
        <v>41.986160463811487</v>
      </c>
    </row>
    <row r="9" spans="1:12" x14ac:dyDescent="0.25">
      <c r="A9" t="s">
        <v>169</v>
      </c>
      <c r="B9" t="s">
        <v>199</v>
      </c>
      <c r="C9">
        <f>SUMIF(PPL!$C:$C,PML!$A9,PPL!E:E)</f>
        <v>5453</v>
      </c>
      <c r="D9">
        <f>SUMIF(PPL!$C:$C,PML!$A9,PPL!F:F)</f>
        <v>2515</v>
      </c>
      <c r="E9">
        <f>SUMIF(PPL!$C:$C,PML!$A9,PPL!G:G)</f>
        <v>300</v>
      </c>
      <c r="F9">
        <f>SUMIF(PPL!$C:$C,PML!$A9,PPL!H:H)</f>
        <v>2301</v>
      </c>
      <c r="G9">
        <f>SUMIF(PPL!$C:$C,PML!$A9,PPL!I:I)</f>
        <v>19</v>
      </c>
      <c r="H9">
        <f>SUMIF(PPL!$C:$C,PML!$A9,PPL!J:J)</f>
        <v>3</v>
      </c>
      <c r="I9">
        <f>SUMIF(PPL!$C:$C,PML!$A9,PPL!K:K)</f>
        <v>315</v>
      </c>
      <c r="J9">
        <f>SUMIF(PPL!$C:$C,PML!$A9,PPL!L:L)</f>
        <v>0</v>
      </c>
      <c r="K9">
        <f t="shared" si="0"/>
        <v>2515</v>
      </c>
      <c r="L9" s="3">
        <f t="shared" si="1"/>
        <v>46.1214010636347</v>
      </c>
    </row>
    <row r="10" spans="1:12" x14ac:dyDescent="0.25">
      <c r="A10" t="s">
        <v>170</v>
      </c>
      <c r="B10" t="s">
        <v>196</v>
      </c>
      <c r="C10">
        <f>SUMIF(PPL!$C:$C,PML!$A10,PPL!E:E)</f>
        <v>5361</v>
      </c>
      <c r="D10">
        <f>SUMIF(PPL!$C:$C,PML!$A10,PPL!F:F)</f>
        <v>2599</v>
      </c>
      <c r="E10">
        <f>SUMIF(PPL!$C:$C,PML!$A10,PPL!G:G)</f>
        <v>143</v>
      </c>
      <c r="F10">
        <f>SUMIF(PPL!$C:$C,PML!$A10,PPL!H:H)</f>
        <v>2194</v>
      </c>
      <c r="G10">
        <f>SUMIF(PPL!$C:$C,PML!$A10,PPL!I:I)</f>
        <v>3</v>
      </c>
      <c r="H10">
        <f>SUMIF(PPL!$C:$C,PML!$A10,PPL!J:J)</f>
        <v>1</v>
      </c>
      <c r="I10">
        <f>SUMIF(PPL!$C:$C,PML!$A10,PPL!K:K)</f>
        <v>421</v>
      </c>
      <c r="J10">
        <f>SUMIF(PPL!$C:$C,PML!$A10,PPL!L:L)</f>
        <v>0</v>
      </c>
      <c r="K10">
        <f t="shared" si="0"/>
        <v>2599</v>
      </c>
      <c r="L10" s="3">
        <f t="shared" si="1"/>
        <v>48.479761238574895</v>
      </c>
    </row>
    <row r="11" spans="1:12" x14ac:dyDescent="0.25">
      <c r="A11" t="s">
        <v>171</v>
      </c>
      <c r="B11" t="s">
        <v>195</v>
      </c>
      <c r="C11">
        <f>SUMIF(PPL!$C:$C,PML!$A11,PPL!E:E)</f>
        <v>4062</v>
      </c>
      <c r="D11">
        <f>SUMIF(PPL!$C:$C,PML!$A11,PPL!F:F)</f>
        <v>1966</v>
      </c>
      <c r="E11">
        <f>SUMIF(PPL!$C:$C,PML!$A11,PPL!G:G)</f>
        <v>122</v>
      </c>
      <c r="F11">
        <f>SUMIF(PPL!$C:$C,PML!$A11,PPL!H:H)</f>
        <v>1729</v>
      </c>
      <c r="G11">
        <f>SUMIF(PPL!$C:$C,PML!$A11,PPL!I:I)</f>
        <v>2</v>
      </c>
      <c r="H11">
        <f>SUMIF(PPL!$C:$C,PML!$A11,PPL!J:J)</f>
        <v>11</v>
      </c>
      <c r="I11">
        <f>SUMIF(PPL!$C:$C,PML!$A11,PPL!K:K)</f>
        <v>232</v>
      </c>
      <c r="J11">
        <f>SUMIF(PPL!$C:$C,PML!$A11,PPL!L:L)</f>
        <v>0</v>
      </c>
      <c r="K11">
        <f t="shared" si="0"/>
        <v>1966</v>
      </c>
      <c r="L11" s="3">
        <f t="shared" si="1"/>
        <v>48.399803052683403</v>
      </c>
    </row>
    <row r="12" spans="1:12" x14ac:dyDescent="0.25">
      <c r="A12" t="s">
        <v>172</v>
      </c>
      <c r="B12" t="s">
        <v>193</v>
      </c>
      <c r="C12">
        <f>SUMIF(PPL!$C:$C,PML!$A12,PPL!E:E)</f>
        <v>3588</v>
      </c>
      <c r="D12">
        <f>SUMIF(PPL!$C:$C,PML!$A12,PPL!F:F)</f>
        <v>1619</v>
      </c>
      <c r="E12">
        <f>SUMIF(PPL!$C:$C,PML!$A12,PPL!G:G)</f>
        <v>311</v>
      </c>
      <c r="F12">
        <f>SUMIF(PPL!$C:$C,PML!$A12,PPL!H:H)</f>
        <v>1416</v>
      </c>
      <c r="G12">
        <f>SUMIF(PPL!$C:$C,PML!$A12,PPL!I:I)</f>
        <v>2</v>
      </c>
      <c r="H12">
        <f>SUMIF(PPL!$C:$C,PML!$A12,PPL!J:J)</f>
        <v>8</v>
      </c>
      <c r="I12">
        <f>SUMIF(PPL!$C:$C,PML!$A12,PPL!K:K)</f>
        <v>232</v>
      </c>
      <c r="J12">
        <f>SUMIF(PPL!$C:$C,PML!$A12,PPL!L:L)</f>
        <v>0</v>
      </c>
      <c r="K12">
        <f t="shared" si="0"/>
        <v>1619</v>
      </c>
      <c r="L12" s="3">
        <f t="shared" si="1"/>
        <v>45.122630992196214</v>
      </c>
    </row>
    <row r="13" spans="1:12" x14ac:dyDescent="0.25">
      <c r="A13" t="s">
        <v>173</v>
      </c>
      <c r="B13" t="s">
        <v>186</v>
      </c>
      <c r="C13">
        <f>SUMIF(PPL!$C:$C,PML!$A13,PPL!E:E)</f>
        <v>4058</v>
      </c>
      <c r="D13">
        <f>SUMIF(PPL!$C:$C,PML!$A13,PPL!F:F)</f>
        <v>2052</v>
      </c>
      <c r="E13">
        <f>SUMIF(PPL!$C:$C,PML!$A13,PPL!G:G)</f>
        <v>89</v>
      </c>
      <c r="F13">
        <f>SUMIF(PPL!$C:$C,PML!$A13,PPL!H:H)</f>
        <v>1684</v>
      </c>
      <c r="G13">
        <f>SUMIF(PPL!$C:$C,PML!$A13,PPL!I:I)</f>
        <v>15</v>
      </c>
      <c r="H13">
        <f>SUMIF(PPL!$C:$C,PML!$A13,PPL!J:J)</f>
        <v>5</v>
      </c>
      <c r="I13">
        <f>SUMIF(PPL!$C:$C,PML!$A13,PPL!K:K)</f>
        <v>212</v>
      </c>
      <c r="J13">
        <f>SUMIF(PPL!$C:$C,PML!$A13,PPL!L:L)</f>
        <v>1</v>
      </c>
      <c r="K13">
        <f t="shared" si="0"/>
        <v>2052</v>
      </c>
      <c r="L13" s="3">
        <f t="shared" si="1"/>
        <v>50.566781665845241</v>
      </c>
    </row>
    <row r="14" spans="1:12" x14ac:dyDescent="0.25">
      <c r="A14" t="s">
        <v>174</v>
      </c>
      <c r="B14" t="s">
        <v>185</v>
      </c>
      <c r="C14">
        <f>SUMIF(PPL!$C:$C,PML!$A14,PPL!E:E)</f>
        <v>3868</v>
      </c>
      <c r="D14">
        <f>SUMIF(PPL!$C:$C,PML!$A14,PPL!F:F)</f>
        <v>1679</v>
      </c>
      <c r="E14">
        <f>SUMIF(PPL!$C:$C,PML!$A14,PPL!G:G)</f>
        <v>232</v>
      </c>
      <c r="F14">
        <f>SUMIF(PPL!$C:$C,PML!$A14,PPL!H:H)</f>
        <v>1686</v>
      </c>
      <c r="G14">
        <f>SUMIF(PPL!$C:$C,PML!$A14,PPL!I:I)</f>
        <v>17</v>
      </c>
      <c r="H14">
        <f>SUMIF(PPL!$C:$C,PML!$A14,PPL!J:J)</f>
        <v>3</v>
      </c>
      <c r="I14">
        <f>SUMIF(PPL!$C:$C,PML!$A14,PPL!K:K)</f>
        <v>251</v>
      </c>
      <c r="J14">
        <f>SUMIF(PPL!$C:$C,PML!$A14,PPL!L:L)</f>
        <v>0</v>
      </c>
      <c r="K14">
        <f t="shared" si="0"/>
        <v>1679</v>
      </c>
      <c r="L14" s="3">
        <f t="shared" si="1"/>
        <v>43.407445708376422</v>
      </c>
    </row>
    <row r="15" spans="1:12" x14ac:dyDescent="0.25">
      <c r="A15" t="s">
        <v>175</v>
      </c>
      <c r="B15" t="s">
        <v>188</v>
      </c>
      <c r="C15">
        <f>SUMIF(PPL!$C:$C,PML!$A15,PPL!E:E)</f>
        <v>4262</v>
      </c>
      <c r="D15">
        <f>SUMIF(PPL!$C:$C,PML!$A15,PPL!F:F)</f>
        <v>1718</v>
      </c>
      <c r="E15">
        <f>SUMIF(PPL!$C:$C,PML!$A15,PPL!G:G)</f>
        <v>234</v>
      </c>
      <c r="F15">
        <f>SUMIF(PPL!$C:$C,PML!$A15,PPL!H:H)</f>
        <v>1859</v>
      </c>
      <c r="G15">
        <f>SUMIF(PPL!$C:$C,PML!$A15,PPL!I:I)</f>
        <v>57</v>
      </c>
      <c r="H15">
        <f>SUMIF(PPL!$C:$C,PML!$A15,PPL!J:J)</f>
        <v>5</v>
      </c>
      <c r="I15">
        <f>SUMIF(PPL!$C:$C,PML!$A15,PPL!K:K)</f>
        <v>389</v>
      </c>
      <c r="J15">
        <f>SUMIF(PPL!$C:$C,PML!$A15,PPL!L:L)</f>
        <v>0</v>
      </c>
      <c r="K15">
        <f t="shared" si="0"/>
        <v>1718</v>
      </c>
      <c r="L15" s="3">
        <f t="shared" si="1"/>
        <v>40.309713749413426</v>
      </c>
    </row>
    <row r="16" spans="1:12" x14ac:dyDescent="0.25">
      <c r="A16" t="s">
        <v>176</v>
      </c>
      <c r="B16" t="s">
        <v>194</v>
      </c>
      <c r="C16">
        <f>SUMIF(PPL!$C:$C,PML!$A16,PPL!E:E)</f>
        <v>4789</v>
      </c>
      <c r="D16">
        <f>SUMIF(PPL!$C:$C,PML!$A16,PPL!F:F)</f>
        <v>2687</v>
      </c>
      <c r="E16">
        <f>SUMIF(PPL!$C:$C,PML!$A16,PPL!G:G)</f>
        <v>415</v>
      </c>
      <c r="F16">
        <f>SUMIF(PPL!$C:$C,PML!$A16,PPL!H:H)</f>
        <v>1532</v>
      </c>
      <c r="G16">
        <f>SUMIF(PPL!$C:$C,PML!$A16,PPL!I:I)</f>
        <v>31</v>
      </c>
      <c r="H16">
        <f>SUMIF(PPL!$C:$C,PML!$A16,PPL!J:J)</f>
        <v>0</v>
      </c>
      <c r="I16">
        <f>SUMIF(PPL!$C:$C,PML!$A16,PPL!K:K)</f>
        <v>124</v>
      </c>
      <c r="J16">
        <f>SUMIF(PPL!$C:$C,PML!$A16,PPL!L:L)</f>
        <v>0</v>
      </c>
      <c r="K16">
        <f t="shared" si="0"/>
        <v>2687</v>
      </c>
      <c r="L16" s="3">
        <f t="shared" si="1"/>
        <v>56.107746920025058</v>
      </c>
    </row>
    <row r="17" spans="1:12" x14ac:dyDescent="0.25">
      <c r="A17" t="s">
        <v>177</v>
      </c>
      <c r="B17" t="s">
        <v>192</v>
      </c>
      <c r="C17">
        <f>SUMIF(PPL!$C:$C,PML!$A17,PPL!E:E)</f>
        <v>4767</v>
      </c>
      <c r="D17">
        <f>SUMIF(PPL!$C:$C,PML!$A17,PPL!F:F)</f>
        <v>2654</v>
      </c>
      <c r="E17">
        <f>SUMIF(PPL!$C:$C,PML!$A17,PPL!G:G)</f>
        <v>250</v>
      </c>
      <c r="F17">
        <f>SUMIF(PPL!$C:$C,PML!$A17,PPL!H:H)</f>
        <v>1714</v>
      </c>
      <c r="G17">
        <f>SUMIF(PPL!$C:$C,PML!$A17,PPL!I:I)</f>
        <v>56</v>
      </c>
      <c r="H17">
        <f>SUMIF(PPL!$C:$C,PML!$A17,PPL!J:J)</f>
        <v>11</v>
      </c>
      <c r="I17">
        <f>SUMIF(PPL!$C:$C,PML!$A17,PPL!K:K)</f>
        <v>82</v>
      </c>
      <c r="J17">
        <f>SUMIF(PPL!$C:$C,PML!$A17,PPL!L:L)</f>
        <v>0</v>
      </c>
      <c r="K17">
        <f t="shared" si="0"/>
        <v>2654</v>
      </c>
      <c r="L17" s="3">
        <f t="shared" si="1"/>
        <v>55.674428361653028</v>
      </c>
    </row>
    <row r="18" spans="1:12" x14ac:dyDescent="0.25">
      <c r="A18" t="s">
        <v>178</v>
      </c>
      <c r="B18" t="s">
        <v>191</v>
      </c>
      <c r="C18">
        <f>SUMIF(PPL!$C:$C,PML!$A18,PPL!E:E)</f>
        <v>4532</v>
      </c>
      <c r="D18">
        <f>SUMIF(PPL!$C:$C,PML!$A18,PPL!F:F)</f>
        <v>2605</v>
      </c>
      <c r="E18">
        <f>SUMIF(PPL!$C:$C,PML!$A18,PPL!G:G)</f>
        <v>192</v>
      </c>
      <c r="F18">
        <f>SUMIF(PPL!$C:$C,PML!$A18,PPL!H:H)</f>
        <v>1721</v>
      </c>
      <c r="G18">
        <f>SUMIF(PPL!$C:$C,PML!$A18,PPL!I:I)</f>
        <v>10</v>
      </c>
      <c r="H18">
        <f>SUMIF(PPL!$C:$C,PML!$A18,PPL!J:J)</f>
        <v>2</v>
      </c>
      <c r="I18">
        <f>SUMIF(PPL!$C:$C,PML!$A18,PPL!K:K)</f>
        <v>2</v>
      </c>
      <c r="J18">
        <f>SUMIF(PPL!$C:$C,PML!$A18,PPL!L:L)</f>
        <v>0</v>
      </c>
      <c r="K18">
        <f t="shared" si="0"/>
        <v>2605</v>
      </c>
      <c r="L18" s="3">
        <f t="shared" si="1"/>
        <v>57.480141218005301</v>
      </c>
    </row>
    <row r="19" spans="1:12" x14ac:dyDescent="0.25">
      <c r="A19" t="s">
        <v>179</v>
      </c>
      <c r="B19" t="s">
        <v>184</v>
      </c>
      <c r="C19">
        <f>SUMIF(PPL!$C:$C,PML!$A19,PPL!E:E)</f>
        <v>3900</v>
      </c>
      <c r="D19">
        <f>SUMIF(PPL!$C:$C,PML!$A19,PPL!F:F)</f>
        <v>1681</v>
      </c>
      <c r="E19">
        <f>SUMIF(PPL!$C:$C,PML!$A19,PPL!G:G)</f>
        <v>137</v>
      </c>
      <c r="F19">
        <f>SUMIF(PPL!$C:$C,PML!$A19,PPL!H:H)</f>
        <v>1645</v>
      </c>
      <c r="G19">
        <f>SUMIF(PPL!$C:$C,PML!$A19,PPL!I:I)</f>
        <v>38</v>
      </c>
      <c r="H19">
        <f>SUMIF(PPL!$C:$C,PML!$A19,PPL!J:J)</f>
        <v>9</v>
      </c>
      <c r="I19">
        <f>SUMIF(PPL!$C:$C,PML!$A19,PPL!K:K)</f>
        <v>390</v>
      </c>
      <c r="J19">
        <f>SUMIF(PPL!$C:$C,PML!$A19,PPL!L:L)</f>
        <v>0</v>
      </c>
      <c r="K19">
        <f t="shared" si="0"/>
        <v>1681</v>
      </c>
      <c r="L19" s="3">
        <f t="shared" si="1"/>
        <v>43.102564102564102</v>
      </c>
    </row>
    <row r="20" spans="1:12" x14ac:dyDescent="0.25">
      <c r="A20" t="s">
        <v>180</v>
      </c>
      <c r="B20" t="s">
        <v>183</v>
      </c>
      <c r="C20">
        <f>SUMIF(PPL!$C:$C,PML!$A20,PPL!E:E)</f>
        <v>5415</v>
      </c>
      <c r="D20">
        <f>SUMIF(PPL!$C:$C,PML!$A20,PPL!F:F)</f>
        <v>2627</v>
      </c>
      <c r="E20">
        <f>SUMIF(PPL!$C:$C,PML!$A20,PPL!G:G)</f>
        <v>116</v>
      </c>
      <c r="F20">
        <f>SUMIF(PPL!$C:$C,PML!$A20,PPL!H:H)</f>
        <v>2548</v>
      </c>
      <c r="G20">
        <f>SUMIF(PPL!$C:$C,PML!$A20,PPL!I:I)</f>
        <v>5</v>
      </c>
      <c r="H20">
        <f>SUMIF(PPL!$C:$C,PML!$A20,PPL!J:J)</f>
        <v>9</v>
      </c>
      <c r="I20">
        <f>SUMIF(PPL!$C:$C,PML!$A20,PPL!K:K)</f>
        <v>109</v>
      </c>
      <c r="J20">
        <f>SUMIF(PPL!$C:$C,PML!$A20,PPL!L:L)</f>
        <v>1</v>
      </c>
      <c r="K20">
        <f t="shared" si="0"/>
        <v>2627</v>
      </c>
      <c r="L20" s="3">
        <f t="shared" si="1"/>
        <v>48.513388734995381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387</v>
      </c>
      <c r="B1" t="s">
        <v>388</v>
      </c>
      <c r="C1" t="s">
        <v>386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395</v>
      </c>
    </row>
    <row r="2" spans="1:1" x14ac:dyDescent="0.25">
      <c r="A2" s="1">
        <f ca="1">TODAY()-1</f>
        <v>46231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region_summary (52)</vt:lpstr>
      <vt:lpstr>DATA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2026-07-29T00:22:48Z</dcterms:modified>
</cp:coreProperties>
</file>