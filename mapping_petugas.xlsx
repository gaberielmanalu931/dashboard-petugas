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0.Gaberiel\2026\6. Juni\monitoring_fasih\"/>
    </mc:Choice>
  </mc:AlternateContent>
  <xr:revisionPtr revIDLastSave="0" documentId="13_ncr:1_{7659572B-6F92-433F-9F86-A9F30518C1E2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Sheet1" sheetId="1" r:id="rId1"/>
    <sheet name="region_summary (2)" sheetId="3" r:id="rId2"/>
    <sheet name="DATA" sheetId="2" r:id="rId3"/>
    <sheet name="PPL" sheetId="4" r:id="rId4"/>
    <sheet name="PML" sheetId="5" r:id="rId5"/>
  </sheets>
  <definedNames>
    <definedName name="ExternalData_1" localSheetId="1" hidden="1">'region_summary (2)'!$A$1:$J$1058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5" l="1"/>
  <c r="K18" i="5"/>
  <c r="C3" i="5"/>
  <c r="D3" i="5"/>
  <c r="K3" i="5" s="1"/>
  <c r="E3" i="5"/>
  <c r="F3" i="5"/>
  <c r="G3" i="5"/>
  <c r="H3" i="5"/>
  <c r="I3" i="5"/>
  <c r="J3" i="5"/>
  <c r="C4" i="5"/>
  <c r="D4" i="5"/>
  <c r="K4" i="5" s="1"/>
  <c r="E4" i="5"/>
  <c r="F4" i="5"/>
  <c r="G4" i="5"/>
  <c r="H4" i="5"/>
  <c r="I4" i="5"/>
  <c r="J4" i="5"/>
  <c r="C5" i="5"/>
  <c r="D5" i="5"/>
  <c r="K5" i="5" s="1"/>
  <c r="E5" i="5"/>
  <c r="F5" i="5"/>
  <c r="G5" i="5"/>
  <c r="H5" i="5"/>
  <c r="I5" i="5"/>
  <c r="J5" i="5"/>
  <c r="C6" i="5"/>
  <c r="D6" i="5"/>
  <c r="K6" i="5" s="1"/>
  <c r="E6" i="5"/>
  <c r="F6" i="5"/>
  <c r="G6" i="5"/>
  <c r="H6" i="5"/>
  <c r="I6" i="5"/>
  <c r="J6" i="5"/>
  <c r="C7" i="5"/>
  <c r="D7" i="5"/>
  <c r="K7" i="5" s="1"/>
  <c r="E7" i="5"/>
  <c r="F7" i="5"/>
  <c r="G7" i="5"/>
  <c r="H7" i="5"/>
  <c r="I7" i="5"/>
  <c r="J7" i="5"/>
  <c r="C8" i="5"/>
  <c r="D8" i="5"/>
  <c r="K8" i="5" s="1"/>
  <c r="E8" i="5"/>
  <c r="F8" i="5"/>
  <c r="G8" i="5"/>
  <c r="H8" i="5"/>
  <c r="I8" i="5"/>
  <c r="J8" i="5"/>
  <c r="C9" i="5"/>
  <c r="D9" i="5"/>
  <c r="K9" i="5" s="1"/>
  <c r="E9" i="5"/>
  <c r="F9" i="5"/>
  <c r="G9" i="5"/>
  <c r="H9" i="5"/>
  <c r="I9" i="5"/>
  <c r="J9" i="5"/>
  <c r="C10" i="5"/>
  <c r="D10" i="5"/>
  <c r="K10" i="5" s="1"/>
  <c r="E10" i="5"/>
  <c r="F10" i="5"/>
  <c r="G10" i="5"/>
  <c r="H10" i="5"/>
  <c r="I10" i="5"/>
  <c r="J10" i="5"/>
  <c r="C11" i="5"/>
  <c r="D11" i="5"/>
  <c r="K11" i="5" s="1"/>
  <c r="E11" i="5"/>
  <c r="F11" i="5"/>
  <c r="G11" i="5"/>
  <c r="H11" i="5"/>
  <c r="I11" i="5"/>
  <c r="J11" i="5"/>
  <c r="C12" i="5"/>
  <c r="D12" i="5"/>
  <c r="K12" i="5" s="1"/>
  <c r="E12" i="5"/>
  <c r="F12" i="5"/>
  <c r="G12" i="5"/>
  <c r="H12" i="5"/>
  <c r="I12" i="5"/>
  <c r="J12" i="5"/>
  <c r="C13" i="5"/>
  <c r="D13" i="5"/>
  <c r="K13" i="5" s="1"/>
  <c r="E13" i="5"/>
  <c r="F13" i="5"/>
  <c r="G13" i="5"/>
  <c r="H13" i="5"/>
  <c r="I13" i="5"/>
  <c r="J13" i="5"/>
  <c r="C14" i="5"/>
  <c r="D14" i="5"/>
  <c r="K14" i="5" s="1"/>
  <c r="E14" i="5"/>
  <c r="F14" i="5"/>
  <c r="G14" i="5"/>
  <c r="H14" i="5"/>
  <c r="I14" i="5"/>
  <c r="J14" i="5"/>
  <c r="C15" i="5"/>
  <c r="D15" i="5"/>
  <c r="E15" i="5"/>
  <c r="F15" i="5"/>
  <c r="G15" i="5"/>
  <c r="H15" i="5"/>
  <c r="I15" i="5"/>
  <c r="J15" i="5"/>
  <c r="C16" i="5"/>
  <c r="D16" i="5"/>
  <c r="K16" i="5" s="1"/>
  <c r="E16" i="5"/>
  <c r="F16" i="5"/>
  <c r="G16" i="5"/>
  <c r="H16" i="5"/>
  <c r="I16" i="5"/>
  <c r="J16" i="5"/>
  <c r="C17" i="5"/>
  <c r="D17" i="5"/>
  <c r="E17" i="5"/>
  <c r="F17" i="5"/>
  <c r="G17" i="5"/>
  <c r="K17" i="5" s="1"/>
  <c r="H17" i="5"/>
  <c r="I17" i="5"/>
  <c r="J17" i="5"/>
  <c r="C18" i="5"/>
  <c r="D18" i="5"/>
  <c r="E18" i="5"/>
  <c r="F18" i="5"/>
  <c r="G18" i="5"/>
  <c r="H18" i="5"/>
  <c r="I18" i="5"/>
  <c r="J18" i="5"/>
  <c r="C19" i="5"/>
  <c r="D19" i="5"/>
  <c r="K19" i="5" s="1"/>
  <c r="E19" i="5"/>
  <c r="F19" i="5"/>
  <c r="G19" i="5"/>
  <c r="H19" i="5"/>
  <c r="I19" i="5"/>
  <c r="J19" i="5"/>
  <c r="C20" i="5"/>
  <c r="D20" i="5"/>
  <c r="E20" i="5"/>
  <c r="F20" i="5"/>
  <c r="G20" i="5"/>
  <c r="K20" i="5" s="1"/>
  <c r="H20" i="5"/>
  <c r="I20" i="5"/>
  <c r="J20" i="5"/>
  <c r="J2" i="5"/>
  <c r="D2" i="5"/>
  <c r="K2" i="5" s="1"/>
  <c r="E2" i="5"/>
  <c r="F2" i="5"/>
  <c r="G2" i="5"/>
  <c r="H2" i="5"/>
  <c r="I2" i="5"/>
  <c r="C2" i="5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L2" i="4"/>
  <c r="F2" i="4"/>
  <c r="G2" i="4"/>
  <c r="H2" i="4"/>
  <c r="I2" i="4"/>
  <c r="J2" i="4"/>
  <c r="K2" i="4"/>
  <c r="E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</connections>
</file>

<file path=xl/sharedStrings.xml><?xml version="1.0" encoding="utf-8"?>
<sst xmlns="http://schemas.openxmlformats.org/spreadsheetml/2006/main" count="3443" uniqueCount="386">
  <si>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</si>
  <si>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</si>
  <si>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</si>
  <si>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</si>
  <si>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</si>
  <si>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</si>
  <si>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</si>
  <si>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</si>
  <si>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</si>
  <si>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</si>
  <si>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</si>
  <si>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</si>
  <si>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</si>
  <si>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</si>
  <si>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</si>
  <si>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</si>
  <si>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</si>
  <si>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</si>
  <si>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</si>
  <si>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</si>
  <si>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</si>
  <si>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</si>
  <si>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</si>
  <si>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</si>
  <si>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</si>
  <si>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</si>
  <si>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</si>
  <si>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</si>
  <si>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</si>
  <si>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</si>
  <si>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</si>
  <si>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</si>
  <si>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</si>
  <si>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</si>
  <si>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</si>
  <si>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</si>
  <si>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</si>
  <si>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</si>
  <si>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</si>
  <si>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</si>
  <si>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</si>
  <si>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</si>
  <si>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</si>
  <si>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</si>
  <si>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</si>
  <si>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</si>
  <si>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</si>
  <si>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</si>
  <si>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</si>
  <si>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</si>
  <si>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</si>
  <si>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</si>
  <si>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</si>
  <si>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</si>
  <si>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</si>
  <si>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</si>
  <si>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</si>
  <si>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</si>
  <si>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</si>
  <si>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</si>
  <si>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</si>
  <si>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</si>
  <si>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</si>
  <si>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</si>
  <si>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</si>
  <si>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</si>
  <si>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</si>
  <si>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</si>
  <si>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</si>
  <si>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</si>
  <si>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</si>
  <si>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</si>
  <si>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</si>
  <si>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</si>
  <si>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</si>
  <si>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</si>
  <si>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</si>
  <si>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</si>
  <si>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</si>
  <si>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</si>
  <si>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</si>
  <si>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</si>
  <si>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</si>
  <si>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</si>
  <si>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</si>
  <si>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</si>
  <si>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</si>
  <si>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</si>
  <si>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</si>
  <si>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</si>
  <si>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</si>
  <si>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</si>
  <si>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</si>
  <si>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</si>
  <si>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</si>
  <si>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</si>
  <si>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</si>
  <si>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</si>
  <si>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</si>
  <si>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</si>
  <si>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</si>
  <si>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</si>
  <si>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</si>
  <si>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</si>
  <si>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</si>
  <si>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</si>
  <si>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</si>
  <si>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</si>
  <si>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</si>
  <si>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</si>
  <si>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</si>
  <si>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</si>
  <si>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</si>
  <si>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</si>
  <si>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</si>
  <si>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</si>
  <si>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</si>
  <si>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</si>
  <si>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</si>
  <si>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</si>
  <si>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</si>
  <si>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</si>
  <si>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</si>
  <si>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</si>
  <si>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</si>
  <si>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</si>
  <si>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</si>
  <si>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</si>
  <si>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</si>
  <si>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</si>
  <si>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</si>
  <si>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</si>
  <si>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</si>
  <si>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</si>
  <si>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</si>
  <si>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</si>
  <si>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</si>
  <si>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</si>
  <si>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</si>
  <si>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</si>
  <si>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</si>
  <si>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</si>
  <si>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</si>
  <si>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</si>
  <si>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</si>
  <si>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</si>
  <si>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</si>
  <si>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</si>
  <si>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</si>
  <si>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</si>
  <si>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</si>
  <si>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</si>
  <si>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</si>
  <si>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</si>
  <si>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</si>
  <si>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</si>
  <si>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</si>
  <si>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</si>
  <si>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</si>
  <si>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</si>
  <si>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</si>
  <si>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</si>
  <si>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</si>
  <si>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</si>
  <si>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</si>
  <si>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</si>
  <si>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</si>
  <si>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</si>
  <si>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</si>
  <si>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</si>
  <si>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</si>
  <si>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</si>
  <si>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</si>
  <si>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</si>
  <si>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</si>
  <si>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</si>
  <si>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</si>
  <si>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</si>
  <si>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</si>
  <si>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</si>
  <si>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</si>
  <si>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</si>
  <si>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</si>
  <si>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</si>
  <si>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</si>
  <si>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</si>
  <si>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</si>
  <si>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</si>
  <si>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</si>
  <si>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</si>
  <si>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</si>
  <si>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</si>
  <si>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</si>
  <si>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</si>
  <si>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</si>
  <si>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</si>
  <si>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</si>
  <si>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</si>
  <si>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</si>
  <si>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</si>
  <si>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</si>
  <si>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</si>
  <si>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</si>
  <si>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</si>
  <si>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</si>
  <si>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</si>
  <si>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</si>
  <si>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</si>
  <si>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</si>
  <si>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</si>
  <si>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</si>
  <si>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</si>
  <si>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</si>
  <si>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</si>
  <si>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</si>
  <si>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</si>
  <si>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</si>
  <si>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</si>
  <si>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</si>
  <si>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</si>
  <si>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</si>
  <si>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</si>
  <si>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</si>
  <si>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</si>
  <si>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</si>
  <si>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</si>
  <si>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</si>
  <si>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</si>
  <si>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</si>
  <si>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</si>
  <si>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</si>
  <si>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</si>
  <si>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</si>
  <si>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</si>
  <si>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</si>
  <si>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</si>
  <si>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</si>
  <si>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</si>
  <si>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</si>
  <si>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</si>
  <si>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</si>
  <si>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</si>
  <si>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</si>
  <si>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</si>
  <si>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</si>
  <si>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</si>
  <si>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</si>
  <si>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</si>
  <si>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</si>
  <si>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</si>
  <si>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</si>
  <si>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</si>
  <si>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</si>
  <si>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</si>
  <si>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</si>
  <si>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</si>
  <si>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</si>
  <si>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</si>
  <si>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</si>
  <si>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</si>
  <si>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</si>
  <si>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</si>
  <si>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</si>
  <si>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</si>
  <si>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</si>
  <si>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</si>
  <si>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</si>
  <si>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</si>
  <si>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</si>
  <si>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</si>
  <si>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</si>
  <si>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</si>
  <si>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</si>
  <si>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</si>
  <si>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</si>
  <si>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</si>
  <si>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</si>
  <si>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</si>
  <si>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</si>
  <si>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</si>
  <si>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</si>
  <si>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</si>
  <si>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</si>
  <si>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</si>
  <si>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</si>
  <si>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</si>
  <si>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</si>
  <si>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</si>
  <si>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</si>
  <si>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</si>
  <si>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</si>
  <si>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</si>
  <si>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</si>
  <si>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</si>
  <si>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</si>
  <si>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</si>
  <si>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</si>
  <si>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</si>
  <si>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</si>
  <si>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</si>
  <si>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</si>
  <si>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</si>
  <si>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</si>
  <si>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</si>
  <si>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Diana Debora Tambanaung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</si>
  <si>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</si>
  <si>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</si>
  <si>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</si>
  <si>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</si>
  <si>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</si>
  <si>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</si>
  <si>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</si>
  <si>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</si>
  <si>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</si>
  <si>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</si>
  <si>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</si>
  <si>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</si>
  <si>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</si>
  <si>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</si>
  <si>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</si>
  <si>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</si>
  <si>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</si>
  <si>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</si>
  <si>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</si>
  <si>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</si>
  <si>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</si>
  <si>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</si>
  <si>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</si>
  <si>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</si>
  <si>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</si>
  <si>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</si>
  <si>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</si>
  <si>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</si>
  <si>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</si>
  <si>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</si>
  <si>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</si>
  <si>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</si>
  <si>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</si>
  <si>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</si>
  <si>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</si>
  <si>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</si>
  <si>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</si>
  <si>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</si>
  <si>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</si>
  <si>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</si>
  <si>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</si>
  <si>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</si>
  <si>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</si>
  <si>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</si>
  <si>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</si>
  <si>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</si>
  <si>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</si>
  <si>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</si>
  <si>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</si>
  <si>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</si>
  <si>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</si>
  <si>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</si>
  <si>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</si>
  <si>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</si>
  <si>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</si>
  <si>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</si>
  <si>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</si>
  <si>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</si>
  <si>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</si>
  <si>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</si>
  <si>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</si>
  <si>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</si>
  <si>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</si>
  <si>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</si>
  <si>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</si>
  <si>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</si>
  <si>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</si>
  <si>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</si>
  <si>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</si>
  <si>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</si>
  <si>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</si>
  <si>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</si>
  <si>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Bayu Purnama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</si>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</sst>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D9F2BFE-D604-47B4-B321-1725CC238C8F}" autoFormatId="16" applyNumberFormats="0" applyBorderFormats="0" applyFontFormats="0" applyPatternFormats="0" applyAlignmentFormats="0" applyWidthHeightFormats="0">
  <queryTableRefresh nextId="11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OPEN" tableColumnId="6"/>
      <queryTableField id="7" name="REJECTED BY Pengawas" tableColumnId="7"/>
      <queryTableField id="8" name="REVOKED BY Pengawas" tableColumnId="8"/>
      <queryTableField id="9" name="SUBMITTED BY Pencacah" tableColumnId="9"/>
      <queryTableField id="10" name="SUBMITTED RESPONDEN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64F09F-AE81-4F7E-A2DE-D233F1FB0A4B}" name="region_summary__2" displayName="region_summary__2" ref="A1:J1058" tableType="queryTable" totalsRowShown="0">
  <autoFilter ref="A1:J1058" xr:uid="{A464F09F-AE81-4F7E-A2DE-D233F1FB0A4B}"/>
  <tableColumns count="10">
    <tableColumn id="1" xr3:uid="{7E1E9A9E-F3AB-4570-85E5-CB33C6397639}" uniqueName="1" name="email" queryTableFieldId="1" dataDxfId="0"/>
    <tableColumn id="2" xr3:uid="{D6C6793C-9C87-4446-8400-83351B537766}" uniqueName="2" name="regionCode" queryTableFieldId="2"/>
    <tableColumn id="3" xr3:uid="{D9BD7E29-89E7-4377-9D60-FC9E4F915718}" uniqueName="3" name="total" queryTableFieldId="3"/>
    <tableColumn id="4" xr3:uid="{F67AF797-F5F4-4998-805F-003E350034C9}" uniqueName="4" name="APPROVED BY Pengawas" queryTableFieldId="4"/>
    <tableColumn id="5" xr3:uid="{79525DE5-F177-4C5B-AB99-0A21B6AE2B67}" uniqueName="5" name="DRAFT" queryTableFieldId="5"/>
    <tableColumn id="6" xr3:uid="{E82EE799-FD12-4151-A97F-336C9BFE441D}" uniqueName="6" name="OPEN" queryTableFieldId="6"/>
    <tableColumn id="7" xr3:uid="{42686770-624D-4AF4-B407-0D84D8226C9F}" uniqueName="7" name="REJECTED BY Pengawas" queryTableFieldId="7"/>
    <tableColumn id="8" xr3:uid="{88E00088-E160-4A55-87B5-9566B00ADDDB}" uniqueName="8" name="REVOKED BY Pengawas" queryTableFieldId="8"/>
    <tableColumn id="9" xr3:uid="{8AE94415-1662-43E7-9423-297D3B22FD18}" uniqueName="9" name="SUBMITTED BY Pencacah" queryTableFieldId="9"/>
    <tableColumn id="10" xr3:uid="{CB4D8921-27AF-4B5A-9D5F-FB2C2765F3AF}" uniqueName="10" name="SUBMITTED RESPONDENT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workbookViewId="0">
      <selection activeCell="G14" sqref="G14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162</v>
      </c>
      <c r="C2" t="s">
        <v>143</v>
      </c>
      <c r="D2" t="s">
        <v>198</v>
      </c>
      <c r="E2" t="s">
        <v>200</v>
      </c>
    </row>
    <row r="3" spans="1:5" x14ac:dyDescent="0.25">
      <c r="A3" t="s">
        <v>6</v>
      </c>
      <c r="B3" t="s">
        <v>163</v>
      </c>
      <c r="C3" t="s">
        <v>144</v>
      </c>
      <c r="D3" t="s">
        <v>187</v>
      </c>
      <c r="E3" t="s">
        <v>201</v>
      </c>
    </row>
    <row r="4" spans="1:5" x14ac:dyDescent="0.25">
      <c r="A4" t="s">
        <v>7</v>
      </c>
      <c r="B4" t="s">
        <v>162</v>
      </c>
      <c r="C4" t="s">
        <v>143</v>
      </c>
      <c r="D4" t="s">
        <v>198</v>
      </c>
      <c r="E4" t="s">
        <v>200</v>
      </c>
    </row>
    <row r="5" spans="1:5" x14ac:dyDescent="0.25">
      <c r="A5" t="s">
        <v>8</v>
      </c>
      <c r="B5" t="s">
        <v>162</v>
      </c>
      <c r="C5" t="s">
        <v>143</v>
      </c>
      <c r="D5" t="s">
        <v>198</v>
      </c>
      <c r="E5" t="s">
        <v>200</v>
      </c>
    </row>
    <row r="6" spans="1:5" x14ac:dyDescent="0.25">
      <c r="A6" t="s">
        <v>9</v>
      </c>
      <c r="B6" t="s">
        <v>162</v>
      </c>
      <c r="C6" t="s">
        <v>143</v>
      </c>
      <c r="D6" t="s">
        <v>198</v>
      </c>
      <c r="E6" t="s">
        <v>200</v>
      </c>
    </row>
    <row r="7" spans="1:5" x14ac:dyDescent="0.25">
      <c r="A7" t="s">
        <v>10</v>
      </c>
      <c r="B7" t="s">
        <v>162</v>
      </c>
      <c r="C7" t="s">
        <v>143</v>
      </c>
      <c r="D7" t="s">
        <v>198</v>
      </c>
      <c r="E7" t="s">
        <v>200</v>
      </c>
    </row>
    <row r="8" spans="1:5" x14ac:dyDescent="0.25">
      <c r="A8" t="s">
        <v>11</v>
      </c>
      <c r="B8" t="s">
        <v>163</v>
      </c>
      <c r="C8" t="s">
        <v>144</v>
      </c>
      <c r="D8" t="s">
        <v>187</v>
      </c>
      <c r="E8" t="s">
        <v>201</v>
      </c>
    </row>
    <row r="9" spans="1:5" x14ac:dyDescent="0.25">
      <c r="A9" t="s">
        <v>12</v>
      </c>
      <c r="B9" t="s">
        <v>163</v>
      </c>
      <c r="C9" t="s">
        <v>144</v>
      </c>
      <c r="D9" t="s">
        <v>187</v>
      </c>
      <c r="E9" t="s">
        <v>201</v>
      </c>
    </row>
    <row r="10" spans="1:5" x14ac:dyDescent="0.25">
      <c r="A10" t="s">
        <v>13</v>
      </c>
      <c r="B10" t="s">
        <v>162</v>
      </c>
      <c r="C10" t="s">
        <v>143</v>
      </c>
      <c r="D10" t="s">
        <v>198</v>
      </c>
      <c r="E10" t="s">
        <v>200</v>
      </c>
    </row>
    <row r="11" spans="1:5" x14ac:dyDescent="0.25">
      <c r="A11" t="s">
        <v>14</v>
      </c>
      <c r="B11" t="s">
        <v>163</v>
      </c>
      <c r="C11" t="s">
        <v>144</v>
      </c>
      <c r="D11" t="s">
        <v>187</v>
      </c>
      <c r="E11" t="s">
        <v>201</v>
      </c>
    </row>
    <row r="12" spans="1:5" x14ac:dyDescent="0.25">
      <c r="A12" t="s">
        <v>15</v>
      </c>
      <c r="B12" t="s">
        <v>163</v>
      </c>
      <c r="C12" t="s">
        <v>144</v>
      </c>
      <c r="D12" t="s">
        <v>187</v>
      </c>
      <c r="E12" t="s">
        <v>201</v>
      </c>
    </row>
    <row r="13" spans="1:5" x14ac:dyDescent="0.25">
      <c r="A13" t="s">
        <v>16</v>
      </c>
      <c r="B13" t="s">
        <v>163</v>
      </c>
      <c r="C13" t="s">
        <v>144</v>
      </c>
      <c r="D13" t="s">
        <v>187</v>
      </c>
      <c r="E13" t="s">
        <v>201</v>
      </c>
    </row>
    <row r="14" spans="1:5" x14ac:dyDescent="0.25">
      <c r="A14" t="s">
        <v>17</v>
      </c>
      <c r="B14" t="s">
        <v>164</v>
      </c>
      <c r="C14" t="s">
        <v>145</v>
      </c>
      <c r="D14" t="s">
        <v>190</v>
      </c>
      <c r="E14" t="s">
        <v>202</v>
      </c>
    </row>
    <row r="15" spans="1:5" x14ac:dyDescent="0.25">
      <c r="A15" t="s">
        <v>18</v>
      </c>
      <c r="B15" t="s">
        <v>164</v>
      </c>
      <c r="C15" t="s">
        <v>145</v>
      </c>
      <c r="D15" t="s">
        <v>190</v>
      </c>
      <c r="E15" t="s">
        <v>202</v>
      </c>
    </row>
    <row r="16" spans="1:5" x14ac:dyDescent="0.25">
      <c r="A16" t="s">
        <v>19</v>
      </c>
      <c r="B16" t="s">
        <v>164</v>
      </c>
      <c r="C16" t="s">
        <v>145</v>
      </c>
      <c r="D16" t="s">
        <v>190</v>
      </c>
      <c r="E16" t="s">
        <v>202</v>
      </c>
    </row>
    <row r="17" spans="1:5" x14ac:dyDescent="0.25">
      <c r="A17" t="s">
        <v>20</v>
      </c>
      <c r="B17" t="s">
        <v>162</v>
      </c>
      <c r="C17" t="s">
        <v>143</v>
      </c>
      <c r="D17" t="s">
        <v>198</v>
      </c>
      <c r="E17" t="s">
        <v>200</v>
      </c>
    </row>
    <row r="18" spans="1:5" x14ac:dyDescent="0.25">
      <c r="A18" t="s">
        <v>21</v>
      </c>
      <c r="B18" t="s">
        <v>164</v>
      </c>
      <c r="C18" t="s">
        <v>145</v>
      </c>
      <c r="D18" t="s">
        <v>190</v>
      </c>
      <c r="E18" t="s">
        <v>202</v>
      </c>
    </row>
    <row r="19" spans="1:5" x14ac:dyDescent="0.25">
      <c r="A19" t="s">
        <v>22</v>
      </c>
      <c r="B19" t="s">
        <v>164</v>
      </c>
      <c r="C19" t="s">
        <v>145</v>
      </c>
      <c r="D19" t="s">
        <v>190</v>
      </c>
      <c r="E19" t="s">
        <v>202</v>
      </c>
    </row>
    <row r="20" spans="1:5" x14ac:dyDescent="0.25">
      <c r="A20" t="s">
        <v>23</v>
      </c>
      <c r="B20" t="s">
        <v>164</v>
      </c>
      <c r="C20" t="s">
        <v>145</v>
      </c>
      <c r="D20" t="s">
        <v>190</v>
      </c>
      <c r="E20" t="s">
        <v>202</v>
      </c>
    </row>
    <row r="21" spans="1:5" x14ac:dyDescent="0.25">
      <c r="A21" t="s">
        <v>24</v>
      </c>
      <c r="B21" t="s">
        <v>163</v>
      </c>
      <c r="C21" t="s">
        <v>144</v>
      </c>
      <c r="D21" t="s">
        <v>187</v>
      </c>
      <c r="E21" t="s">
        <v>201</v>
      </c>
    </row>
    <row r="22" spans="1:5" x14ac:dyDescent="0.25">
      <c r="A22" t="s">
        <v>25</v>
      </c>
      <c r="B22" t="s">
        <v>164</v>
      </c>
      <c r="C22" t="s">
        <v>145</v>
      </c>
      <c r="D22" t="s">
        <v>190</v>
      </c>
      <c r="E22" t="s">
        <v>202</v>
      </c>
    </row>
    <row r="23" spans="1:5" x14ac:dyDescent="0.25">
      <c r="A23" t="s">
        <v>26</v>
      </c>
      <c r="B23" t="s">
        <v>165</v>
      </c>
      <c r="C23" t="s">
        <v>146</v>
      </c>
      <c r="D23" t="s">
        <v>181</v>
      </c>
      <c r="E23" t="s">
        <v>203</v>
      </c>
    </row>
    <row r="24" spans="1:5" x14ac:dyDescent="0.25">
      <c r="A24" t="s">
        <v>27</v>
      </c>
      <c r="B24" t="s">
        <v>166</v>
      </c>
      <c r="C24" t="s">
        <v>147</v>
      </c>
      <c r="D24" t="s">
        <v>189</v>
      </c>
      <c r="E24" t="s">
        <v>204</v>
      </c>
    </row>
    <row r="25" spans="1:5" x14ac:dyDescent="0.25">
      <c r="A25" t="s">
        <v>28</v>
      </c>
      <c r="B25" t="s">
        <v>166</v>
      </c>
      <c r="C25" t="s">
        <v>147</v>
      </c>
      <c r="D25" t="s">
        <v>189</v>
      </c>
      <c r="E25" t="s">
        <v>204</v>
      </c>
    </row>
    <row r="26" spans="1:5" x14ac:dyDescent="0.25">
      <c r="A26" t="s">
        <v>29</v>
      </c>
      <c r="B26" t="s">
        <v>166</v>
      </c>
      <c r="C26" t="s">
        <v>147</v>
      </c>
      <c r="D26" t="s">
        <v>189</v>
      </c>
      <c r="E26" t="s">
        <v>204</v>
      </c>
    </row>
    <row r="27" spans="1:5" x14ac:dyDescent="0.25">
      <c r="A27" t="s">
        <v>30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31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32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33</v>
      </c>
      <c r="B30" t="s">
        <v>165</v>
      </c>
      <c r="C30" t="s">
        <v>146</v>
      </c>
      <c r="D30" t="s">
        <v>181</v>
      </c>
      <c r="E30" t="s">
        <v>203</v>
      </c>
    </row>
    <row r="31" spans="1:5" x14ac:dyDescent="0.25">
      <c r="A31" t="s">
        <v>34</v>
      </c>
      <c r="B31" t="s">
        <v>166</v>
      </c>
      <c r="C31" t="s">
        <v>147</v>
      </c>
      <c r="D31" t="s">
        <v>189</v>
      </c>
      <c r="E31" t="s">
        <v>204</v>
      </c>
    </row>
    <row r="32" spans="1:5" x14ac:dyDescent="0.25">
      <c r="A32" t="s">
        <v>35</v>
      </c>
      <c r="B32" t="s">
        <v>167</v>
      </c>
      <c r="C32" t="s">
        <v>148</v>
      </c>
      <c r="D32" t="s">
        <v>182</v>
      </c>
      <c r="E32" t="s">
        <v>205</v>
      </c>
    </row>
    <row r="33" spans="1:5" x14ac:dyDescent="0.25">
      <c r="A33" t="s">
        <v>36</v>
      </c>
      <c r="B33" t="s">
        <v>167</v>
      </c>
      <c r="C33" t="s">
        <v>148</v>
      </c>
      <c r="D33" t="s">
        <v>182</v>
      </c>
      <c r="E33" t="s">
        <v>205</v>
      </c>
    </row>
    <row r="34" spans="1:5" x14ac:dyDescent="0.25">
      <c r="A34" t="s">
        <v>37</v>
      </c>
      <c r="B34" t="s">
        <v>167</v>
      </c>
      <c r="C34" t="s">
        <v>148</v>
      </c>
      <c r="D34" t="s">
        <v>182</v>
      </c>
      <c r="E34" t="s">
        <v>205</v>
      </c>
    </row>
    <row r="35" spans="1:5" x14ac:dyDescent="0.25">
      <c r="A35" t="s">
        <v>38</v>
      </c>
      <c r="B35" t="s">
        <v>167</v>
      </c>
      <c r="C35" t="s">
        <v>148</v>
      </c>
      <c r="D35" t="s">
        <v>182</v>
      </c>
      <c r="E35" t="s">
        <v>205</v>
      </c>
    </row>
    <row r="36" spans="1:5" x14ac:dyDescent="0.25">
      <c r="A36" t="s">
        <v>39</v>
      </c>
      <c r="B36" t="s">
        <v>165</v>
      </c>
      <c r="C36" t="s">
        <v>146</v>
      </c>
      <c r="D36" t="s">
        <v>181</v>
      </c>
      <c r="E36" t="s">
        <v>203</v>
      </c>
    </row>
    <row r="37" spans="1:5" x14ac:dyDescent="0.25">
      <c r="A37" t="s">
        <v>40</v>
      </c>
      <c r="B37" t="s">
        <v>165</v>
      </c>
      <c r="C37" t="s">
        <v>146</v>
      </c>
      <c r="D37" t="s">
        <v>181</v>
      </c>
      <c r="E37" t="s">
        <v>203</v>
      </c>
    </row>
    <row r="38" spans="1:5" x14ac:dyDescent="0.25">
      <c r="A38" t="s">
        <v>41</v>
      </c>
      <c r="B38" t="s">
        <v>165</v>
      </c>
      <c r="C38" t="s">
        <v>146</v>
      </c>
      <c r="D38" t="s">
        <v>181</v>
      </c>
      <c r="E38" t="s">
        <v>203</v>
      </c>
    </row>
    <row r="39" spans="1:5" x14ac:dyDescent="0.25">
      <c r="A39" t="s">
        <v>42</v>
      </c>
      <c r="B39" t="s">
        <v>165</v>
      </c>
      <c r="C39" t="s">
        <v>146</v>
      </c>
      <c r="D39" t="s">
        <v>181</v>
      </c>
      <c r="E39" t="s">
        <v>203</v>
      </c>
    </row>
    <row r="40" spans="1:5" x14ac:dyDescent="0.25">
      <c r="A40" t="s">
        <v>43</v>
      </c>
      <c r="B40" t="s">
        <v>166</v>
      </c>
      <c r="C40" t="s">
        <v>147</v>
      </c>
      <c r="D40" t="s">
        <v>189</v>
      </c>
      <c r="E40" t="s">
        <v>204</v>
      </c>
    </row>
    <row r="41" spans="1:5" x14ac:dyDescent="0.25">
      <c r="A41" t="s">
        <v>44</v>
      </c>
      <c r="B41" t="s">
        <v>166</v>
      </c>
      <c r="C41" t="s">
        <v>147</v>
      </c>
      <c r="D41" t="s">
        <v>189</v>
      </c>
      <c r="E41" t="s">
        <v>204</v>
      </c>
    </row>
    <row r="42" spans="1:5" x14ac:dyDescent="0.25">
      <c r="A42" t="s">
        <v>45</v>
      </c>
      <c r="B42" t="s">
        <v>166</v>
      </c>
      <c r="C42" t="s">
        <v>147</v>
      </c>
      <c r="D42" t="s">
        <v>189</v>
      </c>
      <c r="E42" t="s">
        <v>204</v>
      </c>
    </row>
    <row r="43" spans="1:5" x14ac:dyDescent="0.25">
      <c r="A43" t="s">
        <v>46</v>
      </c>
      <c r="B43" t="s">
        <v>165</v>
      </c>
      <c r="C43" t="s">
        <v>146</v>
      </c>
      <c r="D43" t="s">
        <v>181</v>
      </c>
      <c r="E43" t="s">
        <v>203</v>
      </c>
    </row>
    <row r="44" spans="1:5" x14ac:dyDescent="0.25">
      <c r="A44" t="s">
        <v>47</v>
      </c>
      <c r="B44" t="s">
        <v>167</v>
      </c>
      <c r="C44" t="s">
        <v>148</v>
      </c>
      <c r="D44" t="s">
        <v>182</v>
      </c>
      <c r="E44" t="s">
        <v>205</v>
      </c>
    </row>
    <row r="45" spans="1:5" x14ac:dyDescent="0.25">
      <c r="A45" t="s">
        <v>48</v>
      </c>
      <c r="B45" t="s">
        <v>165</v>
      </c>
      <c r="C45" t="s">
        <v>146</v>
      </c>
      <c r="D45" t="s">
        <v>181</v>
      </c>
      <c r="E45" t="s">
        <v>203</v>
      </c>
    </row>
    <row r="46" spans="1:5" x14ac:dyDescent="0.25">
      <c r="A46" t="s">
        <v>49</v>
      </c>
      <c r="B46" t="s">
        <v>168</v>
      </c>
      <c r="C46" t="s">
        <v>149</v>
      </c>
      <c r="D46" t="s">
        <v>199</v>
      </c>
      <c r="E46" t="s">
        <v>206</v>
      </c>
    </row>
    <row r="47" spans="1:5" x14ac:dyDescent="0.25">
      <c r="A47" t="s">
        <v>50</v>
      </c>
      <c r="B47" t="s">
        <v>169</v>
      </c>
      <c r="C47" t="s">
        <v>150</v>
      </c>
      <c r="D47" t="s">
        <v>197</v>
      </c>
      <c r="E47" t="s">
        <v>207</v>
      </c>
    </row>
    <row r="48" spans="1:5" x14ac:dyDescent="0.25">
      <c r="A48" t="s">
        <v>51</v>
      </c>
      <c r="B48" t="s">
        <v>170</v>
      </c>
      <c r="C48" t="s">
        <v>151</v>
      </c>
      <c r="D48" t="s">
        <v>196</v>
      </c>
      <c r="E48" t="s">
        <v>208</v>
      </c>
    </row>
    <row r="49" spans="1:5" x14ac:dyDescent="0.25">
      <c r="A49" t="s">
        <v>52</v>
      </c>
      <c r="B49" t="s">
        <v>169</v>
      </c>
      <c r="C49" t="s">
        <v>150</v>
      </c>
      <c r="D49" t="s">
        <v>197</v>
      </c>
      <c r="E49" t="s">
        <v>207</v>
      </c>
    </row>
    <row r="50" spans="1:5" x14ac:dyDescent="0.25">
      <c r="A50" t="s">
        <v>53</v>
      </c>
      <c r="B50" t="s">
        <v>168</v>
      </c>
      <c r="C50" t="s">
        <v>149</v>
      </c>
      <c r="D50" t="s">
        <v>199</v>
      </c>
      <c r="E50" t="s">
        <v>206</v>
      </c>
    </row>
    <row r="51" spans="1:5" x14ac:dyDescent="0.25">
      <c r="A51" t="s">
        <v>54</v>
      </c>
      <c r="B51" t="s">
        <v>168</v>
      </c>
      <c r="C51" t="s">
        <v>149</v>
      </c>
      <c r="D51" t="s">
        <v>199</v>
      </c>
      <c r="E51" t="s">
        <v>206</v>
      </c>
    </row>
    <row r="52" spans="1:5" x14ac:dyDescent="0.25">
      <c r="A52" t="s">
        <v>55</v>
      </c>
      <c r="B52" t="s">
        <v>168</v>
      </c>
      <c r="C52" t="s">
        <v>149</v>
      </c>
      <c r="D52" t="s">
        <v>199</v>
      </c>
      <c r="E52" t="s">
        <v>206</v>
      </c>
    </row>
    <row r="53" spans="1:5" x14ac:dyDescent="0.25">
      <c r="A53" t="s">
        <v>56</v>
      </c>
      <c r="B53" t="s">
        <v>168</v>
      </c>
      <c r="C53" t="s">
        <v>149</v>
      </c>
      <c r="D53" t="s">
        <v>199</v>
      </c>
      <c r="E53" t="s">
        <v>206</v>
      </c>
    </row>
    <row r="54" spans="1:5" x14ac:dyDescent="0.25">
      <c r="A54" t="s">
        <v>57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58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59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60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61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62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63</v>
      </c>
      <c r="B60" t="s">
        <v>168</v>
      </c>
      <c r="C60" t="s">
        <v>149</v>
      </c>
      <c r="D60" t="s">
        <v>199</v>
      </c>
      <c r="E60" t="s">
        <v>206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65</v>
      </c>
      <c r="B62" t="s">
        <v>169</v>
      </c>
      <c r="C62" t="s">
        <v>150</v>
      </c>
      <c r="D62" t="s">
        <v>197</v>
      </c>
      <c r="E62" t="s">
        <v>207</v>
      </c>
    </row>
    <row r="63" spans="1:5" x14ac:dyDescent="0.25">
      <c r="A63" t="s">
        <v>66</v>
      </c>
      <c r="B63" t="s">
        <v>169</v>
      </c>
      <c r="C63" t="s">
        <v>150</v>
      </c>
      <c r="D63" t="s">
        <v>197</v>
      </c>
      <c r="E63" t="s">
        <v>207</v>
      </c>
    </row>
    <row r="64" spans="1:5" x14ac:dyDescent="0.25">
      <c r="A64" t="s">
        <v>67</v>
      </c>
      <c r="B64" t="s">
        <v>169</v>
      </c>
      <c r="C64" t="s">
        <v>150</v>
      </c>
      <c r="D64" t="s">
        <v>197</v>
      </c>
      <c r="E64" t="s">
        <v>207</v>
      </c>
    </row>
    <row r="65" spans="1:5" x14ac:dyDescent="0.25">
      <c r="A65" t="s">
        <v>68</v>
      </c>
      <c r="B65" t="s">
        <v>169</v>
      </c>
      <c r="C65" t="s">
        <v>150</v>
      </c>
      <c r="D65" t="s">
        <v>197</v>
      </c>
      <c r="E65" t="s">
        <v>207</v>
      </c>
    </row>
    <row r="66" spans="1:5" x14ac:dyDescent="0.25">
      <c r="A66" t="s">
        <v>69</v>
      </c>
      <c r="B66" t="s">
        <v>168</v>
      </c>
      <c r="C66" t="s">
        <v>149</v>
      </c>
      <c r="D66" t="s">
        <v>199</v>
      </c>
      <c r="E66" t="s">
        <v>206</v>
      </c>
    </row>
    <row r="67" spans="1:5" x14ac:dyDescent="0.25">
      <c r="A67" t="s">
        <v>70</v>
      </c>
      <c r="B67" t="s">
        <v>169</v>
      </c>
      <c r="C67" t="s">
        <v>150</v>
      </c>
      <c r="D67" t="s">
        <v>197</v>
      </c>
      <c r="E67" t="s">
        <v>207</v>
      </c>
    </row>
    <row r="68" spans="1:5" x14ac:dyDescent="0.25">
      <c r="A68" t="s">
        <v>71</v>
      </c>
      <c r="B68" t="s">
        <v>169</v>
      </c>
      <c r="C68" t="s">
        <v>150</v>
      </c>
      <c r="D68" t="s">
        <v>197</v>
      </c>
      <c r="E68" t="s">
        <v>207</v>
      </c>
    </row>
    <row r="69" spans="1:5" x14ac:dyDescent="0.25">
      <c r="A69" t="s">
        <v>72</v>
      </c>
      <c r="B69" t="s">
        <v>169</v>
      </c>
      <c r="C69" t="s">
        <v>150</v>
      </c>
      <c r="D69" t="s">
        <v>197</v>
      </c>
      <c r="E69" t="s">
        <v>207</v>
      </c>
    </row>
    <row r="70" spans="1:5" x14ac:dyDescent="0.25">
      <c r="A70" t="s">
        <v>73</v>
      </c>
      <c r="B70" t="s">
        <v>168</v>
      </c>
      <c r="C70" t="s">
        <v>149</v>
      </c>
      <c r="D70" t="s">
        <v>199</v>
      </c>
      <c r="E70" t="s">
        <v>206</v>
      </c>
    </row>
    <row r="71" spans="1:5" x14ac:dyDescent="0.25">
      <c r="A71" t="s">
        <v>74</v>
      </c>
      <c r="B71" t="s">
        <v>171</v>
      </c>
      <c r="C71" t="s">
        <v>152</v>
      </c>
      <c r="D71" t="s">
        <v>195</v>
      </c>
      <c r="E71" t="s">
        <v>209</v>
      </c>
    </row>
    <row r="72" spans="1:5" x14ac:dyDescent="0.25">
      <c r="A72" t="s">
        <v>75</v>
      </c>
      <c r="B72" t="s">
        <v>171</v>
      </c>
      <c r="C72" t="s">
        <v>152</v>
      </c>
      <c r="D72" t="s">
        <v>195</v>
      </c>
      <c r="E72" t="s">
        <v>209</v>
      </c>
    </row>
    <row r="73" spans="1:5" x14ac:dyDescent="0.25">
      <c r="A73" t="s">
        <v>76</v>
      </c>
      <c r="B73" t="s">
        <v>171</v>
      </c>
      <c r="C73" t="s">
        <v>152</v>
      </c>
      <c r="D73" t="s">
        <v>195</v>
      </c>
      <c r="E73" t="s">
        <v>209</v>
      </c>
    </row>
    <row r="74" spans="1:5" x14ac:dyDescent="0.25">
      <c r="A74" t="s">
        <v>77</v>
      </c>
      <c r="B74" t="s">
        <v>171</v>
      </c>
      <c r="C74" t="s">
        <v>152</v>
      </c>
      <c r="D74" t="s">
        <v>195</v>
      </c>
      <c r="E74" t="s">
        <v>209</v>
      </c>
    </row>
    <row r="75" spans="1:5" x14ac:dyDescent="0.25">
      <c r="A75" t="s">
        <v>78</v>
      </c>
      <c r="B75" t="s">
        <v>171</v>
      </c>
      <c r="C75" t="s">
        <v>152</v>
      </c>
      <c r="D75" t="s">
        <v>195</v>
      </c>
      <c r="E75" t="s">
        <v>209</v>
      </c>
    </row>
    <row r="76" spans="1:5" x14ac:dyDescent="0.25">
      <c r="A76" t="s">
        <v>79</v>
      </c>
      <c r="B76" t="s">
        <v>171</v>
      </c>
      <c r="C76" t="s">
        <v>152</v>
      </c>
      <c r="D76" t="s">
        <v>195</v>
      </c>
      <c r="E76" t="s">
        <v>209</v>
      </c>
    </row>
    <row r="77" spans="1:5" x14ac:dyDescent="0.25">
      <c r="A77" t="s">
        <v>80</v>
      </c>
      <c r="B77" t="s">
        <v>171</v>
      </c>
      <c r="C77" t="s">
        <v>152</v>
      </c>
      <c r="D77" t="s">
        <v>195</v>
      </c>
      <c r="E77" t="s">
        <v>209</v>
      </c>
    </row>
    <row r="78" spans="1:5" x14ac:dyDescent="0.25">
      <c r="A78" t="s">
        <v>81</v>
      </c>
      <c r="B78" t="s">
        <v>171</v>
      </c>
      <c r="C78" t="s">
        <v>152</v>
      </c>
      <c r="D78" t="s">
        <v>195</v>
      </c>
      <c r="E78" t="s">
        <v>209</v>
      </c>
    </row>
    <row r="79" spans="1:5" x14ac:dyDescent="0.25">
      <c r="A79" t="s">
        <v>82</v>
      </c>
      <c r="B79" t="s">
        <v>172</v>
      </c>
      <c r="C79" t="s">
        <v>153</v>
      </c>
      <c r="D79" t="s">
        <v>193</v>
      </c>
      <c r="E79" t="s">
        <v>210</v>
      </c>
    </row>
    <row r="80" spans="1:5" x14ac:dyDescent="0.25">
      <c r="A80" t="s">
        <v>83</v>
      </c>
      <c r="B80" t="s">
        <v>172</v>
      </c>
      <c r="C80" t="s">
        <v>153</v>
      </c>
      <c r="D80" t="s">
        <v>193</v>
      </c>
      <c r="E80" t="s">
        <v>210</v>
      </c>
    </row>
    <row r="81" spans="1:5" x14ac:dyDescent="0.25">
      <c r="A81" t="s">
        <v>84</v>
      </c>
      <c r="B81" t="s">
        <v>172</v>
      </c>
      <c r="C81" t="s">
        <v>153</v>
      </c>
      <c r="D81" t="s">
        <v>193</v>
      </c>
      <c r="E81" t="s">
        <v>210</v>
      </c>
    </row>
    <row r="82" spans="1:5" x14ac:dyDescent="0.25">
      <c r="A82" t="s">
        <v>85</v>
      </c>
      <c r="B82" t="s">
        <v>172</v>
      </c>
      <c r="C82" t="s">
        <v>153</v>
      </c>
      <c r="D82" t="s">
        <v>193</v>
      </c>
      <c r="E82" t="s">
        <v>210</v>
      </c>
    </row>
    <row r="83" spans="1:5" x14ac:dyDescent="0.25">
      <c r="A83" t="s">
        <v>86</v>
      </c>
      <c r="B83" t="s">
        <v>172</v>
      </c>
      <c r="C83" t="s">
        <v>153</v>
      </c>
      <c r="D83" t="s">
        <v>193</v>
      </c>
      <c r="E83" t="s">
        <v>210</v>
      </c>
    </row>
    <row r="84" spans="1:5" x14ac:dyDescent="0.25">
      <c r="A84" t="s">
        <v>87</v>
      </c>
      <c r="B84" t="s">
        <v>172</v>
      </c>
      <c r="C84" t="s">
        <v>153</v>
      </c>
      <c r="D84" t="s">
        <v>193</v>
      </c>
      <c r="E84" t="s">
        <v>210</v>
      </c>
    </row>
    <row r="85" spans="1:5" x14ac:dyDescent="0.25">
      <c r="A85" t="s">
        <v>88</v>
      </c>
      <c r="B85" t="s">
        <v>172</v>
      </c>
      <c r="C85" t="s">
        <v>153</v>
      </c>
      <c r="D85" t="s">
        <v>193</v>
      </c>
      <c r="E85" t="s">
        <v>210</v>
      </c>
    </row>
    <row r="86" spans="1:5" x14ac:dyDescent="0.25">
      <c r="A86" t="s">
        <v>89</v>
      </c>
      <c r="B86" t="s">
        <v>172</v>
      </c>
      <c r="C86" t="s">
        <v>153</v>
      </c>
      <c r="D86" t="s">
        <v>193</v>
      </c>
      <c r="E86" t="s">
        <v>210</v>
      </c>
    </row>
    <row r="87" spans="1:5" x14ac:dyDescent="0.25">
      <c r="A87" t="s">
        <v>90</v>
      </c>
      <c r="B87" t="s">
        <v>173</v>
      </c>
      <c r="C87" t="s">
        <v>154</v>
      </c>
      <c r="D87" t="s">
        <v>186</v>
      </c>
      <c r="E87" t="s">
        <v>211</v>
      </c>
    </row>
    <row r="88" spans="1:5" x14ac:dyDescent="0.25">
      <c r="A88" t="s">
        <v>91</v>
      </c>
      <c r="B88" t="s">
        <v>174</v>
      </c>
      <c r="C88" t="s">
        <v>155</v>
      </c>
      <c r="D88" t="s">
        <v>185</v>
      </c>
      <c r="E88" t="s">
        <v>212</v>
      </c>
    </row>
    <row r="89" spans="1:5" x14ac:dyDescent="0.25">
      <c r="A89" t="s">
        <v>92</v>
      </c>
      <c r="B89" t="s">
        <v>175</v>
      </c>
      <c r="C89" t="s">
        <v>156</v>
      </c>
      <c r="D89" t="s">
        <v>188</v>
      </c>
      <c r="E89" t="s">
        <v>213</v>
      </c>
    </row>
    <row r="90" spans="1:5" x14ac:dyDescent="0.25">
      <c r="A90" t="s">
        <v>93</v>
      </c>
      <c r="B90" t="s">
        <v>173</v>
      </c>
      <c r="C90" t="s">
        <v>154</v>
      </c>
      <c r="D90" t="s">
        <v>186</v>
      </c>
      <c r="E90" t="s">
        <v>211</v>
      </c>
    </row>
    <row r="91" spans="1:5" x14ac:dyDescent="0.25">
      <c r="A91" t="s">
        <v>94</v>
      </c>
      <c r="B91" t="s">
        <v>174</v>
      </c>
      <c r="C91" t="s">
        <v>155</v>
      </c>
      <c r="D91" t="s">
        <v>185</v>
      </c>
      <c r="E91" t="s">
        <v>212</v>
      </c>
    </row>
    <row r="92" spans="1:5" x14ac:dyDescent="0.25">
      <c r="A92" t="s">
        <v>95</v>
      </c>
      <c r="B92" t="s">
        <v>173</v>
      </c>
      <c r="C92" t="s">
        <v>154</v>
      </c>
      <c r="D92" t="s">
        <v>186</v>
      </c>
      <c r="E92" t="s">
        <v>211</v>
      </c>
    </row>
    <row r="93" spans="1:5" x14ac:dyDescent="0.25">
      <c r="A93" t="s">
        <v>96</v>
      </c>
      <c r="B93" t="s">
        <v>175</v>
      </c>
      <c r="C93" t="s">
        <v>156</v>
      </c>
      <c r="D93" t="s">
        <v>188</v>
      </c>
      <c r="E93" t="s">
        <v>213</v>
      </c>
    </row>
    <row r="94" spans="1:5" x14ac:dyDescent="0.25">
      <c r="A94" t="s">
        <v>97</v>
      </c>
      <c r="B94" t="s">
        <v>175</v>
      </c>
      <c r="C94" t="s">
        <v>156</v>
      </c>
      <c r="D94" t="s">
        <v>188</v>
      </c>
      <c r="E94" t="s">
        <v>213</v>
      </c>
    </row>
    <row r="95" spans="1:5" x14ac:dyDescent="0.25">
      <c r="A95" t="s">
        <v>98</v>
      </c>
      <c r="B95" t="s">
        <v>174</v>
      </c>
      <c r="C95" t="s">
        <v>155</v>
      </c>
      <c r="D95" t="s">
        <v>185</v>
      </c>
      <c r="E95" t="s">
        <v>212</v>
      </c>
    </row>
    <row r="96" spans="1:5" x14ac:dyDescent="0.25">
      <c r="A96" t="s">
        <v>99</v>
      </c>
      <c r="B96" t="s">
        <v>174</v>
      </c>
      <c r="C96" t="s">
        <v>155</v>
      </c>
      <c r="D96" t="s">
        <v>185</v>
      </c>
      <c r="E96" t="s">
        <v>212</v>
      </c>
    </row>
    <row r="97" spans="1:5" x14ac:dyDescent="0.25">
      <c r="A97" t="s">
        <v>100</v>
      </c>
      <c r="B97" t="s">
        <v>175</v>
      </c>
      <c r="C97" t="s">
        <v>156</v>
      </c>
      <c r="D97" t="s">
        <v>188</v>
      </c>
      <c r="E97" t="s">
        <v>213</v>
      </c>
    </row>
    <row r="98" spans="1:5" x14ac:dyDescent="0.25">
      <c r="A98" t="s">
        <v>101</v>
      </c>
      <c r="B98" t="s">
        <v>175</v>
      </c>
      <c r="C98" t="s">
        <v>156</v>
      </c>
      <c r="D98" t="s">
        <v>188</v>
      </c>
      <c r="E98" t="s">
        <v>213</v>
      </c>
    </row>
    <row r="99" spans="1:5" x14ac:dyDescent="0.25">
      <c r="A99" t="s">
        <v>102</v>
      </c>
      <c r="B99" t="s">
        <v>175</v>
      </c>
      <c r="C99" t="s">
        <v>156</v>
      </c>
      <c r="D99" t="s">
        <v>188</v>
      </c>
      <c r="E99" t="s">
        <v>213</v>
      </c>
    </row>
    <row r="100" spans="1:5" x14ac:dyDescent="0.25">
      <c r="A100" t="s">
        <v>103</v>
      </c>
      <c r="B100" t="s">
        <v>173</v>
      </c>
      <c r="C100" t="s">
        <v>154</v>
      </c>
      <c r="D100" t="s">
        <v>186</v>
      </c>
      <c r="E100" t="s">
        <v>211</v>
      </c>
    </row>
    <row r="101" spans="1:5" x14ac:dyDescent="0.25">
      <c r="A101" t="s">
        <v>104</v>
      </c>
      <c r="B101" t="s">
        <v>173</v>
      </c>
      <c r="C101" t="s">
        <v>154</v>
      </c>
      <c r="D101" t="s">
        <v>186</v>
      </c>
      <c r="E101" t="s">
        <v>211</v>
      </c>
    </row>
    <row r="102" spans="1:5" x14ac:dyDescent="0.25">
      <c r="A102" t="s">
        <v>105</v>
      </c>
      <c r="B102" t="s">
        <v>175</v>
      </c>
      <c r="C102" t="s">
        <v>156</v>
      </c>
      <c r="D102" t="s">
        <v>188</v>
      </c>
      <c r="E102" t="s">
        <v>213</v>
      </c>
    </row>
    <row r="103" spans="1:5" x14ac:dyDescent="0.25">
      <c r="A103" t="s">
        <v>106</v>
      </c>
      <c r="B103" t="s">
        <v>174</v>
      </c>
      <c r="C103" t="s">
        <v>155</v>
      </c>
      <c r="D103" t="s">
        <v>185</v>
      </c>
      <c r="E103" t="s">
        <v>212</v>
      </c>
    </row>
    <row r="104" spans="1:5" x14ac:dyDescent="0.25">
      <c r="A104" t="s">
        <v>107</v>
      </c>
      <c r="B104" t="s">
        <v>173</v>
      </c>
      <c r="C104" t="s">
        <v>154</v>
      </c>
      <c r="D104" t="s">
        <v>186</v>
      </c>
      <c r="E104" t="s">
        <v>211</v>
      </c>
    </row>
    <row r="105" spans="1:5" x14ac:dyDescent="0.25">
      <c r="A105" t="s">
        <v>108</v>
      </c>
      <c r="B105" t="s">
        <v>174</v>
      </c>
      <c r="C105" t="s">
        <v>155</v>
      </c>
      <c r="D105" t="s">
        <v>185</v>
      </c>
      <c r="E105" t="s">
        <v>212</v>
      </c>
    </row>
    <row r="106" spans="1:5" x14ac:dyDescent="0.25">
      <c r="A106" t="s">
        <v>109</v>
      </c>
      <c r="B106" t="s">
        <v>176</v>
      </c>
      <c r="C106" t="s">
        <v>157</v>
      </c>
      <c r="D106" t="s">
        <v>194</v>
      </c>
      <c r="E106" t="s">
        <v>214</v>
      </c>
    </row>
    <row r="107" spans="1:5" x14ac:dyDescent="0.25">
      <c r="A107" t="s">
        <v>110</v>
      </c>
      <c r="B107" t="s">
        <v>176</v>
      </c>
      <c r="C107" t="s">
        <v>157</v>
      </c>
      <c r="D107" t="s">
        <v>194</v>
      </c>
      <c r="E107" t="s">
        <v>214</v>
      </c>
    </row>
    <row r="108" spans="1:5" x14ac:dyDescent="0.25">
      <c r="A108" t="s">
        <v>111</v>
      </c>
      <c r="B108" t="s">
        <v>176</v>
      </c>
      <c r="C108" t="s">
        <v>157</v>
      </c>
      <c r="D108" t="s">
        <v>194</v>
      </c>
      <c r="E108" t="s">
        <v>214</v>
      </c>
    </row>
    <row r="109" spans="1:5" x14ac:dyDescent="0.25">
      <c r="A109" t="s">
        <v>112</v>
      </c>
      <c r="B109" t="s">
        <v>176</v>
      </c>
      <c r="C109" t="s">
        <v>157</v>
      </c>
      <c r="D109" t="s">
        <v>194</v>
      </c>
      <c r="E109" t="s">
        <v>214</v>
      </c>
    </row>
    <row r="110" spans="1:5" x14ac:dyDescent="0.25">
      <c r="A110" t="s">
        <v>113</v>
      </c>
      <c r="B110" t="s">
        <v>177</v>
      </c>
      <c r="C110" t="s">
        <v>158</v>
      </c>
      <c r="D110" t="s">
        <v>192</v>
      </c>
      <c r="E110" t="s">
        <v>215</v>
      </c>
    </row>
    <row r="111" spans="1:5" x14ac:dyDescent="0.25">
      <c r="A111" t="s">
        <v>114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115</v>
      </c>
      <c r="B112" t="s">
        <v>178</v>
      </c>
      <c r="C112" t="s">
        <v>159</v>
      </c>
      <c r="D112" t="s">
        <v>191</v>
      </c>
      <c r="E112" t="s">
        <v>216</v>
      </c>
    </row>
    <row r="113" spans="1:5" x14ac:dyDescent="0.25">
      <c r="A113" t="s">
        <v>116</v>
      </c>
      <c r="B113" t="s">
        <v>178</v>
      </c>
      <c r="C113" t="s">
        <v>159</v>
      </c>
      <c r="D113" t="s">
        <v>191</v>
      </c>
      <c r="E113" t="s">
        <v>216</v>
      </c>
    </row>
    <row r="114" spans="1:5" x14ac:dyDescent="0.25">
      <c r="A114" t="s">
        <v>117</v>
      </c>
      <c r="B114" t="s">
        <v>178</v>
      </c>
      <c r="C114" t="s">
        <v>159</v>
      </c>
      <c r="D114" t="s">
        <v>191</v>
      </c>
      <c r="E114" t="s">
        <v>216</v>
      </c>
    </row>
    <row r="115" spans="1:5" x14ac:dyDescent="0.25">
      <c r="A115" t="s">
        <v>118</v>
      </c>
      <c r="B115" t="s">
        <v>178</v>
      </c>
      <c r="C115" t="s">
        <v>159</v>
      </c>
      <c r="D115" t="s">
        <v>191</v>
      </c>
      <c r="E115" t="s">
        <v>216</v>
      </c>
    </row>
    <row r="116" spans="1:5" x14ac:dyDescent="0.25">
      <c r="A116" t="s">
        <v>119</v>
      </c>
      <c r="B116" t="s">
        <v>178</v>
      </c>
      <c r="C116" t="s">
        <v>159</v>
      </c>
      <c r="D116" t="s">
        <v>191</v>
      </c>
      <c r="E116" t="s">
        <v>216</v>
      </c>
    </row>
    <row r="117" spans="1:5" x14ac:dyDescent="0.25">
      <c r="A117" t="s">
        <v>120</v>
      </c>
      <c r="B117" t="s">
        <v>176</v>
      </c>
      <c r="C117" t="s">
        <v>157</v>
      </c>
      <c r="D117" t="s">
        <v>194</v>
      </c>
      <c r="E117" t="s">
        <v>214</v>
      </c>
    </row>
    <row r="118" spans="1:5" x14ac:dyDescent="0.25">
      <c r="A118" t="s">
        <v>121</v>
      </c>
      <c r="B118" t="s">
        <v>176</v>
      </c>
      <c r="C118" t="s">
        <v>157</v>
      </c>
      <c r="D118" t="s">
        <v>194</v>
      </c>
      <c r="E118" t="s">
        <v>214</v>
      </c>
    </row>
    <row r="119" spans="1:5" x14ac:dyDescent="0.25">
      <c r="A119" t="s">
        <v>122</v>
      </c>
      <c r="B119" t="s">
        <v>176</v>
      </c>
      <c r="C119" t="s">
        <v>157</v>
      </c>
      <c r="D119" t="s">
        <v>194</v>
      </c>
      <c r="E119" t="s">
        <v>214</v>
      </c>
    </row>
    <row r="120" spans="1:5" x14ac:dyDescent="0.25">
      <c r="A120" t="s">
        <v>123</v>
      </c>
      <c r="B120" t="s">
        <v>178</v>
      </c>
      <c r="C120" t="s">
        <v>159</v>
      </c>
      <c r="D120" t="s">
        <v>191</v>
      </c>
      <c r="E120" t="s">
        <v>216</v>
      </c>
    </row>
    <row r="121" spans="1:5" x14ac:dyDescent="0.25">
      <c r="A121" t="s">
        <v>124</v>
      </c>
      <c r="B121" t="s">
        <v>177</v>
      </c>
      <c r="C121" t="s">
        <v>158</v>
      </c>
      <c r="D121" t="s">
        <v>192</v>
      </c>
      <c r="E121" t="s">
        <v>215</v>
      </c>
    </row>
    <row r="122" spans="1:5" x14ac:dyDescent="0.25">
      <c r="A122" t="s">
        <v>125</v>
      </c>
      <c r="B122" t="s">
        <v>177</v>
      </c>
      <c r="C122" t="s">
        <v>158</v>
      </c>
      <c r="D122" t="s">
        <v>192</v>
      </c>
      <c r="E122" t="s">
        <v>215</v>
      </c>
    </row>
    <row r="123" spans="1:5" x14ac:dyDescent="0.25">
      <c r="A123" t="s">
        <v>126</v>
      </c>
      <c r="B123" t="s">
        <v>177</v>
      </c>
      <c r="C123" t="s">
        <v>158</v>
      </c>
      <c r="D123" t="s">
        <v>192</v>
      </c>
      <c r="E123" t="s">
        <v>215</v>
      </c>
    </row>
    <row r="124" spans="1:5" x14ac:dyDescent="0.25">
      <c r="A124" t="s">
        <v>127</v>
      </c>
      <c r="B124" t="s">
        <v>177</v>
      </c>
      <c r="C124" t="s">
        <v>158</v>
      </c>
      <c r="D124" t="s">
        <v>192</v>
      </c>
      <c r="E124" t="s">
        <v>215</v>
      </c>
    </row>
    <row r="125" spans="1:5" x14ac:dyDescent="0.25">
      <c r="A125" t="s">
        <v>128</v>
      </c>
      <c r="B125" t="s">
        <v>177</v>
      </c>
      <c r="C125" t="s">
        <v>158</v>
      </c>
      <c r="D125" t="s">
        <v>192</v>
      </c>
      <c r="E125" t="s">
        <v>215</v>
      </c>
    </row>
    <row r="126" spans="1:5" x14ac:dyDescent="0.25">
      <c r="A126" t="s">
        <v>129</v>
      </c>
      <c r="B126" t="s">
        <v>177</v>
      </c>
      <c r="C126" t="s">
        <v>158</v>
      </c>
      <c r="D126" t="s">
        <v>192</v>
      </c>
      <c r="E126" t="s">
        <v>215</v>
      </c>
    </row>
    <row r="127" spans="1:5" x14ac:dyDescent="0.25">
      <c r="A127" t="s">
        <v>130</v>
      </c>
      <c r="B127" t="s">
        <v>179</v>
      </c>
      <c r="C127" t="s">
        <v>160</v>
      </c>
      <c r="D127" t="s">
        <v>184</v>
      </c>
      <c r="E127" t="s">
        <v>217</v>
      </c>
    </row>
    <row r="128" spans="1:5" x14ac:dyDescent="0.25">
      <c r="A128" t="s">
        <v>131</v>
      </c>
      <c r="B128" t="s">
        <v>180</v>
      </c>
      <c r="C128" t="s">
        <v>161</v>
      </c>
      <c r="D128" t="s">
        <v>183</v>
      </c>
      <c r="E128" t="s">
        <v>218</v>
      </c>
    </row>
    <row r="129" spans="1:5" x14ac:dyDescent="0.25">
      <c r="A129" t="s">
        <v>132</v>
      </c>
      <c r="B129" t="s">
        <v>180</v>
      </c>
      <c r="C129" t="s">
        <v>161</v>
      </c>
      <c r="D129" t="s">
        <v>183</v>
      </c>
      <c r="E129" t="s">
        <v>218</v>
      </c>
    </row>
    <row r="130" spans="1:5" x14ac:dyDescent="0.25">
      <c r="A130" t="s">
        <v>133</v>
      </c>
      <c r="B130" t="s">
        <v>180</v>
      </c>
      <c r="C130" t="s">
        <v>161</v>
      </c>
      <c r="D130" t="s">
        <v>183</v>
      </c>
      <c r="E130" t="s">
        <v>218</v>
      </c>
    </row>
    <row r="131" spans="1:5" x14ac:dyDescent="0.25">
      <c r="A131" t="s">
        <v>134</v>
      </c>
      <c r="B131" t="s">
        <v>180</v>
      </c>
      <c r="C131" t="s">
        <v>161</v>
      </c>
      <c r="D131" t="s">
        <v>183</v>
      </c>
      <c r="E131" t="s">
        <v>218</v>
      </c>
    </row>
    <row r="132" spans="1:5" x14ac:dyDescent="0.25">
      <c r="A132" t="s">
        <v>135</v>
      </c>
      <c r="B132" t="s">
        <v>180</v>
      </c>
      <c r="C132" t="s">
        <v>161</v>
      </c>
      <c r="D132" t="s">
        <v>183</v>
      </c>
      <c r="E132" t="s">
        <v>218</v>
      </c>
    </row>
    <row r="133" spans="1:5" x14ac:dyDescent="0.25">
      <c r="A133" t="s">
        <v>136</v>
      </c>
      <c r="B133" t="s">
        <v>180</v>
      </c>
      <c r="C133" t="s">
        <v>161</v>
      </c>
      <c r="D133" t="s">
        <v>183</v>
      </c>
      <c r="E133" t="s">
        <v>218</v>
      </c>
    </row>
    <row r="134" spans="1:5" x14ac:dyDescent="0.25">
      <c r="A134" t="s">
        <v>137</v>
      </c>
      <c r="B134" t="s">
        <v>179</v>
      </c>
      <c r="C134" t="s">
        <v>160</v>
      </c>
      <c r="D134" t="s">
        <v>184</v>
      </c>
      <c r="E134" t="s">
        <v>217</v>
      </c>
    </row>
    <row r="135" spans="1:5" x14ac:dyDescent="0.25">
      <c r="A135" t="s">
        <v>138</v>
      </c>
      <c r="B135" t="s">
        <v>180</v>
      </c>
      <c r="C135" t="s">
        <v>161</v>
      </c>
      <c r="D135" t="s">
        <v>183</v>
      </c>
      <c r="E135" t="s">
        <v>218</v>
      </c>
    </row>
    <row r="136" spans="1:5" x14ac:dyDescent="0.25">
      <c r="A136" t="s">
        <v>139</v>
      </c>
      <c r="B136" t="s">
        <v>179</v>
      </c>
      <c r="C136" t="s">
        <v>160</v>
      </c>
      <c r="D136" t="s">
        <v>184</v>
      </c>
      <c r="E136" t="s">
        <v>217</v>
      </c>
    </row>
    <row r="137" spans="1:5" x14ac:dyDescent="0.25">
      <c r="A137" t="s">
        <v>140</v>
      </c>
      <c r="B137" t="s">
        <v>179</v>
      </c>
      <c r="C137" t="s">
        <v>160</v>
      </c>
      <c r="D137" t="s">
        <v>184</v>
      </c>
      <c r="E137" t="s">
        <v>217</v>
      </c>
    </row>
    <row r="138" spans="1:5" x14ac:dyDescent="0.25">
      <c r="A138" t="s">
        <v>141</v>
      </c>
      <c r="B138" t="s">
        <v>179</v>
      </c>
      <c r="C138" t="s">
        <v>160</v>
      </c>
      <c r="D138" t="s">
        <v>184</v>
      </c>
      <c r="E138" t="s">
        <v>217</v>
      </c>
    </row>
    <row r="139" spans="1:5" x14ac:dyDescent="0.25">
      <c r="A139" t="s">
        <v>142</v>
      </c>
      <c r="B139" t="s">
        <v>179</v>
      </c>
      <c r="C139" t="s">
        <v>160</v>
      </c>
      <c r="D139" t="s">
        <v>184</v>
      </c>
      <c r="E139" t="s"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E4C1B-0CB1-46E0-94EE-53BC2272F8FE}">
  <dimension ref="A1:J1058"/>
  <sheetViews>
    <sheetView workbookViewId="0">
      <selection activeCell="C1" sqref="C1:J1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s="1" t="s">
        <v>10</v>
      </c>
      <c r="B2">
        <v>7172010009002800</v>
      </c>
      <c r="C2">
        <v>100</v>
      </c>
      <c r="D2">
        <v>0</v>
      </c>
      <c r="E2">
        <v>11</v>
      </c>
      <c r="F2">
        <v>44</v>
      </c>
      <c r="G2">
        <v>0</v>
      </c>
      <c r="H2">
        <v>0</v>
      </c>
      <c r="I2">
        <v>45</v>
      </c>
      <c r="J2">
        <v>0</v>
      </c>
    </row>
    <row r="3" spans="1:10" x14ac:dyDescent="0.25">
      <c r="A3" s="1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s="1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s="1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s="1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s="1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s="1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s="1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1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1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s="1" t="s">
        <v>6</v>
      </c>
      <c r="B13">
        <v>7172010008000200</v>
      </c>
      <c r="C13">
        <v>66</v>
      </c>
      <c r="D13">
        <v>0</v>
      </c>
      <c r="E13">
        <v>1</v>
      </c>
      <c r="F13">
        <v>53</v>
      </c>
      <c r="G13">
        <v>0</v>
      </c>
      <c r="H13">
        <v>0</v>
      </c>
      <c r="I13">
        <v>12</v>
      </c>
      <c r="J13">
        <v>0</v>
      </c>
    </row>
    <row r="14" spans="1:10" x14ac:dyDescent="0.25">
      <c r="A14" s="1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1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s="1" t="s">
        <v>6</v>
      </c>
      <c r="B16">
        <v>7172010008000300</v>
      </c>
      <c r="C16">
        <v>43</v>
      </c>
      <c r="D16">
        <v>3</v>
      </c>
      <c r="E16">
        <v>4</v>
      </c>
      <c r="F16">
        <v>4</v>
      </c>
      <c r="G16">
        <v>1</v>
      </c>
      <c r="H16">
        <v>0</v>
      </c>
      <c r="I16">
        <v>31</v>
      </c>
      <c r="J16">
        <v>0</v>
      </c>
    </row>
    <row r="17" spans="1:10" x14ac:dyDescent="0.25">
      <c r="A17" s="1" t="s">
        <v>13</v>
      </c>
      <c r="B17">
        <v>7172010010002100</v>
      </c>
      <c r="C17">
        <v>83</v>
      </c>
      <c r="D17">
        <v>7</v>
      </c>
      <c r="E17">
        <v>2</v>
      </c>
      <c r="F17">
        <v>13</v>
      </c>
      <c r="G17">
        <v>0</v>
      </c>
      <c r="H17">
        <v>0</v>
      </c>
      <c r="I17">
        <v>61</v>
      </c>
      <c r="J17">
        <v>0</v>
      </c>
    </row>
    <row r="18" spans="1:10" x14ac:dyDescent="0.25">
      <c r="A18" s="1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s="1" t="s">
        <v>13</v>
      </c>
      <c r="B19">
        <v>7172010010001800</v>
      </c>
      <c r="C19">
        <v>67</v>
      </c>
      <c r="D19">
        <v>0</v>
      </c>
      <c r="E19">
        <v>1</v>
      </c>
      <c r="F19">
        <v>62</v>
      </c>
      <c r="G19">
        <v>0</v>
      </c>
      <c r="H19">
        <v>0</v>
      </c>
      <c r="I19">
        <v>4</v>
      </c>
      <c r="J19">
        <v>0</v>
      </c>
    </row>
    <row r="20" spans="1:10" x14ac:dyDescent="0.25">
      <c r="A20" s="1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s="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s="1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s="1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s="1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s="1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s="1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s="1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s="1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s="1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s="1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s="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s="1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s="1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s="1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s="1" t="s">
        <v>16</v>
      </c>
      <c r="B35">
        <v>7172010012002000</v>
      </c>
      <c r="C35">
        <v>45</v>
      </c>
      <c r="D35">
        <v>0</v>
      </c>
      <c r="E35">
        <v>0</v>
      </c>
      <c r="F35">
        <v>45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s="1" t="s">
        <v>16</v>
      </c>
      <c r="B36">
        <v>7172010012001500</v>
      </c>
      <c r="C36">
        <v>43</v>
      </c>
      <c r="D36">
        <v>0</v>
      </c>
      <c r="E36">
        <v>0</v>
      </c>
      <c r="F36">
        <v>43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s="1" t="s">
        <v>16</v>
      </c>
      <c r="B37">
        <v>7172010012001700</v>
      </c>
      <c r="C37">
        <v>39</v>
      </c>
      <c r="D37">
        <v>0</v>
      </c>
      <c r="E37">
        <v>0</v>
      </c>
      <c r="F37">
        <v>39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s="1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s="1" t="s">
        <v>16</v>
      </c>
      <c r="B39">
        <v>7172010012001300</v>
      </c>
      <c r="C39">
        <v>30</v>
      </c>
      <c r="D39">
        <v>0</v>
      </c>
      <c r="E39">
        <v>0</v>
      </c>
      <c r="F39">
        <v>0</v>
      </c>
      <c r="G39">
        <v>0</v>
      </c>
      <c r="H39">
        <v>0</v>
      </c>
      <c r="I39">
        <v>30</v>
      </c>
      <c r="J39">
        <v>0</v>
      </c>
    </row>
    <row r="40" spans="1:10" x14ac:dyDescent="0.25">
      <c r="A40" s="1" t="s">
        <v>16</v>
      </c>
      <c r="B40">
        <v>7172010012001900</v>
      </c>
      <c r="C40">
        <v>28</v>
      </c>
      <c r="D40">
        <v>0</v>
      </c>
      <c r="E40">
        <v>0</v>
      </c>
      <c r="F40">
        <v>28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s="1" t="s">
        <v>16</v>
      </c>
      <c r="B41">
        <v>7172010012001600</v>
      </c>
      <c r="C41">
        <v>21</v>
      </c>
      <c r="D41">
        <v>0</v>
      </c>
      <c r="E41">
        <v>1</v>
      </c>
      <c r="F41">
        <v>5</v>
      </c>
      <c r="G41">
        <v>0</v>
      </c>
      <c r="H41">
        <v>0</v>
      </c>
      <c r="I41">
        <v>15</v>
      </c>
      <c r="J41">
        <v>0</v>
      </c>
    </row>
    <row r="42" spans="1:10" x14ac:dyDescent="0.25">
      <c r="A42" s="1" t="s">
        <v>17</v>
      </c>
      <c r="B42">
        <v>7172010015003300</v>
      </c>
      <c r="C42">
        <v>184</v>
      </c>
      <c r="D42">
        <v>0</v>
      </c>
      <c r="E42">
        <v>0</v>
      </c>
      <c r="F42">
        <v>184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s="1" t="s">
        <v>17</v>
      </c>
      <c r="B43">
        <v>7172010015003400</v>
      </c>
      <c r="C43">
        <v>170</v>
      </c>
      <c r="D43">
        <v>1</v>
      </c>
      <c r="E43">
        <v>10</v>
      </c>
      <c r="F43">
        <v>100</v>
      </c>
      <c r="G43">
        <v>0</v>
      </c>
      <c r="H43">
        <v>0</v>
      </c>
      <c r="I43">
        <v>59</v>
      </c>
      <c r="J43">
        <v>0</v>
      </c>
    </row>
    <row r="44" spans="1:10" x14ac:dyDescent="0.25">
      <c r="A44" s="1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s="1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s="1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s="1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s="1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s="1" t="s">
        <v>20</v>
      </c>
      <c r="B49">
        <v>7172010016001700</v>
      </c>
      <c r="C49">
        <v>101</v>
      </c>
      <c r="D49">
        <v>10</v>
      </c>
      <c r="E49">
        <v>5</v>
      </c>
      <c r="F49">
        <v>35</v>
      </c>
      <c r="G49">
        <v>0</v>
      </c>
      <c r="H49">
        <v>0</v>
      </c>
      <c r="I49">
        <v>51</v>
      </c>
      <c r="J49">
        <v>0</v>
      </c>
    </row>
    <row r="50" spans="1:10" x14ac:dyDescent="0.25">
      <c r="A50" s="1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s="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s="1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s="1" t="s">
        <v>20</v>
      </c>
      <c r="B53">
        <v>7172010016002100</v>
      </c>
      <c r="C53">
        <v>56</v>
      </c>
      <c r="D53">
        <v>0</v>
      </c>
      <c r="E53">
        <v>0</v>
      </c>
      <c r="F53">
        <v>56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s="1" t="s">
        <v>20</v>
      </c>
      <c r="B54">
        <v>7172010016002000</v>
      </c>
      <c r="C54">
        <v>55</v>
      </c>
      <c r="D54">
        <v>0</v>
      </c>
      <c r="E54">
        <v>0</v>
      </c>
      <c r="F54">
        <v>55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s="1" t="s">
        <v>20</v>
      </c>
      <c r="B55">
        <v>7172010016001600</v>
      </c>
      <c r="C55">
        <v>48</v>
      </c>
      <c r="D55">
        <v>0</v>
      </c>
      <c r="E55">
        <v>0</v>
      </c>
      <c r="F55">
        <v>48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s="1" t="s">
        <v>20</v>
      </c>
      <c r="B56">
        <v>7172010016001400</v>
      </c>
      <c r="C56">
        <v>47</v>
      </c>
      <c r="D56">
        <v>0</v>
      </c>
      <c r="E56">
        <v>0</v>
      </c>
      <c r="F56">
        <v>47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s="1" t="s">
        <v>20</v>
      </c>
      <c r="B57">
        <v>7172010016002200</v>
      </c>
      <c r="C57">
        <v>46</v>
      </c>
      <c r="D57">
        <v>0</v>
      </c>
      <c r="E57">
        <v>5</v>
      </c>
      <c r="F57">
        <v>36</v>
      </c>
      <c r="G57">
        <v>0</v>
      </c>
      <c r="H57">
        <v>0</v>
      </c>
      <c r="I57">
        <v>5</v>
      </c>
      <c r="J57">
        <v>0</v>
      </c>
    </row>
    <row r="58" spans="1:10" x14ac:dyDescent="0.25">
      <c r="A58" s="1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s="1" t="s">
        <v>18</v>
      </c>
      <c r="B59">
        <v>7172010017001300</v>
      </c>
      <c r="C59">
        <v>136</v>
      </c>
      <c r="D59">
        <v>4</v>
      </c>
      <c r="E59">
        <v>3</v>
      </c>
      <c r="F59">
        <v>29</v>
      </c>
      <c r="G59">
        <v>21</v>
      </c>
      <c r="H59">
        <v>0</v>
      </c>
      <c r="I59">
        <v>79</v>
      </c>
      <c r="J59">
        <v>0</v>
      </c>
    </row>
    <row r="60" spans="1:10" x14ac:dyDescent="0.25">
      <c r="A60" s="1" t="s">
        <v>18</v>
      </c>
      <c r="B60">
        <v>7172010017001800</v>
      </c>
      <c r="C60">
        <v>82</v>
      </c>
      <c r="D60">
        <v>0</v>
      </c>
      <c r="E60">
        <v>0</v>
      </c>
      <c r="F60">
        <v>82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s="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s="1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s="1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s="1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s="1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s="1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s="1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s="1" t="s">
        <v>22</v>
      </c>
      <c r="B68">
        <v>7172010015002400</v>
      </c>
      <c r="C68">
        <v>137</v>
      </c>
      <c r="D68">
        <v>1</v>
      </c>
      <c r="E68">
        <v>1</v>
      </c>
      <c r="F68">
        <v>66</v>
      </c>
      <c r="G68">
        <v>2</v>
      </c>
      <c r="H68">
        <v>0</v>
      </c>
      <c r="I68">
        <v>67</v>
      </c>
      <c r="J68">
        <v>0</v>
      </c>
    </row>
    <row r="69" spans="1:10" x14ac:dyDescent="0.25">
      <c r="A69" s="1" t="s">
        <v>22</v>
      </c>
      <c r="B69">
        <v>7172010015002100</v>
      </c>
      <c r="C69">
        <v>95</v>
      </c>
      <c r="D69">
        <v>0</v>
      </c>
      <c r="E69">
        <v>0</v>
      </c>
      <c r="F69">
        <v>95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s="1" t="s">
        <v>22</v>
      </c>
      <c r="B70">
        <v>7172010015002301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s="1" t="s">
        <v>22</v>
      </c>
      <c r="B71">
        <v>7172010015002500</v>
      </c>
      <c r="C71">
        <v>87</v>
      </c>
      <c r="D71">
        <v>0</v>
      </c>
      <c r="E71">
        <v>3</v>
      </c>
      <c r="F71">
        <v>79</v>
      </c>
      <c r="G71">
        <v>0</v>
      </c>
      <c r="H71">
        <v>0</v>
      </c>
      <c r="I71">
        <v>5</v>
      </c>
      <c r="J71">
        <v>0</v>
      </c>
    </row>
    <row r="72" spans="1:10" x14ac:dyDescent="0.25">
      <c r="A72" s="1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s="1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s="1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s="1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s="1" t="s">
        <v>24</v>
      </c>
      <c r="B76">
        <v>7172010016001300</v>
      </c>
      <c r="C76">
        <v>93</v>
      </c>
      <c r="D76">
        <v>2</v>
      </c>
      <c r="E76">
        <v>30</v>
      </c>
      <c r="F76">
        <v>34</v>
      </c>
      <c r="G76">
        <v>0</v>
      </c>
      <c r="H76">
        <v>0</v>
      </c>
      <c r="I76">
        <v>27</v>
      </c>
      <c r="J76">
        <v>0</v>
      </c>
    </row>
    <row r="77" spans="1:10" x14ac:dyDescent="0.25">
      <c r="A77" s="1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s="1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s="1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s="1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s="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s="1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s="1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s="1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s="1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s="1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s="1" t="s">
        <v>26</v>
      </c>
      <c r="B87">
        <v>7172011001000100</v>
      </c>
      <c r="C87">
        <v>151</v>
      </c>
      <c r="D87">
        <v>40</v>
      </c>
      <c r="E87">
        <v>37</v>
      </c>
      <c r="F87">
        <v>63</v>
      </c>
      <c r="G87">
        <v>11</v>
      </c>
      <c r="H87">
        <v>0</v>
      </c>
      <c r="I87">
        <v>0</v>
      </c>
      <c r="J87">
        <v>0</v>
      </c>
    </row>
    <row r="88" spans="1:10" x14ac:dyDescent="0.25">
      <c r="A88" s="1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s="1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s="1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s="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s="1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s="1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s="1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s="1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s="1" t="s">
        <v>19</v>
      </c>
      <c r="B96">
        <v>7172010016002400</v>
      </c>
      <c r="C96">
        <v>100</v>
      </c>
      <c r="D96">
        <v>0</v>
      </c>
      <c r="E96">
        <v>0</v>
      </c>
      <c r="F96">
        <v>19</v>
      </c>
      <c r="G96">
        <v>1</v>
      </c>
      <c r="H96">
        <v>0</v>
      </c>
      <c r="I96">
        <v>80</v>
      </c>
      <c r="J96">
        <v>0</v>
      </c>
    </row>
    <row r="97" spans="1:10" x14ac:dyDescent="0.25">
      <c r="A97" s="1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s="1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s="1" t="s">
        <v>19</v>
      </c>
      <c r="B99">
        <v>7172010017000100</v>
      </c>
      <c r="C99">
        <v>48</v>
      </c>
      <c r="D99">
        <v>0</v>
      </c>
      <c r="E99">
        <v>0</v>
      </c>
      <c r="F99">
        <v>33</v>
      </c>
      <c r="G99">
        <v>0</v>
      </c>
      <c r="H99">
        <v>0</v>
      </c>
      <c r="I99">
        <v>15</v>
      </c>
      <c r="J99">
        <v>0</v>
      </c>
    </row>
    <row r="100" spans="1:10" x14ac:dyDescent="0.25">
      <c r="A100" s="1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s="1" t="s">
        <v>19</v>
      </c>
      <c r="B101">
        <v>7172010017000200</v>
      </c>
      <c r="C101">
        <v>43</v>
      </c>
      <c r="D101">
        <v>0</v>
      </c>
      <c r="E101">
        <v>0</v>
      </c>
      <c r="F101">
        <v>42</v>
      </c>
      <c r="G101">
        <v>0</v>
      </c>
      <c r="H101">
        <v>0</v>
      </c>
      <c r="I101">
        <v>1</v>
      </c>
      <c r="J101">
        <v>0</v>
      </c>
    </row>
    <row r="102" spans="1:10" x14ac:dyDescent="0.25">
      <c r="A102" s="1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s="1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s="1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s="1" t="s">
        <v>28</v>
      </c>
      <c r="B105">
        <v>7172011002000700</v>
      </c>
      <c r="C105">
        <v>94</v>
      </c>
      <c r="D105">
        <v>0</v>
      </c>
      <c r="E105">
        <v>13</v>
      </c>
      <c r="F105">
        <v>57</v>
      </c>
      <c r="G105">
        <v>0</v>
      </c>
      <c r="H105">
        <v>0</v>
      </c>
      <c r="I105">
        <v>24</v>
      </c>
      <c r="J105">
        <v>0</v>
      </c>
    </row>
    <row r="106" spans="1:10" x14ac:dyDescent="0.25">
      <c r="A106" s="1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s="1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s="1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s="1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s="1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s="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s="1" t="s">
        <v>42</v>
      </c>
      <c r="B112">
        <v>7172011014001600</v>
      </c>
      <c r="C112">
        <v>108</v>
      </c>
      <c r="D112">
        <v>17</v>
      </c>
      <c r="E112">
        <v>23</v>
      </c>
      <c r="F112">
        <v>38</v>
      </c>
      <c r="G112">
        <v>1</v>
      </c>
      <c r="H112">
        <v>0</v>
      </c>
      <c r="I112">
        <v>29</v>
      </c>
      <c r="J112">
        <v>0</v>
      </c>
    </row>
    <row r="113" spans="1:10" x14ac:dyDescent="0.25">
      <c r="A113" s="1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s="1" t="s">
        <v>42</v>
      </c>
      <c r="B114">
        <v>7172011014001701</v>
      </c>
      <c r="C114">
        <v>64</v>
      </c>
      <c r="D114">
        <v>0</v>
      </c>
      <c r="E114">
        <v>0</v>
      </c>
      <c r="F114">
        <v>64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s="1" t="s">
        <v>42</v>
      </c>
      <c r="B115">
        <v>7172011014001500</v>
      </c>
      <c r="C115">
        <v>63</v>
      </c>
      <c r="D115">
        <v>0</v>
      </c>
      <c r="E115">
        <v>3</v>
      </c>
      <c r="F115">
        <v>59</v>
      </c>
      <c r="G115">
        <v>0</v>
      </c>
      <c r="H115">
        <v>0</v>
      </c>
      <c r="I115">
        <v>1</v>
      </c>
      <c r="J115">
        <v>0</v>
      </c>
    </row>
    <row r="116" spans="1:10" x14ac:dyDescent="0.25">
      <c r="A116" s="1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s="1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s="1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s="1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s="1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s="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s="1" t="s">
        <v>45</v>
      </c>
      <c r="B122">
        <v>7172011013000100</v>
      </c>
      <c r="C122">
        <v>59</v>
      </c>
      <c r="D122">
        <v>0</v>
      </c>
      <c r="E122">
        <v>0</v>
      </c>
      <c r="F122">
        <v>21</v>
      </c>
      <c r="G122">
        <v>0</v>
      </c>
      <c r="H122">
        <v>0</v>
      </c>
      <c r="I122">
        <v>38</v>
      </c>
      <c r="J122">
        <v>0</v>
      </c>
    </row>
    <row r="123" spans="1:10" x14ac:dyDescent="0.25">
      <c r="A123" s="1" t="s">
        <v>45</v>
      </c>
      <c r="B123">
        <v>7172011013000200</v>
      </c>
      <c r="C123">
        <v>47</v>
      </c>
      <c r="D123">
        <v>0</v>
      </c>
      <c r="E123">
        <v>0</v>
      </c>
      <c r="F123">
        <v>40</v>
      </c>
      <c r="G123">
        <v>0</v>
      </c>
      <c r="H123">
        <v>0</v>
      </c>
      <c r="I123">
        <v>7</v>
      </c>
      <c r="J123">
        <v>0</v>
      </c>
    </row>
    <row r="124" spans="1:10" x14ac:dyDescent="0.25">
      <c r="A124" s="1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s="1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s="1" t="s">
        <v>35</v>
      </c>
      <c r="B126">
        <v>7172011003001900</v>
      </c>
      <c r="C126">
        <v>111</v>
      </c>
      <c r="D126">
        <v>0</v>
      </c>
      <c r="E126">
        <v>11</v>
      </c>
      <c r="F126">
        <v>80</v>
      </c>
      <c r="G126">
        <v>0</v>
      </c>
      <c r="H126">
        <v>0</v>
      </c>
      <c r="I126">
        <v>20</v>
      </c>
      <c r="J126">
        <v>0</v>
      </c>
    </row>
    <row r="127" spans="1:10" x14ac:dyDescent="0.25">
      <c r="A127" s="1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s="1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s="1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s="1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s="1" t="s">
        <v>37</v>
      </c>
      <c r="B131">
        <v>7172011003002602</v>
      </c>
      <c r="C131">
        <v>156</v>
      </c>
      <c r="D131">
        <v>0</v>
      </c>
      <c r="E131">
        <v>24</v>
      </c>
      <c r="F131">
        <v>88</v>
      </c>
      <c r="G131">
        <v>0</v>
      </c>
      <c r="H131">
        <v>0</v>
      </c>
      <c r="I131">
        <v>44</v>
      </c>
      <c r="J131">
        <v>0</v>
      </c>
    </row>
    <row r="132" spans="1:10" x14ac:dyDescent="0.25">
      <c r="A132" s="1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s="1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s="1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s="1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s="1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s="1" t="s">
        <v>31</v>
      </c>
      <c r="B137">
        <v>7172011003003600</v>
      </c>
      <c r="C137">
        <v>220</v>
      </c>
      <c r="D137">
        <v>0</v>
      </c>
      <c r="E137">
        <v>5</v>
      </c>
      <c r="F137">
        <v>147</v>
      </c>
      <c r="G137">
        <v>0</v>
      </c>
      <c r="H137">
        <v>0</v>
      </c>
      <c r="I137">
        <v>68</v>
      </c>
      <c r="J137">
        <v>0</v>
      </c>
    </row>
    <row r="138" spans="1:10" x14ac:dyDescent="0.25">
      <c r="A138" s="1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s="1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s="1" t="s">
        <v>41</v>
      </c>
      <c r="B140">
        <v>7172011004001800</v>
      </c>
      <c r="C140">
        <v>211</v>
      </c>
      <c r="D140">
        <v>66</v>
      </c>
      <c r="E140">
        <v>25</v>
      </c>
      <c r="F140">
        <v>77</v>
      </c>
      <c r="G140">
        <v>19</v>
      </c>
      <c r="H140">
        <v>0</v>
      </c>
      <c r="I140">
        <v>24</v>
      </c>
      <c r="J140">
        <v>0</v>
      </c>
    </row>
    <row r="141" spans="1:10" x14ac:dyDescent="0.25">
      <c r="A141" s="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s="1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s="1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s="1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s="1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s="1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s="1" t="s">
        <v>46</v>
      </c>
      <c r="B147">
        <v>7172011013000800</v>
      </c>
      <c r="C147">
        <v>79</v>
      </c>
      <c r="D147">
        <v>0</v>
      </c>
      <c r="E147">
        <v>0</v>
      </c>
      <c r="F147">
        <v>79</v>
      </c>
      <c r="G147">
        <v>0</v>
      </c>
      <c r="H147">
        <v>0</v>
      </c>
      <c r="I147">
        <v>0</v>
      </c>
      <c r="J147">
        <v>0</v>
      </c>
    </row>
    <row r="148" spans="1:10" x14ac:dyDescent="0.25">
      <c r="A148" s="1" t="s">
        <v>46</v>
      </c>
      <c r="B148">
        <v>7172011013000900</v>
      </c>
      <c r="C148">
        <v>78</v>
      </c>
      <c r="D148">
        <v>2</v>
      </c>
      <c r="E148">
        <v>13</v>
      </c>
      <c r="F148">
        <v>29</v>
      </c>
      <c r="G148">
        <v>29</v>
      </c>
      <c r="H148">
        <v>0</v>
      </c>
      <c r="I148">
        <v>5</v>
      </c>
      <c r="J148">
        <v>0</v>
      </c>
    </row>
    <row r="149" spans="1:10" x14ac:dyDescent="0.25">
      <c r="A149" s="1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s="1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s="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s="1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s="1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s="1" t="s">
        <v>46</v>
      </c>
      <c r="B154">
        <v>7172011013000300</v>
      </c>
      <c r="C154">
        <v>39</v>
      </c>
      <c r="D154">
        <v>0</v>
      </c>
      <c r="E154">
        <v>0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s="1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s="1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s="1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s="1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s="1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s="1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s="1" t="s">
        <v>39</v>
      </c>
      <c r="B161">
        <v>7172011004000100</v>
      </c>
      <c r="C161">
        <v>125</v>
      </c>
      <c r="D161">
        <v>0</v>
      </c>
      <c r="E161">
        <v>3</v>
      </c>
      <c r="F161">
        <v>119</v>
      </c>
      <c r="G161">
        <v>0</v>
      </c>
      <c r="H161">
        <v>0</v>
      </c>
      <c r="I161">
        <v>3</v>
      </c>
      <c r="J161">
        <v>0</v>
      </c>
    </row>
    <row r="162" spans="1:10" x14ac:dyDescent="0.25">
      <c r="A162" s="1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s="1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s="1" t="s">
        <v>39</v>
      </c>
      <c r="B164">
        <v>7172011004000400</v>
      </c>
      <c r="C164">
        <v>97</v>
      </c>
      <c r="D164">
        <v>1</v>
      </c>
      <c r="E164">
        <v>21</v>
      </c>
      <c r="F164">
        <v>40</v>
      </c>
      <c r="G164">
        <v>17</v>
      </c>
      <c r="H164">
        <v>0</v>
      </c>
      <c r="I164">
        <v>18</v>
      </c>
      <c r="J164">
        <v>0</v>
      </c>
    </row>
    <row r="165" spans="1:10" x14ac:dyDescent="0.25">
      <c r="A165" s="1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s="1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s="1" t="s">
        <v>50</v>
      </c>
      <c r="B167">
        <v>7172012001000200</v>
      </c>
      <c r="C167">
        <v>150</v>
      </c>
      <c r="D167">
        <v>0</v>
      </c>
      <c r="E167">
        <v>11</v>
      </c>
      <c r="F167">
        <v>107</v>
      </c>
      <c r="G167">
        <v>1</v>
      </c>
      <c r="H167">
        <v>0</v>
      </c>
      <c r="I167">
        <v>31</v>
      </c>
      <c r="J167">
        <v>0</v>
      </c>
    </row>
    <row r="168" spans="1:10" x14ac:dyDescent="0.25">
      <c r="A168" s="1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s="1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s="1" t="s">
        <v>50</v>
      </c>
      <c r="B170">
        <v>7172012001000900</v>
      </c>
      <c r="C170">
        <v>94</v>
      </c>
      <c r="D170">
        <v>0</v>
      </c>
      <c r="E170">
        <v>10</v>
      </c>
      <c r="F170">
        <v>75</v>
      </c>
      <c r="G170">
        <v>0</v>
      </c>
      <c r="H170">
        <v>0</v>
      </c>
      <c r="I170">
        <v>9</v>
      </c>
      <c r="J170">
        <v>0</v>
      </c>
    </row>
    <row r="171" spans="1:10" x14ac:dyDescent="0.25">
      <c r="A171" s="1" t="s">
        <v>50</v>
      </c>
      <c r="B171">
        <v>7172012001000800</v>
      </c>
      <c r="C171">
        <v>88</v>
      </c>
      <c r="D171">
        <v>0</v>
      </c>
      <c r="E171">
        <v>0</v>
      </c>
      <c r="F171">
        <v>88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s="1" t="s">
        <v>44</v>
      </c>
      <c r="B172">
        <v>7172011012000700</v>
      </c>
      <c r="C172">
        <v>123</v>
      </c>
      <c r="D172">
        <v>0</v>
      </c>
      <c r="E172">
        <v>0</v>
      </c>
      <c r="F172">
        <v>93</v>
      </c>
      <c r="G172">
        <v>0</v>
      </c>
      <c r="H172">
        <v>0</v>
      </c>
      <c r="I172">
        <v>30</v>
      </c>
      <c r="J172">
        <v>0</v>
      </c>
    </row>
    <row r="173" spans="1:10" x14ac:dyDescent="0.25">
      <c r="A173" s="1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s="1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s="1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s="1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s="1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s="1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s="1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s="1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s="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s="1" t="s">
        <v>54</v>
      </c>
      <c r="B182">
        <v>7172012002000600</v>
      </c>
      <c r="C182">
        <v>111</v>
      </c>
      <c r="D182">
        <v>1</v>
      </c>
      <c r="E182">
        <v>9</v>
      </c>
      <c r="F182">
        <v>44</v>
      </c>
      <c r="G182">
        <v>0</v>
      </c>
      <c r="H182">
        <v>0</v>
      </c>
      <c r="I182">
        <v>57</v>
      </c>
      <c r="J182">
        <v>0</v>
      </c>
    </row>
    <row r="183" spans="1:10" x14ac:dyDescent="0.25">
      <c r="A183" s="1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s="1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s="1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s="1" t="s">
        <v>54</v>
      </c>
      <c r="B186">
        <v>7172012002000300</v>
      </c>
      <c r="C186">
        <v>69</v>
      </c>
      <c r="D186">
        <v>0</v>
      </c>
      <c r="E186">
        <v>0</v>
      </c>
      <c r="F186">
        <v>69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s="1" t="s">
        <v>229</v>
      </c>
      <c r="B187">
        <v>7172012002001301</v>
      </c>
      <c r="C187">
        <v>123</v>
      </c>
      <c r="D187">
        <v>0</v>
      </c>
      <c r="E187">
        <v>0</v>
      </c>
      <c r="F187">
        <v>117</v>
      </c>
      <c r="G187">
        <v>0</v>
      </c>
      <c r="H187">
        <v>0</v>
      </c>
      <c r="I187">
        <v>6</v>
      </c>
      <c r="J187">
        <v>0</v>
      </c>
    </row>
    <row r="188" spans="1:10" x14ac:dyDescent="0.25">
      <c r="A188" s="1" t="s">
        <v>229</v>
      </c>
      <c r="B188">
        <v>7172012002001500</v>
      </c>
      <c r="C188">
        <v>111</v>
      </c>
      <c r="D188">
        <v>0</v>
      </c>
      <c r="E188">
        <v>0</v>
      </c>
      <c r="F188">
        <v>111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s="1" t="s">
        <v>229</v>
      </c>
      <c r="B189">
        <v>7172012002001302</v>
      </c>
      <c r="C189">
        <v>107</v>
      </c>
      <c r="D189">
        <v>0</v>
      </c>
      <c r="E189">
        <v>15</v>
      </c>
      <c r="F189">
        <v>48</v>
      </c>
      <c r="G189">
        <v>0</v>
      </c>
      <c r="H189">
        <v>0</v>
      </c>
      <c r="I189">
        <v>44</v>
      </c>
      <c r="J189">
        <v>0</v>
      </c>
    </row>
    <row r="190" spans="1:10" x14ac:dyDescent="0.25">
      <c r="A190" s="1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s="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s="1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s="1" t="s">
        <v>38</v>
      </c>
      <c r="B193">
        <v>7172011003003100</v>
      </c>
      <c r="C193">
        <v>173</v>
      </c>
      <c r="D193">
        <v>0</v>
      </c>
      <c r="E193">
        <v>12</v>
      </c>
      <c r="F193">
        <v>93</v>
      </c>
      <c r="G193">
        <v>0</v>
      </c>
      <c r="H193">
        <v>0</v>
      </c>
      <c r="I193">
        <v>68</v>
      </c>
      <c r="J193">
        <v>0</v>
      </c>
    </row>
    <row r="194" spans="1:10" x14ac:dyDescent="0.25">
      <c r="A194" s="1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s="1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s="1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s="1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s="1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s="1" t="s">
        <v>62</v>
      </c>
      <c r="B199">
        <v>7172012004001600</v>
      </c>
      <c r="C199">
        <v>148</v>
      </c>
      <c r="D199">
        <v>0</v>
      </c>
      <c r="E199">
        <v>0</v>
      </c>
      <c r="F199">
        <v>148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s="1" t="s">
        <v>62</v>
      </c>
      <c r="B200">
        <v>7172012004001801</v>
      </c>
      <c r="C200">
        <v>134</v>
      </c>
      <c r="D200">
        <v>0</v>
      </c>
      <c r="E200">
        <v>0</v>
      </c>
      <c r="F200">
        <v>134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s="1" t="s">
        <v>62</v>
      </c>
      <c r="B201">
        <v>7172012004001702</v>
      </c>
      <c r="C201">
        <v>127</v>
      </c>
      <c r="D201">
        <v>0</v>
      </c>
      <c r="E201">
        <v>9</v>
      </c>
      <c r="F201">
        <v>83</v>
      </c>
      <c r="G201">
        <v>13</v>
      </c>
      <c r="H201">
        <v>0</v>
      </c>
      <c r="I201">
        <v>22</v>
      </c>
      <c r="J201">
        <v>0</v>
      </c>
    </row>
    <row r="202" spans="1:10" x14ac:dyDescent="0.25">
      <c r="A202" s="1" t="s">
        <v>62</v>
      </c>
      <c r="B202">
        <v>7172012004001500</v>
      </c>
      <c r="C202">
        <v>106</v>
      </c>
      <c r="D202">
        <v>0</v>
      </c>
      <c r="E202">
        <v>0</v>
      </c>
      <c r="F202">
        <v>106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s="1" t="s">
        <v>62</v>
      </c>
      <c r="B203">
        <v>7172012004001300</v>
      </c>
      <c r="C203">
        <v>70</v>
      </c>
      <c r="D203">
        <v>0</v>
      </c>
      <c r="E203">
        <v>0</v>
      </c>
      <c r="F203">
        <v>70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s="1" t="s">
        <v>62</v>
      </c>
      <c r="B204">
        <v>7172012004001203</v>
      </c>
      <c r="C204">
        <v>55</v>
      </c>
      <c r="D204">
        <v>0</v>
      </c>
      <c r="E204">
        <v>0</v>
      </c>
      <c r="F204">
        <v>55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s="1" t="s">
        <v>60</v>
      </c>
      <c r="B205">
        <v>7172012004001900</v>
      </c>
      <c r="C205">
        <v>171</v>
      </c>
      <c r="D205">
        <v>1</v>
      </c>
      <c r="E205">
        <v>11</v>
      </c>
      <c r="F205">
        <v>100</v>
      </c>
      <c r="G205">
        <v>0</v>
      </c>
      <c r="H205">
        <v>0</v>
      </c>
      <c r="I205">
        <v>59</v>
      </c>
      <c r="J205">
        <v>0</v>
      </c>
    </row>
    <row r="206" spans="1:10" x14ac:dyDescent="0.25">
      <c r="A206" s="1" t="s">
        <v>60</v>
      </c>
      <c r="B206">
        <v>7172012004000900</v>
      </c>
      <c r="C206">
        <v>136</v>
      </c>
      <c r="D206">
        <v>0</v>
      </c>
      <c r="E206">
        <v>0</v>
      </c>
      <c r="F206">
        <v>136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s="1" t="s">
        <v>60</v>
      </c>
      <c r="B207">
        <v>7172012004001802</v>
      </c>
      <c r="C207">
        <v>107</v>
      </c>
      <c r="D207">
        <v>0</v>
      </c>
      <c r="E207">
        <v>0</v>
      </c>
      <c r="F207">
        <v>107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s="1" t="s">
        <v>60</v>
      </c>
      <c r="B208">
        <v>7172012004002101</v>
      </c>
      <c r="C208">
        <v>104</v>
      </c>
      <c r="D208">
        <v>0</v>
      </c>
      <c r="E208">
        <v>0</v>
      </c>
      <c r="F208">
        <v>104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s="1" t="s">
        <v>60</v>
      </c>
      <c r="B209">
        <v>7172012004001400</v>
      </c>
      <c r="C209">
        <v>86</v>
      </c>
      <c r="D209">
        <v>0</v>
      </c>
      <c r="E209">
        <v>5</v>
      </c>
      <c r="F209">
        <v>80</v>
      </c>
      <c r="G209">
        <v>0</v>
      </c>
      <c r="H209">
        <v>0</v>
      </c>
      <c r="I209">
        <v>1</v>
      </c>
      <c r="J209">
        <v>0</v>
      </c>
    </row>
    <row r="210" spans="1:10" x14ac:dyDescent="0.25">
      <c r="A210" s="1" t="s">
        <v>63</v>
      </c>
      <c r="B210">
        <v>7172012004001701</v>
      </c>
      <c r="C210">
        <v>301</v>
      </c>
      <c r="D210">
        <v>0</v>
      </c>
      <c r="E210">
        <v>12</v>
      </c>
      <c r="F210">
        <v>262</v>
      </c>
      <c r="G210">
        <v>0</v>
      </c>
      <c r="H210">
        <v>0</v>
      </c>
      <c r="I210">
        <v>27</v>
      </c>
      <c r="J210">
        <v>0</v>
      </c>
    </row>
    <row r="211" spans="1:10" x14ac:dyDescent="0.25">
      <c r="A211" s="1" t="s">
        <v>63</v>
      </c>
      <c r="B211">
        <v>7172012004002000</v>
      </c>
      <c r="C211">
        <v>165</v>
      </c>
      <c r="D211">
        <v>0</v>
      </c>
      <c r="E211">
        <v>1</v>
      </c>
      <c r="F211">
        <v>163</v>
      </c>
      <c r="G211">
        <v>0</v>
      </c>
      <c r="H211">
        <v>0</v>
      </c>
      <c r="I211">
        <v>1</v>
      </c>
      <c r="J211">
        <v>0</v>
      </c>
    </row>
    <row r="212" spans="1:10" x14ac:dyDescent="0.25">
      <c r="A212" s="1" t="s">
        <v>63</v>
      </c>
      <c r="B212">
        <v>7172012004002102</v>
      </c>
      <c r="C212">
        <v>62</v>
      </c>
      <c r="D212">
        <v>0</v>
      </c>
      <c r="E212">
        <v>0</v>
      </c>
      <c r="F212">
        <v>62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s="1" t="s">
        <v>63</v>
      </c>
      <c r="B213">
        <v>7172012004002402</v>
      </c>
      <c r="C213">
        <v>10</v>
      </c>
      <c r="D213">
        <v>0</v>
      </c>
      <c r="E213">
        <v>0</v>
      </c>
      <c r="F213">
        <v>10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s="1" t="s">
        <v>64</v>
      </c>
      <c r="B214">
        <v>7172012004002300</v>
      </c>
      <c r="C214">
        <v>177</v>
      </c>
      <c r="D214">
        <v>0</v>
      </c>
      <c r="E214">
        <v>0</v>
      </c>
      <c r="F214">
        <v>177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s="1" t="s">
        <v>64</v>
      </c>
      <c r="B215">
        <v>7172012004002200</v>
      </c>
      <c r="C215">
        <v>162</v>
      </c>
      <c r="D215">
        <v>0</v>
      </c>
      <c r="E215">
        <v>16</v>
      </c>
      <c r="F215">
        <v>88</v>
      </c>
      <c r="G215">
        <v>0</v>
      </c>
      <c r="H215">
        <v>0</v>
      </c>
      <c r="I215">
        <v>58</v>
      </c>
      <c r="J215">
        <v>0</v>
      </c>
    </row>
    <row r="216" spans="1:10" x14ac:dyDescent="0.25">
      <c r="A216" s="1" t="s">
        <v>64</v>
      </c>
      <c r="B216">
        <v>7172012004002500</v>
      </c>
      <c r="C216">
        <v>143</v>
      </c>
      <c r="D216">
        <v>0</v>
      </c>
      <c r="E216">
        <v>0</v>
      </c>
      <c r="F216">
        <v>143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s="1" t="s">
        <v>64</v>
      </c>
      <c r="B217">
        <v>7172012004002401</v>
      </c>
      <c r="C217">
        <v>112</v>
      </c>
      <c r="D217">
        <v>0</v>
      </c>
      <c r="E217">
        <v>0</v>
      </c>
      <c r="F217">
        <v>112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s="1" t="s">
        <v>65</v>
      </c>
      <c r="B218">
        <v>7172012005000900</v>
      </c>
      <c r="C218">
        <v>134</v>
      </c>
      <c r="D218">
        <v>0</v>
      </c>
      <c r="E218">
        <v>0</v>
      </c>
      <c r="F218">
        <v>134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s="1" t="s">
        <v>65</v>
      </c>
      <c r="B219">
        <v>7172012004002600</v>
      </c>
      <c r="C219">
        <v>114</v>
      </c>
      <c r="D219">
        <v>0</v>
      </c>
      <c r="E219">
        <v>12</v>
      </c>
      <c r="F219">
        <v>72</v>
      </c>
      <c r="G219">
        <v>0</v>
      </c>
      <c r="H219">
        <v>0</v>
      </c>
      <c r="I219">
        <v>30</v>
      </c>
      <c r="J219">
        <v>0</v>
      </c>
    </row>
    <row r="220" spans="1:10" x14ac:dyDescent="0.25">
      <c r="A220" s="1" t="s">
        <v>65</v>
      </c>
      <c r="B220">
        <v>7172012005000100</v>
      </c>
      <c r="C220">
        <v>88</v>
      </c>
      <c r="D220">
        <v>0</v>
      </c>
      <c r="E220">
        <v>0</v>
      </c>
      <c r="F220">
        <v>88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s="1" t="s">
        <v>65</v>
      </c>
      <c r="B221">
        <v>7172012005001000</v>
      </c>
      <c r="C221">
        <v>69</v>
      </c>
      <c r="D221">
        <v>0</v>
      </c>
      <c r="E221">
        <v>0</v>
      </c>
      <c r="F221">
        <v>69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s="1" t="s">
        <v>65</v>
      </c>
      <c r="B222">
        <v>7172012005001100</v>
      </c>
      <c r="C222">
        <v>68</v>
      </c>
      <c r="D222">
        <v>0</v>
      </c>
      <c r="E222">
        <v>0</v>
      </c>
      <c r="F222">
        <v>68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s="1" t="s">
        <v>65</v>
      </c>
      <c r="B223">
        <v>7172012004002403</v>
      </c>
      <c r="C223">
        <v>51</v>
      </c>
      <c r="D223">
        <v>0</v>
      </c>
      <c r="E223">
        <v>0</v>
      </c>
      <c r="F223">
        <v>51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s="1" t="s">
        <v>65</v>
      </c>
      <c r="B224">
        <v>7172012005000200</v>
      </c>
      <c r="C224">
        <v>43</v>
      </c>
      <c r="D224">
        <v>0</v>
      </c>
      <c r="E224">
        <v>0</v>
      </c>
      <c r="F224">
        <v>43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s="1" t="s">
        <v>70</v>
      </c>
      <c r="B225">
        <v>7172012006001600</v>
      </c>
      <c r="C225">
        <v>77</v>
      </c>
      <c r="D225">
        <v>0</v>
      </c>
      <c r="E225">
        <v>6</v>
      </c>
      <c r="F225">
        <v>58</v>
      </c>
      <c r="G225">
        <v>0</v>
      </c>
      <c r="H225">
        <v>0</v>
      </c>
      <c r="I225">
        <v>13</v>
      </c>
      <c r="J225">
        <v>0</v>
      </c>
    </row>
    <row r="226" spans="1:10" x14ac:dyDescent="0.25">
      <c r="A226" s="1" t="s">
        <v>70</v>
      </c>
      <c r="B226">
        <v>7172012006001300</v>
      </c>
      <c r="C226">
        <v>76</v>
      </c>
      <c r="D226">
        <v>0</v>
      </c>
      <c r="E226">
        <v>0</v>
      </c>
      <c r="F226">
        <v>76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s="1" t="s">
        <v>70</v>
      </c>
      <c r="B227">
        <v>7172012006001500</v>
      </c>
      <c r="C227">
        <v>76</v>
      </c>
      <c r="D227">
        <v>0</v>
      </c>
      <c r="E227">
        <v>0</v>
      </c>
      <c r="F227">
        <v>76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s="1" t="s">
        <v>70</v>
      </c>
      <c r="B228">
        <v>7172012006000902</v>
      </c>
      <c r="C228">
        <v>75</v>
      </c>
      <c r="D228">
        <v>0</v>
      </c>
      <c r="E228">
        <v>0</v>
      </c>
      <c r="F228">
        <v>75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s="1" t="s">
        <v>70</v>
      </c>
      <c r="B229">
        <v>7172012006001000</v>
      </c>
      <c r="C229">
        <v>71</v>
      </c>
      <c r="D229">
        <v>0</v>
      </c>
      <c r="E229">
        <v>3</v>
      </c>
      <c r="F229">
        <v>67</v>
      </c>
      <c r="G229">
        <v>0</v>
      </c>
      <c r="H229">
        <v>0</v>
      </c>
      <c r="I229">
        <v>1</v>
      </c>
      <c r="J229">
        <v>0</v>
      </c>
    </row>
    <row r="230" spans="1:10" x14ac:dyDescent="0.25">
      <c r="A230" s="1" t="s">
        <v>70</v>
      </c>
      <c r="B230">
        <v>7172012006001200</v>
      </c>
      <c r="C230">
        <v>69</v>
      </c>
      <c r="D230">
        <v>0</v>
      </c>
      <c r="E230">
        <v>0</v>
      </c>
      <c r="F230">
        <v>69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s="1" t="s">
        <v>70</v>
      </c>
      <c r="B231">
        <v>7172012006000903</v>
      </c>
      <c r="C231">
        <v>66</v>
      </c>
      <c r="D231">
        <v>0</v>
      </c>
      <c r="E231">
        <v>0</v>
      </c>
      <c r="F231">
        <v>66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s="1" t="s">
        <v>70</v>
      </c>
      <c r="B232">
        <v>7172012006001100</v>
      </c>
      <c r="C232">
        <v>49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49</v>
      </c>
      <c r="J232">
        <v>0</v>
      </c>
    </row>
    <row r="233" spans="1:10" x14ac:dyDescent="0.25">
      <c r="A233" s="1" t="s">
        <v>67</v>
      </c>
      <c r="B233">
        <v>7172012005001400</v>
      </c>
      <c r="C233">
        <v>114</v>
      </c>
      <c r="D233">
        <v>0</v>
      </c>
      <c r="E233">
        <v>0</v>
      </c>
      <c r="F233">
        <v>114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s="1" t="s">
        <v>67</v>
      </c>
      <c r="B234">
        <v>7172012005001500</v>
      </c>
      <c r="C234">
        <v>102</v>
      </c>
      <c r="D234">
        <v>0</v>
      </c>
      <c r="E234">
        <v>0</v>
      </c>
      <c r="F234">
        <v>102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s="1" t="s">
        <v>67</v>
      </c>
      <c r="B235">
        <v>7172012005001700</v>
      </c>
      <c r="C235">
        <v>82</v>
      </c>
      <c r="D235">
        <v>0</v>
      </c>
      <c r="E235">
        <v>0</v>
      </c>
      <c r="F235">
        <v>82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s="1" t="s">
        <v>67</v>
      </c>
      <c r="B236">
        <v>7172012005001800</v>
      </c>
      <c r="C236">
        <v>60</v>
      </c>
      <c r="D236">
        <v>0</v>
      </c>
      <c r="E236">
        <v>1</v>
      </c>
      <c r="F236">
        <v>59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s="1" t="s">
        <v>67</v>
      </c>
      <c r="B237">
        <v>7172012005001600</v>
      </c>
      <c r="C237">
        <v>56</v>
      </c>
      <c r="D237">
        <v>0</v>
      </c>
      <c r="E237">
        <v>4</v>
      </c>
      <c r="F237">
        <v>17</v>
      </c>
      <c r="G237">
        <v>0</v>
      </c>
      <c r="H237">
        <v>0</v>
      </c>
      <c r="I237">
        <v>35</v>
      </c>
      <c r="J237">
        <v>0</v>
      </c>
    </row>
    <row r="238" spans="1:10" x14ac:dyDescent="0.25">
      <c r="A238" s="1" t="s">
        <v>67</v>
      </c>
      <c r="B238">
        <v>7172012005001300</v>
      </c>
      <c r="C238">
        <v>54</v>
      </c>
      <c r="D238">
        <v>0</v>
      </c>
      <c r="E238">
        <v>4</v>
      </c>
      <c r="F238">
        <v>8</v>
      </c>
      <c r="G238">
        <v>1</v>
      </c>
      <c r="H238">
        <v>0</v>
      </c>
      <c r="I238">
        <v>41</v>
      </c>
      <c r="J238">
        <v>0</v>
      </c>
    </row>
    <row r="239" spans="1:10" x14ac:dyDescent="0.25">
      <c r="A239" s="1" t="s">
        <v>67</v>
      </c>
      <c r="B239">
        <v>7172012005001200</v>
      </c>
      <c r="C239">
        <v>52</v>
      </c>
      <c r="D239">
        <v>0</v>
      </c>
      <c r="E239">
        <v>11</v>
      </c>
      <c r="F239">
        <v>41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s="1" t="s">
        <v>67</v>
      </c>
      <c r="B240">
        <v>7172012005000800</v>
      </c>
      <c r="C240">
        <v>36</v>
      </c>
      <c r="D240">
        <v>0</v>
      </c>
      <c r="E240">
        <v>1</v>
      </c>
      <c r="F240">
        <v>35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s="1" t="s">
        <v>67</v>
      </c>
      <c r="B241">
        <v>7172012005000700</v>
      </c>
      <c r="C241">
        <v>23</v>
      </c>
      <c r="D241">
        <v>0</v>
      </c>
      <c r="E241">
        <v>2</v>
      </c>
      <c r="F241">
        <v>18</v>
      </c>
      <c r="G241">
        <v>0</v>
      </c>
      <c r="H241">
        <v>0</v>
      </c>
      <c r="I241">
        <v>3</v>
      </c>
      <c r="J241">
        <v>0</v>
      </c>
    </row>
    <row r="242" spans="1:10" x14ac:dyDescent="0.25">
      <c r="A242" s="1" t="s">
        <v>230</v>
      </c>
      <c r="B242">
        <v>7172012007000700</v>
      </c>
      <c r="C242">
        <v>167</v>
      </c>
      <c r="D242">
        <v>0</v>
      </c>
      <c r="E242">
        <v>0</v>
      </c>
      <c r="F242">
        <v>167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s="1" t="s">
        <v>230</v>
      </c>
      <c r="B243">
        <v>7172012007000600</v>
      </c>
      <c r="C243">
        <v>164</v>
      </c>
      <c r="D243">
        <v>0</v>
      </c>
      <c r="E243">
        <v>0</v>
      </c>
      <c r="F243">
        <v>164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s="1" t="s">
        <v>230</v>
      </c>
      <c r="B244">
        <v>7172012007000300</v>
      </c>
      <c r="C244">
        <v>111</v>
      </c>
      <c r="D244">
        <v>0</v>
      </c>
      <c r="E244">
        <v>18</v>
      </c>
      <c r="F244">
        <v>53</v>
      </c>
      <c r="G244">
        <v>0</v>
      </c>
      <c r="H244">
        <v>0</v>
      </c>
      <c r="I244">
        <v>40</v>
      </c>
      <c r="J244">
        <v>0</v>
      </c>
    </row>
    <row r="245" spans="1:10" x14ac:dyDescent="0.25">
      <c r="A245" s="1" t="s">
        <v>230</v>
      </c>
      <c r="B245">
        <v>7172012007000200</v>
      </c>
      <c r="C245">
        <v>93</v>
      </c>
      <c r="D245">
        <v>0</v>
      </c>
      <c r="E245">
        <v>0</v>
      </c>
      <c r="F245">
        <v>93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s="1" t="s">
        <v>230</v>
      </c>
      <c r="B246">
        <v>7172012007000400</v>
      </c>
      <c r="C246">
        <v>89</v>
      </c>
      <c r="D246">
        <v>0</v>
      </c>
      <c r="E246">
        <v>0</v>
      </c>
      <c r="F246">
        <v>89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s="1" t="s">
        <v>72</v>
      </c>
      <c r="B247">
        <v>7172012007001100</v>
      </c>
      <c r="C247">
        <v>166</v>
      </c>
      <c r="D247">
        <v>0</v>
      </c>
      <c r="E247">
        <v>0</v>
      </c>
      <c r="F247">
        <v>166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s="1" t="s">
        <v>72</v>
      </c>
      <c r="B248">
        <v>7172012007000800</v>
      </c>
      <c r="C248">
        <v>116</v>
      </c>
      <c r="D248">
        <v>0</v>
      </c>
      <c r="E248">
        <v>3</v>
      </c>
      <c r="F248">
        <v>111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s="1" t="s">
        <v>72</v>
      </c>
      <c r="B249">
        <v>7172012007000900</v>
      </c>
      <c r="C249">
        <v>105</v>
      </c>
      <c r="D249">
        <v>0</v>
      </c>
      <c r="E249">
        <v>12</v>
      </c>
      <c r="F249">
        <v>31</v>
      </c>
      <c r="G249">
        <v>0</v>
      </c>
      <c r="H249">
        <v>0</v>
      </c>
      <c r="I249">
        <v>62</v>
      </c>
      <c r="J249">
        <v>0</v>
      </c>
    </row>
    <row r="250" spans="1:10" x14ac:dyDescent="0.25">
      <c r="A250" s="1" t="s">
        <v>72</v>
      </c>
      <c r="B250">
        <v>7172012007000500</v>
      </c>
      <c r="C250">
        <v>84</v>
      </c>
      <c r="D250">
        <v>0</v>
      </c>
      <c r="E250">
        <v>0</v>
      </c>
      <c r="F250">
        <v>84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s="1" t="s">
        <v>72</v>
      </c>
      <c r="B251">
        <v>7172012007001000</v>
      </c>
      <c r="C251">
        <v>84</v>
      </c>
      <c r="D251">
        <v>0</v>
      </c>
      <c r="E251">
        <v>0</v>
      </c>
      <c r="F251">
        <v>84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s="1" t="s">
        <v>75</v>
      </c>
      <c r="B252">
        <v>7172021003000800</v>
      </c>
      <c r="C252">
        <v>94</v>
      </c>
      <c r="D252">
        <v>0</v>
      </c>
      <c r="E252">
        <v>0</v>
      </c>
      <c r="F252">
        <v>94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s="1" t="s">
        <v>75</v>
      </c>
      <c r="B253">
        <v>7172021003001100</v>
      </c>
      <c r="C253">
        <v>91</v>
      </c>
      <c r="D253">
        <v>0</v>
      </c>
      <c r="E253">
        <v>0</v>
      </c>
      <c r="F253">
        <v>91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s="1" t="s">
        <v>75</v>
      </c>
      <c r="B254">
        <v>7172021006000100</v>
      </c>
      <c r="C254">
        <v>90</v>
      </c>
      <c r="D254">
        <v>0</v>
      </c>
      <c r="E254">
        <v>0</v>
      </c>
      <c r="F254">
        <v>90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s="1" t="s">
        <v>75</v>
      </c>
      <c r="B255">
        <v>7172021003000900</v>
      </c>
      <c r="C255">
        <v>57</v>
      </c>
      <c r="D255">
        <v>0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s="1" t="s">
        <v>75</v>
      </c>
      <c r="B256">
        <v>7172021003001000</v>
      </c>
      <c r="C256">
        <v>57</v>
      </c>
      <c r="D256">
        <v>0</v>
      </c>
      <c r="E256">
        <v>14</v>
      </c>
      <c r="F256">
        <v>40</v>
      </c>
      <c r="G256">
        <v>1</v>
      </c>
      <c r="H256">
        <v>0</v>
      </c>
      <c r="I256">
        <v>2</v>
      </c>
      <c r="J256">
        <v>0</v>
      </c>
    </row>
    <row r="257" spans="1:10" x14ac:dyDescent="0.25">
      <c r="A257" s="1" t="s">
        <v>75</v>
      </c>
      <c r="B257">
        <v>7172021002000400</v>
      </c>
      <c r="C257">
        <v>34</v>
      </c>
      <c r="D257">
        <v>7</v>
      </c>
      <c r="E257">
        <v>1</v>
      </c>
      <c r="F257">
        <v>12</v>
      </c>
      <c r="G257">
        <v>1</v>
      </c>
      <c r="H257">
        <v>0</v>
      </c>
      <c r="I257">
        <v>13</v>
      </c>
      <c r="J257">
        <v>0</v>
      </c>
    </row>
    <row r="258" spans="1:10" x14ac:dyDescent="0.25">
      <c r="A258" s="1" t="s">
        <v>75</v>
      </c>
      <c r="B258">
        <v>7172021006000700</v>
      </c>
      <c r="C258">
        <v>25</v>
      </c>
      <c r="D258">
        <v>0</v>
      </c>
      <c r="E258">
        <v>1</v>
      </c>
      <c r="F258">
        <v>24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s="1" t="s">
        <v>231</v>
      </c>
      <c r="B259">
        <v>7172021003000100</v>
      </c>
      <c r="C259">
        <v>99</v>
      </c>
      <c r="D259">
        <v>0</v>
      </c>
      <c r="E259">
        <v>0</v>
      </c>
      <c r="F259">
        <v>99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s="1" t="s">
        <v>231</v>
      </c>
      <c r="B260">
        <v>7172021003001200</v>
      </c>
      <c r="C260">
        <v>69</v>
      </c>
      <c r="D260">
        <v>0</v>
      </c>
      <c r="E260">
        <v>0</v>
      </c>
      <c r="F260">
        <v>69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s="1" t="s">
        <v>231</v>
      </c>
      <c r="B261">
        <v>7172021003000300</v>
      </c>
      <c r="C261">
        <v>67</v>
      </c>
      <c r="D261">
        <v>0</v>
      </c>
      <c r="E261">
        <v>0</v>
      </c>
      <c r="F261">
        <v>67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s="1" t="s">
        <v>231</v>
      </c>
      <c r="B262">
        <v>7172021006001900</v>
      </c>
      <c r="C262">
        <v>67</v>
      </c>
      <c r="D262">
        <v>0</v>
      </c>
      <c r="E262">
        <v>0</v>
      </c>
      <c r="F262">
        <v>67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s="1" t="s">
        <v>231</v>
      </c>
      <c r="B263">
        <v>7172021002000600</v>
      </c>
      <c r="C263">
        <v>62</v>
      </c>
      <c r="D263">
        <v>4</v>
      </c>
      <c r="E263">
        <v>30</v>
      </c>
      <c r="F263">
        <v>13</v>
      </c>
      <c r="G263">
        <v>0</v>
      </c>
      <c r="H263">
        <v>0</v>
      </c>
      <c r="I263">
        <v>15</v>
      </c>
      <c r="J263">
        <v>0</v>
      </c>
    </row>
    <row r="264" spans="1:10" x14ac:dyDescent="0.25">
      <c r="A264" s="1" t="s">
        <v>231</v>
      </c>
      <c r="B264">
        <v>7172021006002100</v>
      </c>
      <c r="C264">
        <v>52</v>
      </c>
      <c r="D264">
        <v>0</v>
      </c>
      <c r="E264">
        <v>0</v>
      </c>
      <c r="F264">
        <v>52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s="1" t="s">
        <v>231</v>
      </c>
      <c r="B265">
        <v>7172021006002000</v>
      </c>
      <c r="C265">
        <v>51</v>
      </c>
      <c r="D265">
        <v>0</v>
      </c>
      <c r="E265">
        <v>0</v>
      </c>
      <c r="F265">
        <v>51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s="1" t="s">
        <v>74</v>
      </c>
      <c r="B266">
        <v>7172021002000500</v>
      </c>
      <c r="C266">
        <v>97</v>
      </c>
      <c r="D266">
        <v>7</v>
      </c>
      <c r="E266">
        <v>1</v>
      </c>
      <c r="F266">
        <v>85</v>
      </c>
      <c r="G266">
        <v>0</v>
      </c>
      <c r="H266">
        <v>0</v>
      </c>
      <c r="I266">
        <v>4</v>
      </c>
      <c r="J266">
        <v>0</v>
      </c>
    </row>
    <row r="267" spans="1:10" x14ac:dyDescent="0.25">
      <c r="A267" s="1" t="s">
        <v>74</v>
      </c>
      <c r="B267">
        <v>7172021002000300</v>
      </c>
      <c r="C267">
        <v>76</v>
      </c>
      <c r="D267">
        <v>0</v>
      </c>
      <c r="E267">
        <v>0</v>
      </c>
      <c r="F267">
        <v>76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s="1" t="s">
        <v>74</v>
      </c>
      <c r="B268">
        <v>7172021002000200</v>
      </c>
      <c r="C268">
        <v>74</v>
      </c>
      <c r="D268">
        <v>0</v>
      </c>
      <c r="E268">
        <v>0</v>
      </c>
      <c r="F268">
        <v>74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s="1" t="s">
        <v>74</v>
      </c>
      <c r="B269">
        <v>7172021001000300</v>
      </c>
      <c r="C269">
        <v>63</v>
      </c>
      <c r="D269">
        <v>0</v>
      </c>
      <c r="E269">
        <v>0</v>
      </c>
      <c r="F269">
        <v>63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s="1" t="s">
        <v>74</v>
      </c>
      <c r="B270">
        <v>7172021002000100</v>
      </c>
      <c r="C270">
        <v>55</v>
      </c>
      <c r="D270">
        <v>0</v>
      </c>
      <c r="E270">
        <v>0</v>
      </c>
      <c r="F270">
        <v>55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s="1" t="s">
        <v>74</v>
      </c>
      <c r="B271">
        <v>7172021001000400</v>
      </c>
      <c r="C271">
        <v>41</v>
      </c>
      <c r="D271">
        <v>16</v>
      </c>
      <c r="E271">
        <v>5</v>
      </c>
      <c r="F271">
        <v>8</v>
      </c>
      <c r="G271">
        <v>1</v>
      </c>
      <c r="H271">
        <v>0</v>
      </c>
      <c r="I271">
        <v>11</v>
      </c>
      <c r="J271">
        <v>0</v>
      </c>
    </row>
    <row r="272" spans="1:10" x14ac:dyDescent="0.25">
      <c r="A272" s="1" t="s">
        <v>74</v>
      </c>
      <c r="B272">
        <v>7172021001000200</v>
      </c>
      <c r="C272">
        <v>36</v>
      </c>
      <c r="D272">
        <v>0</v>
      </c>
      <c r="E272">
        <v>0</v>
      </c>
      <c r="F272">
        <v>36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s="1" t="s">
        <v>74</v>
      </c>
      <c r="B273">
        <v>7172021001000100</v>
      </c>
      <c r="C273">
        <v>27</v>
      </c>
      <c r="D273">
        <v>0</v>
      </c>
      <c r="E273">
        <v>0</v>
      </c>
      <c r="F273">
        <v>27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s="1" t="s">
        <v>78</v>
      </c>
      <c r="B274">
        <v>7172021004000500</v>
      </c>
      <c r="C274">
        <v>96</v>
      </c>
      <c r="D274">
        <v>0</v>
      </c>
      <c r="E274">
        <v>0</v>
      </c>
      <c r="F274">
        <v>96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s="1" t="s">
        <v>78</v>
      </c>
      <c r="B275">
        <v>7172021005000100</v>
      </c>
      <c r="C275">
        <v>93</v>
      </c>
      <c r="D275">
        <v>7</v>
      </c>
      <c r="E275">
        <v>19</v>
      </c>
      <c r="F275">
        <v>49</v>
      </c>
      <c r="G275">
        <v>0</v>
      </c>
      <c r="H275">
        <v>0</v>
      </c>
      <c r="I275">
        <v>18</v>
      </c>
      <c r="J275">
        <v>0</v>
      </c>
    </row>
    <row r="276" spans="1:10" x14ac:dyDescent="0.25">
      <c r="A276" s="1" t="s">
        <v>78</v>
      </c>
      <c r="B276">
        <v>7172021004000600</v>
      </c>
      <c r="C276">
        <v>77</v>
      </c>
      <c r="D276">
        <v>0</v>
      </c>
      <c r="E276">
        <v>0</v>
      </c>
      <c r="F276">
        <v>77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s="1" t="s">
        <v>78</v>
      </c>
      <c r="B277">
        <v>7172021004000200</v>
      </c>
      <c r="C277">
        <v>74</v>
      </c>
      <c r="D277">
        <v>0</v>
      </c>
      <c r="E277">
        <v>0</v>
      </c>
      <c r="F277">
        <v>74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s="1" t="s">
        <v>78</v>
      </c>
      <c r="B278">
        <v>7172021004000400</v>
      </c>
      <c r="C278">
        <v>73</v>
      </c>
      <c r="D278">
        <v>0</v>
      </c>
      <c r="E278">
        <v>0</v>
      </c>
      <c r="F278">
        <v>73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s="1" t="s">
        <v>78</v>
      </c>
      <c r="B279">
        <v>7172021004000100</v>
      </c>
      <c r="C279">
        <v>60</v>
      </c>
      <c r="D279">
        <v>0</v>
      </c>
      <c r="E279">
        <v>0</v>
      </c>
      <c r="F279">
        <v>58</v>
      </c>
      <c r="G279">
        <v>0</v>
      </c>
      <c r="H279">
        <v>0</v>
      </c>
      <c r="I279">
        <v>2</v>
      </c>
      <c r="J279">
        <v>0</v>
      </c>
    </row>
    <row r="280" spans="1:10" x14ac:dyDescent="0.25">
      <c r="A280" s="1" t="s">
        <v>78</v>
      </c>
      <c r="B280">
        <v>7172021004000300</v>
      </c>
      <c r="C280">
        <v>49</v>
      </c>
      <c r="D280">
        <v>0</v>
      </c>
      <c r="E280">
        <v>0</v>
      </c>
      <c r="F280">
        <v>49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s="1" t="s">
        <v>79</v>
      </c>
      <c r="B281">
        <v>7172021005000200</v>
      </c>
      <c r="C281">
        <v>82</v>
      </c>
      <c r="D281">
        <v>4</v>
      </c>
      <c r="E281">
        <v>7</v>
      </c>
      <c r="F281">
        <v>65</v>
      </c>
      <c r="G281">
        <v>4</v>
      </c>
      <c r="H281">
        <v>0</v>
      </c>
      <c r="I281">
        <v>2</v>
      </c>
      <c r="J281">
        <v>0</v>
      </c>
    </row>
    <row r="282" spans="1:10" x14ac:dyDescent="0.25">
      <c r="A282" s="1" t="s">
        <v>79</v>
      </c>
      <c r="B282">
        <v>7172021006000300</v>
      </c>
      <c r="C282">
        <v>77</v>
      </c>
      <c r="D282">
        <v>0</v>
      </c>
      <c r="E282">
        <v>0</v>
      </c>
      <c r="F282">
        <v>77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s="1" t="s">
        <v>79</v>
      </c>
      <c r="B283">
        <v>7172021006000200</v>
      </c>
      <c r="C283">
        <v>73</v>
      </c>
      <c r="D283">
        <v>0</v>
      </c>
      <c r="E283">
        <v>9</v>
      </c>
      <c r="F283">
        <v>62</v>
      </c>
      <c r="G283">
        <v>0</v>
      </c>
      <c r="H283">
        <v>0</v>
      </c>
      <c r="I283">
        <v>2</v>
      </c>
      <c r="J283">
        <v>0</v>
      </c>
    </row>
    <row r="284" spans="1:10" x14ac:dyDescent="0.25">
      <c r="A284" s="1" t="s">
        <v>79</v>
      </c>
      <c r="B284">
        <v>7172021006000400</v>
      </c>
      <c r="C284">
        <v>70</v>
      </c>
      <c r="D284">
        <v>0</v>
      </c>
      <c r="E284">
        <v>0</v>
      </c>
      <c r="F284">
        <v>70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s="1" t="s">
        <v>79</v>
      </c>
      <c r="B285">
        <v>7172021005000300</v>
      </c>
      <c r="C285">
        <v>56</v>
      </c>
      <c r="D285">
        <v>0</v>
      </c>
      <c r="E285">
        <v>0</v>
      </c>
      <c r="F285">
        <v>56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s="1" t="s">
        <v>79</v>
      </c>
      <c r="B286">
        <v>7172021006000500</v>
      </c>
      <c r="C286">
        <v>48</v>
      </c>
      <c r="D286">
        <v>0</v>
      </c>
      <c r="E286">
        <v>0</v>
      </c>
      <c r="F286">
        <v>48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s="1" t="s">
        <v>79</v>
      </c>
      <c r="B287">
        <v>7172021006000600</v>
      </c>
      <c r="C287">
        <v>41</v>
      </c>
      <c r="D287">
        <v>0</v>
      </c>
      <c r="E287">
        <v>0</v>
      </c>
      <c r="F287">
        <v>41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s="1" t="s">
        <v>79</v>
      </c>
      <c r="B288">
        <v>7172021005000400</v>
      </c>
      <c r="C288">
        <v>19</v>
      </c>
      <c r="D288">
        <v>0</v>
      </c>
      <c r="E288">
        <v>0</v>
      </c>
      <c r="F288">
        <v>18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s="1" t="s">
        <v>232</v>
      </c>
      <c r="B289">
        <v>7172022001000800</v>
      </c>
      <c r="C289">
        <v>73</v>
      </c>
      <c r="D289">
        <v>0</v>
      </c>
      <c r="E289">
        <v>0</v>
      </c>
      <c r="F289">
        <v>73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s="1" t="s">
        <v>232</v>
      </c>
      <c r="B290">
        <v>7172022001000900</v>
      </c>
      <c r="C290">
        <v>64</v>
      </c>
      <c r="D290">
        <v>0</v>
      </c>
      <c r="E290">
        <v>0</v>
      </c>
      <c r="F290">
        <v>64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s="1" t="s">
        <v>232</v>
      </c>
      <c r="B291">
        <v>7172022001000600</v>
      </c>
      <c r="C291">
        <v>62</v>
      </c>
      <c r="D291">
        <v>0</v>
      </c>
      <c r="E291">
        <v>0</v>
      </c>
      <c r="F291">
        <v>62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s="1" t="s">
        <v>232</v>
      </c>
      <c r="B292">
        <v>7172022001000700</v>
      </c>
      <c r="C292">
        <v>59</v>
      </c>
      <c r="D292">
        <v>0</v>
      </c>
      <c r="E292">
        <v>0</v>
      </c>
      <c r="F292">
        <v>59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s="1" t="s">
        <v>232</v>
      </c>
      <c r="B293">
        <v>7172022001001100</v>
      </c>
      <c r="C293">
        <v>59</v>
      </c>
      <c r="D293">
        <v>0</v>
      </c>
      <c r="E293">
        <v>1</v>
      </c>
      <c r="F293">
        <v>16</v>
      </c>
      <c r="G293">
        <v>0</v>
      </c>
      <c r="H293">
        <v>0</v>
      </c>
      <c r="I293">
        <v>42</v>
      </c>
      <c r="J293">
        <v>0</v>
      </c>
    </row>
    <row r="294" spans="1:10" x14ac:dyDescent="0.25">
      <c r="A294" s="1" t="s">
        <v>232</v>
      </c>
      <c r="B294">
        <v>7172022001001000</v>
      </c>
      <c r="C294">
        <v>52</v>
      </c>
      <c r="D294">
        <v>0</v>
      </c>
      <c r="E294">
        <v>0</v>
      </c>
      <c r="F294">
        <v>52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s="1" t="s">
        <v>232</v>
      </c>
      <c r="B295">
        <v>7172022001001200</v>
      </c>
      <c r="C295">
        <v>48</v>
      </c>
      <c r="D295">
        <v>0</v>
      </c>
      <c r="E295">
        <v>0</v>
      </c>
      <c r="F295">
        <v>48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s="1" t="s">
        <v>89</v>
      </c>
      <c r="B296">
        <v>7172022009000100</v>
      </c>
      <c r="C296">
        <v>106</v>
      </c>
      <c r="D296">
        <v>0</v>
      </c>
      <c r="E296">
        <v>0</v>
      </c>
      <c r="F296">
        <v>103</v>
      </c>
      <c r="G296">
        <v>3</v>
      </c>
      <c r="H296">
        <v>0</v>
      </c>
      <c r="I296">
        <v>0</v>
      </c>
      <c r="J296">
        <v>0</v>
      </c>
    </row>
    <row r="297" spans="1:10" x14ac:dyDescent="0.25">
      <c r="A297" s="1" t="s">
        <v>89</v>
      </c>
      <c r="B297">
        <v>7172022008000400</v>
      </c>
      <c r="C297">
        <v>79</v>
      </c>
      <c r="D297">
        <v>0</v>
      </c>
      <c r="E297">
        <v>0</v>
      </c>
      <c r="F297">
        <v>59</v>
      </c>
      <c r="G297">
        <v>0</v>
      </c>
      <c r="H297">
        <v>0</v>
      </c>
      <c r="I297">
        <v>20</v>
      </c>
      <c r="J297">
        <v>0</v>
      </c>
    </row>
    <row r="298" spans="1:10" x14ac:dyDescent="0.25">
      <c r="A298" s="1" t="s">
        <v>89</v>
      </c>
      <c r="B298">
        <v>7172022009000200</v>
      </c>
      <c r="C298">
        <v>74</v>
      </c>
      <c r="D298">
        <v>0</v>
      </c>
      <c r="E298">
        <v>0</v>
      </c>
      <c r="F298">
        <v>74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s="1" t="s">
        <v>89</v>
      </c>
      <c r="B299">
        <v>7172022009000400</v>
      </c>
      <c r="C299">
        <v>57</v>
      </c>
      <c r="D299">
        <v>0</v>
      </c>
      <c r="E299">
        <v>0</v>
      </c>
      <c r="F299">
        <v>53</v>
      </c>
      <c r="G299">
        <v>4</v>
      </c>
      <c r="H299">
        <v>0</v>
      </c>
      <c r="I299">
        <v>0</v>
      </c>
      <c r="J299">
        <v>0</v>
      </c>
    </row>
    <row r="300" spans="1:10" x14ac:dyDescent="0.25">
      <c r="A300" s="1" t="s">
        <v>89</v>
      </c>
      <c r="B300">
        <v>7172022008000500</v>
      </c>
      <c r="C300">
        <v>44</v>
      </c>
      <c r="D300">
        <v>0</v>
      </c>
      <c r="E300">
        <v>0</v>
      </c>
      <c r="F300">
        <v>35</v>
      </c>
      <c r="G300">
        <v>0</v>
      </c>
      <c r="H300">
        <v>0</v>
      </c>
      <c r="I300">
        <v>9</v>
      </c>
      <c r="J300">
        <v>0</v>
      </c>
    </row>
    <row r="301" spans="1:10" x14ac:dyDescent="0.25">
      <c r="A301" s="1" t="s">
        <v>89</v>
      </c>
      <c r="B301">
        <v>7172022009000300</v>
      </c>
      <c r="C301">
        <v>36</v>
      </c>
      <c r="D301">
        <v>0</v>
      </c>
      <c r="E301">
        <v>0</v>
      </c>
      <c r="F301">
        <v>36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s="1" t="s">
        <v>90</v>
      </c>
      <c r="B302">
        <v>7172030006000100</v>
      </c>
      <c r="C302">
        <v>110</v>
      </c>
      <c r="D302">
        <v>0</v>
      </c>
      <c r="E302">
        <v>0</v>
      </c>
      <c r="F302">
        <v>110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s="1" t="s">
        <v>90</v>
      </c>
      <c r="B303">
        <v>7172030006000600</v>
      </c>
      <c r="C303">
        <v>83</v>
      </c>
      <c r="D303">
        <v>0</v>
      </c>
      <c r="E303">
        <v>0</v>
      </c>
      <c r="F303">
        <v>83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s="1" t="s">
        <v>90</v>
      </c>
      <c r="B304">
        <v>7172030006000800</v>
      </c>
      <c r="C304">
        <v>80</v>
      </c>
      <c r="D304">
        <v>11</v>
      </c>
      <c r="E304">
        <v>0</v>
      </c>
      <c r="F304">
        <v>37</v>
      </c>
      <c r="G304">
        <v>0</v>
      </c>
      <c r="H304">
        <v>0</v>
      </c>
      <c r="I304">
        <v>32</v>
      </c>
      <c r="J304">
        <v>0</v>
      </c>
    </row>
    <row r="305" spans="1:10" x14ac:dyDescent="0.25">
      <c r="A305" s="1" t="s">
        <v>90</v>
      </c>
      <c r="B305">
        <v>7172030006000900</v>
      </c>
      <c r="C305">
        <v>80</v>
      </c>
      <c r="D305">
        <v>0</v>
      </c>
      <c r="E305">
        <v>2</v>
      </c>
      <c r="F305">
        <v>71</v>
      </c>
      <c r="G305">
        <v>0</v>
      </c>
      <c r="H305">
        <v>0</v>
      </c>
      <c r="I305">
        <v>7</v>
      </c>
      <c r="J305">
        <v>0</v>
      </c>
    </row>
    <row r="306" spans="1:10" x14ac:dyDescent="0.25">
      <c r="A306" s="1" t="s">
        <v>90</v>
      </c>
      <c r="B306">
        <v>7172030006000700</v>
      </c>
      <c r="C306">
        <v>66</v>
      </c>
      <c r="D306">
        <v>1</v>
      </c>
      <c r="E306">
        <v>0</v>
      </c>
      <c r="F306">
        <v>65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s="1" t="s">
        <v>90</v>
      </c>
      <c r="B307">
        <v>7172030006000200</v>
      </c>
      <c r="C307">
        <v>65</v>
      </c>
      <c r="D307">
        <v>0</v>
      </c>
      <c r="E307">
        <v>0</v>
      </c>
      <c r="F307">
        <v>65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s="1" t="s">
        <v>90</v>
      </c>
      <c r="B308">
        <v>7172030006000300</v>
      </c>
      <c r="C308">
        <v>57</v>
      </c>
      <c r="D308">
        <v>0</v>
      </c>
      <c r="E308">
        <v>0</v>
      </c>
      <c r="F308">
        <v>57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s="1" t="s">
        <v>90</v>
      </c>
      <c r="B309">
        <v>7172030006000400</v>
      </c>
      <c r="C309">
        <v>47</v>
      </c>
      <c r="D309">
        <v>0</v>
      </c>
      <c r="E309">
        <v>0</v>
      </c>
      <c r="F309">
        <v>44</v>
      </c>
      <c r="G309">
        <v>0</v>
      </c>
      <c r="H309">
        <v>0</v>
      </c>
      <c r="I309">
        <v>3</v>
      </c>
      <c r="J309">
        <v>0</v>
      </c>
    </row>
    <row r="310" spans="1:10" x14ac:dyDescent="0.25">
      <c r="A310" s="1" t="s">
        <v>90</v>
      </c>
      <c r="B310">
        <v>7172030006000500</v>
      </c>
      <c r="C310">
        <v>40</v>
      </c>
      <c r="D310">
        <v>0</v>
      </c>
      <c r="E310">
        <v>0</v>
      </c>
      <c r="F310">
        <v>40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s="1" t="s">
        <v>85</v>
      </c>
      <c r="B311">
        <v>7172022003000200</v>
      </c>
      <c r="C311">
        <v>102</v>
      </c>
      <c r="D311">
        <v>0</v>
      </c>
      <c r="E311">
        <v>4</v>
      </c>
      <c r="F311">
        <v>70</v>
      </c>
      <c r="G311">
        <v>0</v>
      </c>
      <c r="H311">
        <v>0</v>
      </c>
      <c r="I311">
        <v>28</v>
      </c>
      <c r="J311">
        <v>0</v>
      </c>
    </row>
    <row r="312" spans="1:10" x14ac:dyDescent="0.25">
      <c r="A312" s="1" t="s">
        <v>85</v>
      </c>
      <c r="B312">
        <v>7172022003000400</v>
      </c>
      <c r="C312">
        <v>63</v>
      </c>
      <c r="D312">
        <v>0</v>
      </c>
      <c r="E312">
        <v>0</v>
      </c>
      <c r="F312">
        <v>63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s="1" t="s">
        <v>85</v>
      </c>
      <c r="B313">
        <v>7172022003000300</v>
      </c>
      <c r="C313">
        <v>51</v>
      </c>
      <c r="D313">
        <v>0</v>
      </c>
      <c r="E313">
        <v>0</v>
      </c>
      <c r="F313">
        <v>51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s="1" t="s">
        <v>85</v>
      </c>
      <c r="B314">
        <v>7172022002000400</v>
      </c>
      <c r="C314">
        <v>46</v>
      </c>
      <c r="D314">
        <v>0</v>
      </c>
      <c r="E314">
        <v>0</v>
      </c>
      <c r="F314">
        <v>46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s="1" t="s">
        <v>85</v>
      </c>
      <c r="B315">
        <v>7172022002000700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s="1" t="s">
        <v>85</v>
      </c>
      <c r="B316">
        <v>7172022002000500</v>
      </c>
      <c r="C316">
        <v>43</v>
      </c>
      <c r="D316">
        <v>0</v>
      </c>
      <c r="E316">
        <v>0</v>
      </c>
      <c r="F316">
        <v>43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s="1" t="s">
        <v>85</v>
      </c>
      <c r="B317">
        <v>7172022002000600</v>
      </c>
      <c r="C317">
        <v>40</v>
      </c>
      <c r="D317">
        <v>0</v>
      </c>
      <c r="E317">
        <v>0</v>
      </c>
      <c r="F317">
        <v>40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s="1" t="s">
        <v>85</v>
      </c>
      <c r="B318">
        <v>7172022002000800</v>
      </c>
      <c r="C318">
        <v>30</v>
      </c>
      <c r="D318">
        <v>0</v>
      </c>
      <c r="E318">
        <v>0</v>
      </c>
      <c r="F318">
        <v>30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s="1" t="s">
        <v>92</v>
      </c>
      <c r="B319">
        <v>7172030007000200</v>
      </c>
      <c r="C319">
        <v>122</v>
      </c>
      <c r="D319">
        <v>0</v>
      </c>
      <c r="E319">
        <v>10</v>
      </c>
      <c r="F319">
        <v>99</v>
      </c>
      <c r="G319">
        <v>0</v>
      </c>
      <c r="H319">
        <v>0</v>
      </c>
      <c r="I319">
        <v>13</v>
      </c>
      <c r="J319">
        <v>0</v>
      </c>
    </row>
    <row r="320" spans="1:10" x14ac:dyDescent="0.25">
      <c r="A320" s="1" t="s">
        <v>92</v>
      </c>
      <c r="B320">
        <v>7172030012000700</v>
      </c>
      <c r="C320">
        <v>97</v>
      </c>
      <c r="D320">
        <v>0</v>
      </c>
      <c r="E320">
        <v>0</v>
      </c>
      <c r="F320">
        <v>97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s="1" t="s">
        <v>92</v>
      </c>
      <c r="B321">
        <v>7172030012000500</v>
      </c>
      <c r="C321">
        <v>93</v>
      </c>
      <c r="D321">
        <v>0</v>
      </c>
      <c r="E321">
        <v>0</v>
      </c>
      <c r="F321">
        <v>93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s="1" t="s">
        <v>92</v>
      </c>
      <c r="B322">
        <v>7172030012000200</v>
      </c>
      <c r="C322">
        <v>89</v>
      </c>
      <c r="D322">
        <v>0</v>
      </c>
      <c r="E322">
        <v>0</v>
      </c>
      <c r="F322">
        <v>89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s="1" t="s">
        <v>92</v>
      </c>
      <c r="B323">
        <v>7172030007000100</v>
      </c>
      <c r="C323">
        <v>61</v>
      </c>
      <c r="D323">
        <v>12</v>
      </c>
      <c r="E323">
        <v>9</v>
      </c>
      <c r="F323">
        <v>5</v>
      </c>
      <c r="G323">
        <v>0</v>
      </c>
      <c r="H323">
        <v>0</v>
      </c>
      <c r="I323">
        <v>35</v>
      </c>
      <c r="J323">
        <v>0</v>
      </c>
    </row>
    <row r="324" spans="1:10" x14ac:dyDescent="0.25">
      <c r="A324" s="1" t="s">
        <v>92</v>
      </c>
      <c r="B324">
        <v>7172030007000300</v>
      </c>
      <c r="C324">
        <v>44</v>
      </c>
      <c r="D324">
        <v>0</v>
      </c>
      <c r="E324">
        <v>0</v>
      </c>
      <c r="F324">
        <v>44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s="1" t="s">
        <v>92</v>
      </c>
      <c r="B325">
        <v>7172030007000600</v>
      </c>
      <c r="C325">
        <v>34</v>
      </c>
      <c r="D325">
        <v>0</v>
      </c>
      <c r="E325">
        <v>0</v>
      </c>
      <c r="F325">
        <v>34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s="1" t="s">
        <v>92</v>
      </c>
      <c r="B326">
        <v>7172030012000400</v>
      </c>
      <c r="C326">
        <v>21</v>
      </c>
      <c r="D326">
        <v>0</v>
      </c>
      <c r="E326">
        <v>0</v>
      </c>
      <c r="F326">
        <v>21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s="1" t="s">
        <v>233</v>
      </c>
      <c r="B327">
        <v>7172030007000400</v>
      </c>
      <c r="C327">
        <v>159</v>
      </c>
      <c r="D327">
        <v>0</v>
      </c>
      <c r="E327">
        <v>0</v>
      </c>
      <c r="F327">
        <v>159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s="1" t="s">
        <v>233</v>
      </c>
      <c r="B328">
        <v>7172030007001000</v>
      </c>
      <c r="C328">
        <v>136</v>
      </c>
      <c r="D328">
        <v>6</v>
      </c>
      <c r="E328">
        <v>23</v>
      </c>
      <c r="F328">
        <v>90</v>
      </c>
      <c r="G328">
        <v>0</v>
      </c>
      <c r="H328">
        <v>0</v>
      </c>
      <c r="I328">
        <v>17</v>
      </c>
      <c r="J328">
        <v>0</v>
      </c>
    </row>
    <row r="329" spans="1:10" x14ac:dyDescent="0.25">
      <c r="A329" s="1" t="s">
        <v>233</v>
      </c>
      <c r="B329">
        <v>7172030007000500</v>
      </c>
      <c r="C329">
        <v>79</v>
      </c>
      <c r="D329">
        <v>0</v>
      </c>
      <c r="E329">
        <v>0</v>
      </c>
      <c r="F329">
        <v>79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s="1" t="s">
        <v>233</v>
      </c>
      <c r="B330">
        <v>7172030007000800</v>
      </c>
      <c r="C330">
        <v>74</v>
      </c>
      <c r="D330">
        <v>0</v>
      </c>
      <c r="E330">
        <v>0</v>
      </c>
      <c r="F330">
        <v>74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s="1" t="s">
        <v>233</v>
      </c>
      <c r="B331">
        <v>7172030007000900</v>
      </c>
      <c r="C331">
        <v>73</v>
      </c>
      <c r="D331">
        <v>0</v>
      </c>
      <c r="E331">
        <v>0</v>
      </c>
      <c r="F331">
        <v>73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s="1" t="s">
        <v>233</v>
      </c>
      <c r="B332">
        <v>7172030007000700</v>
      </c>
      <c r="C332">
        <v>56</v>
      </c>
      <c r="D332">
        <v>0</v>
      </c>
      <c r="E332">
        <v>0</v>
      </c>
      <c r="F332">
        <v>56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s="1" t="s">
        <v>91</v>
      </c>
      <c r="B333">
        <v>7172030006001200</v>
      </c>
      <c r="C333">
        <v>101</v>
      </c>
      <c r="D333">
        <v>0</v>
      </c>
      <c r="E333">
        <v>0</v>
      </c>
      <c r="F333">
        <v>101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s="1" t="s">
        <v>91</v>
      </c>
      <c r="B334">
        <v>7172030006001100</v>
      </c>
      <c r="C334">
        <v>91</v>
      </c>
      <c r="D334">
        <v>0</v>
      </c>
      <c r="E334">
        <v>0</v>
      </c>
      <c r="F334">
        <v>91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s="1" t="s">
        <v>91</v>
      </c>
      <c r="B335">
        <v>7172030006001000</v>
      </c>
      <c r="C335">
        <v>73</v>
      </c>
      <c r="D335">
        <v>0</v>
      </c>
      <c r="E335">
        <v>0</v>
      </c>
      <c r="F335">
        <v>73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s="1" t="s">
        <v>91</v>
      </c>
      <c r="B336">
        <v>7172030006001300</v>
      </c>
      <c r="C336">
        <v>57</v>
      </c>
      <c r="D336">
        <v>0</v>
      </c>
      <c r="E336">
        <v>0</v>
      </c>
      <c r="F336">
        <v>57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s="1" t="s">
        <v>91</v>
      </c>
      <c r="B337">
        <v>7172030006001600</v>
      </c>
      <c r="C337">
        <v>57</v>
      </c>
      <c r="D337">
        <v>0</v>
      </c>
      <c r="E337">
        <v>0</v>
      </c>
      <c r="F337">
        <v>43</v>
      </c>
      <c r="G337">
        <v>0</v>
      </c>
      <c r="H337">
        <v>0</v>
      </c>
      <c r="I337">
        <v>14</v>
      </c>
      <c r="J337">
        <v>0</v>
      </c>
    </row>
    <row r="338" spans="1:10" x14ac:dyDescent="0.25">
      <c r="A338" s="1" t="s">
        <v>91</v>
      </c>
      <c r="B338">
        <v>7172030006001800</v>
      </c>
      <c r="C338">
        <v>48</v>
      </c>
      <c r="D338">
        <v>6</v>
      </c>
      <c r="E338">
        <v>0</v>
      </c>
      <c r="F338">
        <v>14</v>
      </c>
      <c r="G338">
        <v>0</v>
      </c>
      <c r="H338">
        <v>0</v>
      </c>
      <c r="I338">
        <v>28</v>
      </c>
      <c r="J338">
        <v>0</v>
      </c>
    </row>
    <row r="339" spans="1:10" x14ac:dyDescent="0.25">
      <c r="A339" s="1" t="s">
        <v>91</v>
      </c>
      <c r="B339">
        <v>7172030006001700</v>
      </c>
      <c r="C339">
        <v>47</v>
      </c>
      <c r="D339">
        <v>0</v>
      </c>
      <c r="E339">
        <v>0</v>
      </c>
      <c r="F339">
        <v>47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s="1" t="s">
        <v>91</v>
      </c>
      <c r="B340">
        <v>7172030006001900</v>
      </c>
      <c r="C340">
        <v>46</v>
      </c>
      <c r="D340">
        <v>0</v>
      </c>
      <c r="E340">
        <v>0</v>
      </c>
      <c r="F340">
        <v>7</v>
      </c>
      <c r="G340">
        <v>0</v>
      </c>
      <c r="H340">
        <v>0</v>
      </c>
      <c r="I340">
        <v>39</v>
      </c>
      <c r="J340">
        <v>0</v>
      </c>
    </row>
    <row r="341" spans="1:10" x14ac:dyDescent="0.25">
      <c r="A341" s="1" t="s">
        <v>91</v>
      </c>
      <c r="B341">
        <v>7172030006001400</v>
      </c>
      <c r="C341">
        <v>44</v>
      </c>
      <c r="D341">
        <v>0</v>
      </c>
      <c r="E341">
        <v>0</v>
      </c>
      <c r="F341">
        <v>44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s="1" t="s">
        <v>91</v>
      </c>
      <c r="B342">
        <v>7172030006001500</v>
      </c>
      <c r="C342">
        <v>40</v>
      </c>
      <c r="D342">
        <v>0</v>
      </c>
      <c r="E342">
        <v>0</v>
      </c>
      <c r="F342">
        <v>40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s="1" t="s">
        <v>97</v>
      </c>
      <c r="B343">
        <v>7172030012000300</v>
      </c>
      <c r="C343">
        <v>76</v>
      </c>
      <c r="D343">
        <v>0</v>
      </c>
      <c r="E343">
        <v>5</v>
      </c>
      <c r="F343">
        <v>47</v>
      </c>
      <c r="G343">
        <v>0</v>
      </c>
      <c r="H343">
        <v>0</v>
      </c>
      <c r="I343">
        <v>24</v>
      </c>
      <c r="J343">
        <v>0</v>
      </c>
    </row>
    <row r="344" spans="1:10" x14ac:dyDescent="0.25">
      <c r="A344" s="1" t="s">
        <v>97</v>
      </c>
      <c r="B344">
        <v>7172030016000600</v>
      </c>
      <c r="C344">
        <v>62</v>
      </c>
      <c r="D344">
        <v>0</v>
      </c>
      <c r="E344">
        <v>0</v>
      </c>
      <c r="F344">
        <v>62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s="1" t="s">
        <v>97</v>
      </c>
      <c r="B345">
        <v>7172030016000900</v>
      </c>
      <c r="C345">
        <v>62</v>
      </c>
      <c r="D345">
        <v>0</v>
      </c>
      <c r="E345">
        <v>0</v>
      </c>
      <c r="F345">
        <v>62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s="1" t="s">
        <v>97</v>
      </c>
      <c r="B346">
        <v>7172030012000100</v>
      </c>
      <c r="C346">
        <v>61</v>
      </c>
      <c r="D346">
        <v>0</v>
      </c>
      <c r="E346">
        <v>0</v>
      </c>
      <c r="F346">
        <v>51</v>
      </c>
      <c r="G346">
        <v>0</v>
      </c>
      <c r="H346">
        <v>0</v>
      </c>
      <c r="I346">
        <v>10</v>
      </c>
      <c r="J346">
        <v>0</v>
      </c>
    </row>
    <row r="347" spans="1:10" x14ac:dyDescent="0.25">
      <c r="A347" s="1" t="s">
        <v>97</v>
      </c>
      <c r="B347">
        <v>7172030016000300</v>
      </c>
      <c r="C347">
        <v>57</v>
      </c>
      <c r="D347">
        <v>1</v>
      </c>
      <c r="E347">
        <v>6</v>
      </c>
      <c r="F347">
        <v>22</v>
      </c>
      <c r="G347">
        <v>1</v>
      </c>
      <c r="H347">
        <v>0</v>
      </c>
      <c r="I347">
        <v>27</v>
      </c>
      <c r="J347">
        <v>0</v>
      </c>
    </row>
    <row r="348" spans="1:10" x14ac:dyDescent="0.25">
      <c r="A348" s="1" t="s">
        <v>97</v>
      </c>
      <c r="B348">
        <v>7172030016000400</v>
      </c>
      <c r="C348">
        <v>57</v>
      </c>
      <c r="D348">
        <v>0</v>
      </c>
      <c r="E348">
        <v>0</v>
      </c>
      <c r="F348">
        <v>57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s="1" t="s">
        <v>97</v>
      </c>
      <c r="B349">
        <v>7172030016000800</v>
      </c>
      <c r="C349">
        <v>47</v>
      </c>
      <c r="D349">
        <v>0</v>
      </c>
      <c r="E349">
        <v>0</v>
      </c>
      <c r="F349">
        <v>47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s="1" t="s">
        <v>97</v>
      </c>
      <c r="B350">
        <v>7172030016000700</v>
      </c>
      <c r="C350">
        <v>46</v>
      </c>
      <c r="D350">
        <v>0</v>
      </c>
      <c r="E350">
        <v>0</v>
      </c>
      <c r="F350">
        <v>46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s="1" t="s">
        <v>97</v>
      </c>
      <c r="B351">
        <v>7172030016000200</v>
      </c>
      <c r="C351">
        <v>38</v>
      </c>
      <c r="D351">
        <v>0</v>
      </c>
      <c r="E351">
        <v>0</v>
      </c>
      <c r="F351">
        <v>38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s="1" t="s">
        <v>97</v>
      </c>
      <c r="B352">
        <v>7172030016000100</v>
      </c>
      <c r="C352">
        <v>33</v>
      </c>
      <c r="D352">
        <v>0</v>
      </c>
      <c r="E352">
        <v>0</v>
      </c>
      <c r="F352">
        <v>33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s="1" t="s">
        <v>97</v>
      </c>
      <c r="B353">
        <v>7172030016000500</v>
      </c>
      <c r="C353">
        <v>33</v>
      </c>
      <c r="D353">
        <v>0</v>
      </c>
      <c r="E353">
        <v>0</v>
      </c>
      <c r="F353">
        <v>33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s="1" t="s">
        <v>99</v>
      </c>
      <c r="B354">
        <v>7172030013000100</v>
      </c>
      <c r="C354">
        <v>164</v>
      </c>
      <c r="D354">
        <v>0</v>
      </c>
      <c r="E354">
        <v>0</v>
      </c>
      <c r="F354">
        <v>164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s="1" t="s">
        <v>99</v>
      </c>
      <c r="B355">
        <v>7172030012001200</v>
      </c>
      <c r="C355">
        <v>77</v>
      </c>
      <c r="D355">
        <v>0</v>
      </c>
      <c r="E355">
        <v>6</v>
      </c>
      <c r="F355">
        <v>60</v>
      </c>
      <c r="G355">
        <v>0</v>
      </c>
      <c r="H355">
        <v>0</v>
      </c>
      <c r="I355">
        <v>11</v>
      </c>
      <c r="J355">
        <v>0</v>
      </c>
    </row>
    <row r="356" spans="1:10" x14ac:dyDescent="0.25">
      <c r="A356" s="1" t="s">
        <v>99</v>
      </c>
      <c r="B356">
        <v>7172030012001700</v>
      </c>
      <c r="C356">
        <v>71</v>
      </c>
      <c r="D356">
        <v>0</v>
      </c>
      <c r="E356">
        <v>4</v>
      </c>
      <c r="F356">
        <v>62</v>
      </c>
      <c r="G356">
        <v>0</v>
      </c>
      <c r="H356">
        <v>0</v>
      </c>
      <c r="I356">
        <v>5</v>
      </c>
      <c r="J356">
        <v>0</v>
      </c>
    </row>
    <row r="357" spans="1:10" x14ac:dyDescent="0.25">
      <c r="A357" s="1" t="s">
        <v>99</v>
      </c>
      <c r="B357">
        <v>7172030012001800</v>
      </c>
      <c r="C357">
        <v>66</v>
      </c>
      <c r="D357">
        <v>0</v>
      </c>
      <c r="E357">
        <v>0</v>
      </c>
      <c r="F357">
        <v>66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s="1" t="s">
        <v>99</v>
      </c>
      <c r="B358">
        <v>7172030012001900</v>
      </c>
      <c r="C358">
        <v>64</v>
      </c>
      <c r="D358">
        <v>3</v>
      </c>
      <c r="E358">
        <v>5</v>
      </c>
      <c r="F358">
        <v>53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s="1" t="s">
        <v>99</v>
      </c>
      <c r="B359">
        <v>7172030012001600</v>
      </c>
      <c r="C359">
        <v>60</v>
      </c>
      <c r="D359">
        <v>0</v>
      </c>
      <c r="E359">
        <v>0</v>
      </c>
      <c r="F359">
        <v>60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s="1" t="s">
        <v>99</v>
      </c>
      <c r="B360">
        <v>7172030012002000</v>
      </c>
      <c r="C360">
        <v>49</v>
      </c>
      <c r="D360">
        <v>0</v>
      </c>
      <c r="E360">
        <v>9</v>
      </c>
      <c r="F360">
        <v>24</v>
      </c>
      <c r="G360">
        <v>2</v>
      </c>
      <c r="H360">
        <v>0</v>
      </c>
      <c r="I360">
        <v>14</v>
      </c>
      <c r="J360">
        <v>0</v>
      </c>
    </row>
    <row r="361" spans="1:10" x14ac:dyDescent="0.25">
      <c r="A361" s="1" t="s">
        <v>99</v>
      </c>
      <c r="B361">
        <v>7172030013000300</v>
      </c>
      <c r="C361">
        <v>42</v>
      </c>
      <c r="D361">
        <v>0</v>
      </c>
      <c r="E361">
        <v>0</v>
      </c>
      <c r="F361">
        <v>42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s="1" t="s">
        <v>234</v>
      </c>
      <c r="B362">
        <v>7172030008000902</v>
      </c>
      <c r="C362">
        <v>112</v>
      </c>
      <c r="D362">
        <v>0</v>
      </c>
      <c r="E362">
        <v>2</v>
      </c>
      <c r="F362">
        <v>78</v>
      </c>
      <c r="G362">
        <v>0</v>
      </c>
      <c r="H362">
        <v>0</v>
      </c>
      <c r="I362">
        <v>32</v>
      </c>
      <c r="J362">
        <v>0</v>
      </c>
    </row>
    <row r="363" spans="1:10" x14ac:dyDescent="0.25">
      <c r="A363" s="1" t="s">
        <v>234</v>
      </c>
      <c r="B363">
        <v>7172030008000100</v>
      </c>
      <c r="C363">
        <v>66</v>
      </c>
      <c r="D363">
        <v>0</v>
      </c>
      <c r="E363">
        <v>0</v>
      </c>
      <c r="F363">
        <v>66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s="1" t="s">
        <v>234</v>
      </c>
      <c r="B364">
        <v>7172030008000500</v>
      </c>
      <c r="C364">
        <v>61</v>
      </c>
      <c r="D364">
        <v>0</v>
      </c>
      <c r="E364">
        <v>0</v>
      </c>
      <c r="F364">
        <v>61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s="1" t="s">
        <v>234</v>
      </c>
      <c r="B365">
        <v>7172030008000400</v>
      </c>
      <c r="C365">
        <v>60</v>
      </c>
      <c r="D365">
        <v>0</v>
      </c>
      <c r="E365">
        <v>0</v>
      </c>
      <c r="F365">
        <v>60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s="1" t="s">
        <v>234</v>
      </c>
      <c r="B366">
        <v>7172030008000200</v>
      </c>
      <c r="C366">
        <v>57</v>
      </c>
      <c r="D366">
        <v>0</v>
      </c>
      <c r="E366">
        <v>0</v>
      </c>
      <c r="F366">
        <v>57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s="1" t="s">
        <v>234</v>
      </c>
      <c r="B367">
        <v>7172030008000600</v>
      </c>
      <c r="C367">
        <v>48</v>
      </c>
      <c r="D367">
        <v>0</v>
      </c>
      <c r="E367">
        <v>0</v>
      </c>
      <c r="F367">
        <v>48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s="1" t="s">
        <v>234</v>
      </c>
      <c r="B368">
        <v>7172030008000901</v>
      </c>
      <c r="C368">
        <v>45</v>
      </c>
      <c r="D368">
        <v>9</v>
      </c>
      <c r="E368">
        <v>0</v>
      </c>
      <c r="F368">
        <v>32</v>
      </c>
      <c r="G368">
        <v>0</v>
      </c>
      <c r="H368">
        <v>0</v>
      </c>
      <c r="I368">
        <v>4</v>
      </c>
      <c r="J368">
        <v>0</v>
      </c>
    </row>
    <row r="369" spans="1:10" x14ac:dyDescent="0.25">
      <c r="A369" s="1" t="s">
        <v>234</v>
      </c>
      <c r="B369">
        <v>7172030008000700</v>
      </c>
      <c r="C369">
        <v>40</v>
      </c>
      <c r="D369">
        <v>0</v>
      </c>
      <c r="E369">
        <v>0</v>
      </c>
      <c r="F369">
        <v>40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s="1" t="s">
        <v>234</v>
      </c>
      <c r="B370">
        <v>7172030008000800</v>
      </c>
      <c r="C370">
        <v>40</v>
      </c>
      <c r="D370">
        <v>0</v>
      </c>
      <c r="E370">
        <v>0</v>
      </c>
      <c r="F370">
        <v>40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s="1" t="s">
        <v>234</v>
      </c>
      <c r="B371">
        <v>7172030008000300</v>
      </c>
      <c r="C371">
        <v>35</v>
      </c>
      <c r="D371">
        <v>0</v>
      </c>
      <c r="E371">
        <v>0</v>
      </c>
      <c r="F371">
        <v>35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s="1" t="s">
        <v>234</v>
      </c>
      <c r="B372">
        <v>7172030008200100</v>
      </c>
      <c r="C372">
        <v>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s="1" t="s">
        <v>235</v>
      </c>
      <c r="B373">
        <v>7172030015000800</v>
      </c>
      <c r="C373">
        <v>154</v>
      </c>
      <c r="D373">
        <v>1</v>
      </c>
      <c r="E373">
        <v>0</v>
      </c>
      <c r="F373">
        <v>153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s="1" t="s">
        <v>235</v>
      </c>
      <c r="B374">
        <v>7172030015000300</v>
      </c>
      <c r="C374">
        <v>102</v>
      </c>
      <c r="D374">
        <v>0</v>
      </c>
      <c r="E374">
        <v>6</v>
      </c>
      <c r="F374">
        <v>75</v>
      </c>
      <c r="G374">
        <v>0</v>
      </c>
      <c r="H374">
        <v>0</v>
      </c>
      <c r="I374">
        <v>21</v>
      </c>
      <c r="J374">
        <v>0</v>
      </c>
    </row>
    <row r="375" spans="1:10" x14ac:dyDescent="0.25">
      <c r="A375" s="1" t="s">
        <v>235</v>
      </c>
      <c r="B375">
        <v>7172030015001000</v>
      </c>
      <c r="C375">
        <v>78</v>
      </c>
      <c r="D375">
        <v>0</v>
      </c>
      <c r="E375">
        <v>7</v>
      </c>
      <c r="F375">
        <v>24</v>
      </c>
      <c r="G375">
        <v>0</v>
      </c>
      <c r="H375">
        <v>0</v>
      </c>
      <c r="I375">
        <v>47</v>
      </c>
      <c r="J375">
        <v>0</v>
      </c>
    </row>
    <row r="376" spans="1:10" x14ac:dyDescent="0.25">
      <c r="A376" s="1" t="s">
        <v>235</v>
      </c>
      <c r="B376">
        <v>7172030015000400</v>
      </c>
      <c r="C376">
        <v>65</v>
      </c>
      <c r="D376">
        <v>0</v>
      </c>
      <c r="E376">
        <v>0</v>
      </c>
      <c r="F376">
        <v>65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s="1" t="s">
        <v>235</v>
      </c>
      <c r="B377">
        <v>7172030015000700</v>
      </c>
      <c r="C377">
        <v>46</v>
      </c>
      <c r="D377">
        <v>0</v>
      </c>
      <c r="E377">
        <v>0</v>
      </c>
      <c r="F377">
        <v>46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s="1" t="s">
        <v>235</v>
      </c>
      <c r="B378">
        <v>7172030015000500</v>
      </c>
      <c r="C378">
        <v>45</v>
      </c>
      <c r="D378">
        <v>0</v>
      </c>
      <c r="E378">
        <v>0</v>
      </c>
      <c r="F378">
        <v>45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s="1" t="s">
        <v>235</v>
      </c>
      <c r="B379">
        <v>7172030015001100</v>
      </c>
      <c r="C379">
        <v>45</v>
      </c>
      <c r="D379">
        <v>0</v>
      </c>
      <c r="E379">
        <v>6</v>
      </c>
      <c r="F379">
        <v>39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s="1" t="s">
        <v>235</v>
      </c>
      <c r="B380">
        <v>7172030015000600</v>
      </c>
      <c r="C380">
        <v>38</v>
      </c>
      <c r="D380">
        <v>0</v>
      </c>
      <c r="E380">
        <v>0</v>
      </c>
      <c r="F380">
        <v>38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s="1" t="s">
        <v>235</v>
      </c>
      <c r="B381">
        <v>7172030015000900</v>
      </c>
      <c r="C381">
        <v>24</v>
      </c>
      <c r="D381">
        <v>0</v>
      </c>
      <c r="E381">
        <v>0</v>
      </c>
      <c r="F381">
        <v>24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s="1" t="s">
        <v>236</v>
      </c>
      <c r="B382">
        <v>7172030014001100</v>
      </c>
      <c r="C382">
        <v>219</v>
      </c>
      <c r="D382">
        <v>2</v>
      </c>
      <c r="E382">
        <v>3</v>
      </c>
      <c r="F382">
        <v>119</v>
      </c>
      <c r="G382">
        <v>0</v>
      </c>
      <c r="H382">
        <v>0</v>
      </c>
      <c r="I382">
        <v>95</v>
      </c>
      <c r="J382">
        <v>0</v>
      </c>
    </row>
    <row r="383" spans="1:10" x14ac:dyDescent="0.25">
      <c r="A383" s="1" t="s">
        <v>236</v>
      </c>
      <c r="B383">
        <v>7172030014001000</v>
      </c>
      <c r="C383">
        <v>112</v>
      </c>
      <c r="D383">
        <v>0</v>
      </c>
      <c r="E383">
        <v>0</v>
      </c>
      <c r="F383">
        <v>112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s="1" t="s">
        <v>236</v>
      </c>
      <c r="B384">
        <v>7172030014001200</v>
      </c>
      <c r="C384">
        <v>108</v>
      </c>
      <c r="D384">
        <v>0</v>
      </c>
      <c r="E384">
        <v>0</v>
      </c>
      <c r="F384">
        <v>108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s="1" t="s">
        <v>236</v>
      </c>
      <c r="B385">
        <v>7172030015000200</v>
      </c>
      <c r="C385">
        <v>64</v>
      </c>
      <c r="D385">
        <v>0</v>
      </c>
      <c r="E385">
        <v>0</v>
      </c>
      <c r="F385">
        <v>64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s="1" t="s">
        <v>236</v>
      </c>
      <c r="B386">
        <v>7172030015000100</v>
      </c>
      <c r="C386">
        <v>63</v>
      </c>
      <c r="D386">
        <v>0</v>
      </c>
      <c r="E386">
        <v>0</v>
      </c>
      <c r="F386">
        <v>63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s="1" t="s">
        <v>105</v>
      </c>
      <c r="B387">
        <v>7172030015001800</v>
      </c>
      <c r="C387">
        <v>117</v>
      </c>
      <c r="D387">
        <v>0</v>
      </c>
      <c r="E387">
        <v>0</v>
      </c>
      <c r="F387">
        <v>117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s="1" t="s">
        <v>105</v>
      </c>
      <c r="B388">
        <v>7172030015001701</v>
      </c>
      <c r="C388">
        <v>85</v>
      </c>
      <c r="D388">
        <v>0</v>
      </c>
      <c r="E388">
        <v>0</v>
      </c>
      <c r="F388">
        <v>85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s="1" t="s">
        <v>105</v>
      </c>
      <c r="B389">
        <v>7172030015001300</v>
      </c>
      <c r="C389">
        <v>79</v>
      </c>
      <c r="D389">
        <v>0</v>
      </c>
      <c r="E389">
        <v>14</v>
      </c>
      <c r="F389">
        <v>50</v>
      </c>
      <c r="G389">
        <v>0</v>
      </c>
      <c r="H389">
        <v>0</v>
      </c>
      <c r="I389">
        <v>15</v>
      </c>
      <c r="J389">
        <v>0</v>
      </c>
    </row>
    <row r="390" spans="1:10" x14ac:dyDescent="0.25">
      <c r="A390" s="1" t="s">
        <v>105</v>
      </c>
      <c r="B390">
        <v>7172030015001200</v>
      </c>
      <c r="C390">
        <v>63</v>
      </c>
      <c r="D390">
        <v>2</v>
      </c>
      <c r="E390">
        <v>6</v>
      </c>
      <c r="F390">
        <v>17</v>
      </c>
      <c r="G390">
        <v>0</v>
      </c>
      <c r="H390">
        <v>0</v>
      </c>
      <c r="I390">
        <v>38</v>
      </c>
      <c r="J390">
        <v>0</v>
      </c>
    </row>
    <row r="391" spans="1:10" x14ac:dyDescent="0.25">
      <c r="A391" s="1" t="s">
        <v>105</v>
      </c>
      <c r="B391">
        <v>7172030015001703</v>
      </c>
      <c r="C391">
        <v>35</v>
      </c>
      <c r="D391">
        <v>0</v>
      </c>
      <c r="E391">
        <v>0</v>
      </c>
      <c r="F391">
        <v>35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s="1" t="s">
        <v>109</v>
      </c>
      <c r="B392">
        <v>7172031001000700</v>
      </c>
      <c r="C392">
        <v>79</v>
      </c>
      <c r="D392">
        <v>0</v>
      </c>
      <c r="E392">
        <v>0</v>
      </c>
      <c r="F392">
        <v>79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s="1" t="s">
        <v>109</v>
      </c>
      <c r="B393">
        <v>7172031001001200</v>
      </c>
      <c r="C393">
        <v>58</v>
      </c>
      <c r="D393">
        <v>0</v>
      </c>
      <c r="E393">
        <v>0</v>
      </c>
      <c r="F393">
        <v>58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s="1" t="s">
        <v>109</v>
      </c>
      <c r="B394">
        <v>7172031001001100</v>
      </c>
      <c r="C394">
        <v>49</v>
      </c>
      <c r="D394">
        <v>0</v>
      </c>
      <c r="E394">
        <v>0</v>
      </c>
      <c r="F394">
        <v>49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s="1" t="s">
        <v>109</v>
      </c>
      <c r="B395">
        <v>7172031001000600</v>
      </c>
      <c r="C395">
        <v>46</v>
      </c>
      <c r="D395">
        <v>0</v>
      </c>
      <c r="E395">
        <v>0</v>
      </c>
      <c r="F395">
        <v>46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s="1" t="s">
        <v>109</v>
      </c>
      <c r="B396">
        <v>7172031001001400</v>
      </c>
      <c r="C396">
        <v>46</v>
      </c>
      <c r="D396">
        <v>2</v>
      </c>
      <c r="E396">
        <v>22</v>
      </c>
      <c r="F396">
        <v>19</v>
      </c>
      <c r="G396">
        <v>2</v>
      </c>
      <c r="H396">
        <v>0</v>
      </c>
      <c r="I396">
        <v>1</v>
      </c>
      <c r="J396">
        <v>0</v>
      </c>
    </row>
    <row r="397" spans="1:10" x14ac:dyDescent="0.25">
      <c r="A397" s="1" t="s">
        <v>109</v>
      </c>
      <c r="B397">
        <v>7172031001000800</v>
      </c>
      <c r="C397">
        <v>45</v>
      </c>
      <c r="D397">
        <v>0</v>
      </c>
      <c r="E397">
        <v>0</v>
      </c>
      <c r="F397">
        <v>45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s="1" t="s">
        <v>109</v>
      </c>
      <c r="B398">
        <v>7172031001000500</v>
      </c>
      <c r="C398">
        <v>42</v>
      </c>
      <c r="D398">
        <v>0</v>
      </c>
      <c r="E398">
        <v>0</v>
      </c>
      <c r="F398">
        <v>42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s="1" t="s">
        <v>109</v>
      </c>
      <c r="B399">
        <v>7172031001001300</v>
      </c>
      <c r="C399">
        <v>40</v>
      </c>
      <c r="D399">
        <v>17</v>
      </c>
      <c r="E399">
        <v>11</v>
      </c>
      <c r="F399">
        <v>3</v>
      </c>
      <c r="G399">
        <v>2</v>
      </c>
      <c r="H399">
        <v>0</v>
      </c>
      <c r="I399">
        <v>7</v>
      </c>
      <c r="J399">
        <v>0</v>
      </c>
    </row>
    <row r="400" spans="1:10" x14ac:dyDescent="0.25">
      <c r="A400" s="1" t="s">
        <v>109</v>
      </c>
      <c r="B400">
        <v>7172031001000400</v>
      </c>
      <c r="C400">
        <v>38</v>
      </c>
      <c r="D400">
        <v>0</v>
      </c>
      <c r="E400">
        <v>0</v>
      </c>
      <c r="F400">
        <v>38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s="1" t="s">
        <v>109</v>
      </c>
      <c r="B401">
        <v>7172031001001000</v>
      </c>
      <c r="C401">
        <v>32</v>
      </c>
      <c r="D401">
        <v>0</v>
      </c>
      <c r="E401">
        <v>0</v>
      </c>
      <c r="F401">
        <v>32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s="1" t="s">
        <v>109</v>
      </c>
      <c r="B402">
        <v>7172031001000300</v>
      </c>
      <c r="C402">
        <v>31</v>
      </c>
      <c r="D402">
        <v>0</v>
      </c>
      <c r="E402">
        <v>0</v>
      </c>
      <c r="F402">
        <v>31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s="1" t="s">
        <v>109</v>
      </c>
      <c r="B403">
        <v>7172031001000100</v>
      </c>
      <c r="C403">
        <v>26</v>
      </c>
      <c r="D403">
        <v>0</v>
      </c>
      <c r="E403">
        <v>0</v>
      </c>
      <c r="F403">
        <v>26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s="1" t="s">
        <v>109</v>
      </c>
      <c r="B404">
        <v>7172031001000200</v>
      </c>
      <c r="C404">
        <v>25</v>
      </c>
      <c r="D404">
        <v>0</v>
      </c>
      <c r="E404">
        <v>0</v>
      </c>
      <c r="F404">
        <v>25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s="1" t="s">
        <v>109</v>
      </c>
      <c r="B405">
        <v>7172031001000900</v>
      </c>
      <c r="C405">
        <v>25</v>
      </c>
      <c r="D405">
        <v>0</v>
      </c>
      <c r="E405">
        <v>0</v>
      </c>
      <c r="F405">
        <v>25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s="1" t="s">
        <v>113</v>
      </c>
      <c r="B406">
        <v>7172031005001800</v>
      </c>
      <c r="C406">
        <v>106</v>
      </c>
      <c r="D406">
        <v>0</v>
      </c>
      <c r="E406">
        <v>0</v>
      </c>
      <c r="F406">
        <v>106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s="1" t="s">
        <v>113</v>
      </c>
      <c r="B407">
        <v>7172031002001200</v>
      </c>
      <c r="C407">
        <v>99</v>
      </c>
      <c r="D407">
        <v>0</v>
      </c>
      <c r="E407">
        <v>0</v>
      </c>
      <c r="F407">
        <v>99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s="1" t="s">
        <v>113</v>
      </c>
      <c r="B408">
        <v>7172031005000800</v>
      </c>
      <c r="C408">
        <v>81</v>
      </c>
      <c r="D408">
        <v>0</v>
      </c>
      <c r="E408">
        <v>0</v>
      </c>
      <c r="F408">
        <v>81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s="1" t="s">
        <v>113</v>
      </c>
      <c r="B409">
        <v>7172031005001500</v>
      </c>
      <c r="C409">
        <v>77</v>
      </c>
      <c r="D409">
        <v>16</v>
      </c>
      <c r="E409">
        <v>15</v>
      </c>
      <c r="F409">
        <v>4</v>
      </c>
      <c r="G409">
        <v>0</v>
      </c>
      <c r="H409">
        <v>0</v>
      </c>
      <c r="I409">
        <v>42</v>
      </c>
      <c r="J409">
        <v>0</v>
      </c>
    </row>
    <row r="410" spans="1:10" x14ac:dyDescent="0.25">
      <c r="A410" s="1" t="s">
        <v>113</v>
      </c>
      <c r="B410">
        <v>7172031005001300</v>
      </c>
      <c r="C410">
        <v>74</v>
      </c>
      <c r="D410">
        <v>0</v>
      </c>
      <c r="E410">
        <v>0</v>
      </c>
      <c r="F410">
        <v>74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s="1" t="s">
        <v>113</v>
      </c>
      <c r="B411">
        <v>7172031005001600</v>
      </c>
      <c r="C411">
        <v>60</v>
      </c>
      <c r="D411">
        <v>0</v>
      </c>
      <c r="E411">
        <v>0</v>
      </c>
      <c r="F411">
        <v>60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s="1" t="s">
        <v>113</v>
      </c>
      <c r="B412">
        <v>7172031005001400</v>
      </c>
      <c r="C412">
        <v>59</v>
      </c>
      <c r="D412">
        <v>0</v>
      </c>
      <c r="E412">
        <v>0</v>
      </c>
      <c r="F412">
        <v>59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s="1" t="s">
        <v>113</v>
      </c>
      <c r="B413">
        <v>7172031003000100</v>
      </c>
      <c r="C413">
        <v>51</v>
      </c>
      <c r="D413">
        <v>0</v>
      </c>
      <c r="E413">
        <v>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s="1" t="s">
        <v>114</v>
      </c>
      <c r="B414">
        <v>7172031003001300</v>
      </c>
      <c r="C414">
        <v>69</v>
      </c>
      <c r="D414">
        <v>22</v>
      </c>
      <c r="E414">
        <v>18</v>
      </c>
      <c r="F414">
        <v>15</v>
      </c>
      <c r="G414">
        <v>1</v>
      </c>
      <c r="H414">
        <v>0</v>
      </c>
      <c r="I414">
        <v>13</v>
      </c>
      <c r="J414">
        <v>0</v>
      </c>
    </row>
    <row r="415" spans="1:10" x14ac:dyDescent="0.25">
      <c r="A415" s="1" t="s">
        <v>114</v>
      </c>
      <c r="B415">
        <v>7172031003000500</v>
      </c>
      <c r="C415">
        <v>67</v>
      </c>
      <c r="D415">
        <v>0</v>
      </c>
      <c r="E415">
        <v>0</v>
      </c>
      <c r="F415">
        <v>67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s="1" t="s">
        <v>114</v>
      </c>
      <c r="B416">
        <v>7172031003001600</v>
      </c>
      <c r="C416">
        <v>65</v>
      </c>
      <c r="D416">
        <v>0</v>
      </c>
      <c r="E416">
        <v>0</v>
      </c>
      <c r="F416">
        <v>65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s="1" t="s">
        <v>114</v>
      </c>
      <c r="B417">
        <v>7172031003000800</v>
      </c>
      <c r="C417">
        <v>57</v>
      </c>
      <c r="D417">
        <v>10</v>
      </c>
      <c r="E417">
        <v>0</v>
      </c>
      <c r="F417">
        <v>47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s="1" t="s">
        <v>114</v>
      </c>
      <c r="B418">
        <v>7172031003001000</v>
      </c>
      <c r="C418">
        <v>50</v>
      </c>
      <c r="D418">
        <v>0</v>
      </c>
      <c r="E418">
        <v>0</v>
      </c>
      <c r="F418">
        <v>50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s="1" t="s">
        <v>114</v>
      </c>
      <c r="B419">
        <v>7172031003000600</v>
      </c>
      <c r="C419">
        <v>43</v>
      </c>
      <c r="D419">
        <v>0</v>
      </c>
      <c r="E419">
        <v>0</v>
      </c>
      <c r="F419">
        <v>43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s="1" t="s">
        <v>114</v>
      </c>
      <c r="B420">
        <v>7172031003001500</v>
      </c>
      <c r="C420">
        <v>42</v>
      </c>
      <c r="D420">
        <v>0</v>
      </c>
      <c r="E420">
        <v>0</v>
      </c>
      <c r="F420">
        <v>42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s="1" t="s">
        <v>114</v>
      </c>
      <c r="B421">
        <v>7172031003000700</v>
      </c>
      <c r="C421">
        <v>40</v>
      </c>
      <c r="D421">
        <v>0</v>
      </c>
      <c r="E421">
        <v>0</v>
      </c>
      <c r="F421">
        <v>40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s="1" t="s">
        <v>114</v>
      </c>
      <c r="B422">
        <v>7172031003000300</v>
      </c>
      <c r="C422">
        <v>39</v>
      </c>
      <c r="D422">
        <v>0</v>
      </c>
      <c r="E422">
        <v>0</v>
      </c>
      <c r="F422">
        <v>39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s="1" t="s">
        <v>114</v>
      </c>
      <c r="B423">
        <v>7172031003000900</v>
      </c>
      <c r="C423">
        <v>38</v>
      </c>
      <c r="D423">
        <v>0</v>
      </c>
      <c r="E423">
        <v>0</v>
      </c>
      <c r="F423">
        <v>38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s="1" t="s">
        <v>114</v>
      </c>
      <c r="B424">
        <v>7172031003000400</v>
      </c>
      <c r="C424">
        <v>34</v>
      </c>
      <c r="D424">
        <v>0</v>
      </c>
      <c r="E424">
        <v>0</v>
      </c>
      <c r="F424">
        <v>34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s="1" t="s">
        <v>114</v>
      </c>
      <c r="B425">
        <v>7172031003001200</v>
      </c>
      <c r="C425">
        <v>28</v>
      </c>
      <c r="D425">
        <v>0</v>
      </c>
      <c r="E425">
        <v>0</v>
      </c>
      <c r="F425">
        <v>28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s="1" t="s">
        <v>114</v>
      </c>
      <c r="B426">
        <v>7172031003001100</v>
      </c>
      <c r="C426">
        <v>23</v>
      </c>
      <c r="D426">
        <v>0</v>
      </c>
      <c r="E426">
        <v>0</v>
      </c>
      <c r="F426">
        <v>23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s="1" t="s">
        <v>119</v>
      </c>
      <c r="B427">
        <v>7172031005000500</v>
      </c>
      <c r="C427">
        <v>73</v>
      </c>
      <c r="D427">
        <v>1</v>
      </c>
      <c r="E427">
        <v>0</v>
      </c>
      <c r="F427">
        <v>72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s="1" t="s">
        <v>119</v>
      </c>
      <c r="B428">
        <v>7172031005001200</v>
      </c>
      <c r="C428">
        <v>73</v>
      </c>
      <c r="D428">
        <v>0</v>
      </c>
      <c r="E428">
        <v>0</v>
      </c>
      <c r="F428">
        <v>73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s="1" t="s">
        <v>119</v>
      </c>
      <c r="B429">
        <v>7172031005000400</v>
      </c>
      <c r="C429">
        <v>71</v>
      </c>
      <c r="D429">
        <v>0</v>
      </c>
      <c r="E429">
        <v>0</v>
      </c>
      <c r="F429">
        <v>71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s="1" t="s">
        <v>119</v>
      </c>
      <c r="B430">
        <v>7172031005000900</v>
      </c>
      <c r="C430">
        <v>60</v>
      </c>
      <c r="D430">
        <v>0</v>
      </c>
      <c r="E430">
        <v>0</v>
      </c>
      <c r="F430">
        <v>60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s="1" t="s">
        <v>119</v>
      </c>
      <c r="B431">
        <v>7172031005000300</v>
      </c>
      <c r="C431">
        <v>52</v>
      </c>
      <c r="D431">
        <v>4</v>
      </c>
      <c r="E431">
        <v>19</v>
      </c>
      <c r="F431">
        <v>11</v>
      </c>
      <c r="G431">
        <v>4</v>
      </c>
      <c r="H431">
        <v>0</v>
      </c>
      <c r="I431">
        <v>14</v>
      </c>
      <c r="J431">
        <v>0</v>
      </c>
    </row>
    <row r="432" spans="1:10" x14ac:dyDescent="0.25">
      <c r="A432" s="1" t="s">
        <v>119</v>
      </c>
      <c r="B432">
        <v>7172031005000700</v>
      </c>
      <c r="C432">
        <v>50</v>
      </c>
      <c r="D432">
        <v>0</v>
      </c>
      <c r="E432">
        <v>0</v>
      </c>
      <c r="F432">
        <v>50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s="1" t="s">
        <v>119</v>
      </c>
      <c r="B433">
        <v>7172031005001700</v>
      </c>
      <c r="C433">
        <v>45</v>
      </c>
      <c r="D433">
        <v>0</v>
      </c>
      <c r="E433">
        <v>0</v>
      </c>
      <c r="F433">
        <v>45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s="1" t="s">
        <v>119</v>
      </c>
      <c r="B434">
        <v>7172031005000600</v>
      </c>
      <c r="C434">
        <v>42</v>
      </c>
      <c r="D434">
        <v>0</v>
      </c>
      <c r="E434">
        <v>0</v>
      </c>
      <c r="F434">
        <v>42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s="1" t="s">
        <v>119</v>
      </c>
      <c r="B435">
        <v>7172031005001000</v>
      </c>
      <c r="C435">
        <v>41</v>
      </c>
      <c r="D435">
        <v>0</v>
      </c>
      <c r="E435">
        <v>0</v>
      </c>
      <c r="F435">
        <v>41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s="1" t="s">
        <v>119</v>
      </c>
      <c r="B436">
        <v>7172031005000200</v>
      </c>
      <c r="C436">
        <v>40</v>
      </c>
      <c r="D436">
        <v>0</v>
      </c>
      <c r="E436">
        <v>0</v>
      </c>
      <c r="F436">
        <v>40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s="1" t="s">
        <v>119</v>
      </c>
      <c r="B437">
        <v>7172031005001100</v>
      </c>
      <c r="C437">
        <v>31</v>
      </c>
      <c r="D437">
        <v>0</v>
      </c>
      <c r="E437">
        <v>0</v>
      </c>
      <c r="F437">
        <v>31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s="1" t="s">
        <v>119</v>
      </c>
      <c r="B438">
        <v>7172031005000100</v>
      </c>
      <c r="C438">
        <v>23</v>
      </c>
      <c r="D438">
        <v>0</v>
      </c>
      <c r="E438">
        <v>0</v>
      </c>
      <c r="F438">
        <v>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s="1" t="s">
        <v>121</v>
      </c>
      <c r="B439">
        <v>7172031006001100</v>
      </c>
      <c r="C439">
        <v>192</v>
      </c>
      <c r="D439">
        <v>0</v>
      </c>
      <c r="E439">
        <v>28</v>
      </c>
      <c r="F439">
        <v>124</v>
      </c>
      <c r="G439">
        <v>2</v>
      </c>
      <c r="H439">
        <v>0</v>
      </c>
      <c r="I439">
        <v>38</v>
      </c>
      <c r="J439">
        <v>0</v>
      </c>
    </row>
    <row r="440" spans="1:10" x14ac:dyDescent="0.25">
      <c r="A440" s="1" t="s">
        <v>121</v>
      </c>
      <c r="B440">
        <v>7172031006000500</v>
      </c>
      <c r="C440">
        <v>189</v>
      </c>
      <c r="D440">
        <v>0</v>
      </c>
      <c r="E440">
        <v>0</v>
      </c>
      <c r="F440">
        <v>189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s="1" t="s">
        <v>121</v>
      </c>
      <c r="B441">
        <v>7172031006000600</v>
      </c>
      <c r="C441">
        <v>103</v>
      </c>
      <c r="D441">
        <v>0</v>
      </c>
      <c r="E441">
        <v>0</v>
      </c>
      <c r="F441">
        <v>103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s="1" t="s">
        <v>121</v>
      </c>
      <c r="B442">
        <v>7172031007002600</v>
      </c>
      <c r="C442">
        <v>72</v>
      </c>
      <c r="D442">
        <v>0</v>
      </c>
      <c r="E442">
        <v>0</v>
      </c>
      <c r="F442">
        <v>72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s="1" t="s">
        <v>121</v>
      </c>
      <c r="B443">
        <v>7172031007002900</v>
      </c>
      <c r="C443">
        <v>61</v>
      </c>
      <c r="D443">
        <v>0</v>
      </c>
      <c r="E443">
        <v>0</v>
      </c>
      <c r="F443">
        <v>61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s="1" t="s">
        <v>125</v>
      </c>
      <c r="B444">
        <v>7172031007000100</v>
      </c>
      <c r="C444">
        <v>154</v>
      </c>
      <c r="D444">
        <v>0</v>
      </c>
      <c r="E444">
        <v>0</v>
      </c>
      <c r="F444">
        <v>154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s="1" t="s">
        <v>125</v>
      </c>
      <c r="B445">
        <v>7172031007000800</v>
      </c>
      <c r="C445">
        <v>100</v>
      </c>
      <c r="D445">
        <v>0</v>
      </c>
      <c r="E445">
        <v>0</v>
      </c>
      <c r="F445">
        <v>100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s="1" t="s">
        <v>125</v>
      </c>
      <c r="B446">
        <v>7172031007000200</v>
      </c>
      <c r="C446">
        <v>99</v>
      </c>
      <c r="D446">
        <v>0</v>
      </c>
      <c r="E446">
        <v>0</v>
      </c>
      <c r="F446">
        <v>99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s="1" t="s">
        <v>125</v>
      </c>
      <c r="B447">
        <v>7172031007000500</v>
      </c>
      <c r="C447">
        <v>98</v>
      </c>
      <c r="D447">
        <v>23</v>
      </c>
      <c r="E447">
        <v>12</v>
      </c>
      <c r="F447">
        <v>6</v>
      </c>
      <c r="G447">
        <v>1</v>
      </c>
      <c r="H447">
        <v>0</v>
      </c>
      <c r="I447">
        <v>56</v>
      </c>
      <c r="J447">
        <v>0</v>
      </c>
    </row>
    <row r="448" spans="1:10" x14ac:dyDescent="0.25">
      <c r="A448" s="1" t="s">
        <v>125</v>
      </c>
      <c r="B448">
        <v>7172031007002500</v>
      </c>
      <c r="C448">
        <v>66</v>
      </c>
      <c r="D448">
        <v>0</v>
      </c>
      <c r="E448">
        <v>0</v>
      </c>
      <c r="F448">
        <v>66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s="1" t="s">
        <v>125</v>
      </c>
      <c r="B449">
        <v>7172031007000400</v>
      </c>
      <c r="C449">
        <v>56</v>
      </c>
      <c r="D449">
        <v>0</v>
      </c>
      <c r="E449">
        <v>0</v>
      </c>
      <c r="F449">
        <v>56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s="1" t="s">
        <v>125</v>
      </c>
      <c r="B450">
        <v>7172031008000400</v>
      </c>
      <c r="C450">
        <v>32</v>
      </c>
      <c r="D450">
        <v>0</v>
      </c>
      <c r="E450">
        <v>5</v>
      </c>
      <c r="F450">
        <v>18</v>
      </c>
      <c r="G450">
        <v>0</v>
      </c>
      <c r="H450">
        <v>0</v>
      </c>
      <c r="I450">
        <v>9</v>
      </c>
      <c r="J450">
        <v>0</v>
      </c>
    </row>
    <row r="451" spans="1:10" x14ac:dyDescent="0.25">
      <c r="A451" s="1" t="s">
        <v>126</v>
      </c>
      <c r="B451">
        <v>7172031007000600</v>
      </c>
      <c r="C451">
        <v>162</v>
      </c>
      <c r="D451">
        <v>8</v>
      </c>
      <c r="E451">
        <v>12</v>
      </c>
      <c r="F451">
        <v>108</v>
      </c>
      <c r="G451">
        <v>0</v>
      </c>
      <c r="H451">
        <v>0</v>
      </c>
      <c r="I451">
        <v>34</v>
      </c>
      <c r="J451">
        <v>0</v>
      </c>
    </row>
    <row r="452" spans="1:10" x14ac:dyDescent="0.25">
      <c r="A452" s="1" t="s">
        <v>126</v>
      </c>
      <c r="B452">
        <v>7172031007001400</v>
      </c>
      <c r="C452">
        <v>117</v>
      </c>
      <c r="D452">
        <v>0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s="1" t="s">
        <v>126</v>
      </c>
      <c r="B453">
        <v>7172031007001300</v>
      </c>
      <c r="C453">
        <v>94</v>
      </c>
      <c r="D453">
        <v>0</v>
      </c>
      <c r="E453">
        <v>0</v>
      </c>
      <c r="F453">
        <v>94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s="1" t="s">
        <v>126</v>
      </c>
      <c r="B454">
        <v>7172031007000900</v>
      </c>
      <c r="C454">
        <v>92</v>
      </c>
      <c r="D454">
        <v>0</v>
      </c>
      <c r="E454">
        <v>0</v>
      </c>
      <c r="F454">
        <v>92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s="1" t="s">
        <v>126</v>
      </c>
      <c r="B455">
        <v>7172031007000700</v>
      </c>
      <c r="C455">
        <v>86</v>
      </c>
      <c r="D455">
        <v>0</v>
      </c>
      <c r="E455">
        <v>0</v>
      </c>
      <c r="F455">
        <v>86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s="1" t="s">
        <v>126</v>
      </c>
      <c r="B456">
        <v>7172031007001100</v>
      </c>
      <c r="C456">
        <v>54</v>
      </c>
      <c r="D456">
        <v>0</v>
      </c>
      <c r="E456">
        <v>0</v>
      </c>
      <c r="F456">
        <v>54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s="1" t="s">
        <v>123</v>
      </c>
      <c r="B457">
        <v>7172031007002700</v>
      </c>
      <c r="C457">
        <v>169</v>
      </c>
      <c r="D457">
        <v>20</v>
      </c>
      <c r="E457">
        <v>8</v>
      </c>
      <c r="F457">
        <v>72</v>
      </c>
      <c r="G457">
        <v>51</v>
      </c>
      <c r="H457">
        <v>0</v>
      </c>
      <c r="I457">
        <v>18</v>
      </c>
      <c r="J457">
        <v>0</v>
      </c>
    </row>
    <row r="458" spans="1:10" x14ac:dyDescent="0.25">
      <c r="A458" s="1" t="s">
        <v>123</v>
      </c>
      <c r="B458">
        <v>7172031006000800</v>
      </c>
      <c r="C458">
        <v>130</v>
      </c>
      <c r="D458">
        <v>0</v>
      </c>
      <c r="E458">
        <v>0</v>
      </c>
      <c r="F458">
        <v>130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s="1" t="s">
        <v>123</v>
      </c>
      <c r="B459">
        <v>7172031007000300</v>
      </c>
      <c r="C459">
        <v>99</v>
      </c>
      <c r="D459">
        <v>0</v>
      </c>
      <c r="E459">
        <v>0</v>
      </c>
      <c r="F459">
        <v>99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s="1" t="s">
        <v>123</v>
      </c>
      <c r="B460">
        <v>7172031008000200</v>
      </c>
      <c r="C460">
        <v>89</v>
      </c>
      <c r="D460">
        <v>0</v>
      </c>
      <c r="E460">
        <v>0</v>
      </c>
      <c r="F460">
        <v>89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s="1" t="s">
        <v>123</v>
      </c>
      <c r="B461">
        <v>7172031008000100</v>
      </c>
      <c r="C461">
        <v>67</v>
      </c>
      <c r="D461">
        <v>0</v>
      </c>
      <c r="E461">
        <v>0</v>
      </c>
      <c r="F461">
        <v>67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s="1" t="s">
        <v>123</v>
      </c>
      <c r="B462">
        <v>7172031007002800</v>
      </c>
      <c r="C462">
        <v>40</v>
      </c>
      <c r="D462">
        <v>0</v>
      </c>
      <c r="E462">
        <v>0</v>
      </c>
      <c r="F462">
        <v>40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s="1" t="s">
        <v>128</v>
      </c>
      <c r="B463">
        <v>7172031007001900</v>
      </c>
      <c r="C463">
        <v>121</v>
      </c>
      <c r="D463">
        <v>0</v>
      </c>
      <c r="E463">
        <v>0</v>
      </c>
      <c r="F463">
        <v>121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s="1" t="s">
        <v>128</v>
      </c>
      <c r="B464">
        <v>7172031007002200</v>
      </c>
      <c r="C464">
        <v>120</v>
      </c>
      <c r="D464">
        <v>0</v>
      </c>
      <c r="E464">
        <v>0</v>
      </c>
      <c r="F464">
        <v>120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s="1" t="s">
        <v>128</v>
      </c>
      <c r="B465">
        <v>7172031007002100</v>
      </c>
      <c r="C465">
        <v>100</v>
      </c>
      <c r="D465">
        <v>0</v>
      </c>
      <c r="E465">
        <v>0</v>
      </c>
      <c r="F465">
        <v>100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s="1" t="s">
        <v>128</v>
      </c>
      <c r="B466">
        <v>7172031007002400</v>
      </c>
      <c r="C466">
        <v>75</v>
      </c>
      <c r="D466">
        <v>0</v>
      </c>
      <c r="E466">
        <v>0</v>
      </c>
      <c r="F466">
        <v>75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s="1" t="s">
        <v>128</v>
      </c>
      <c r="B467">
        <v>7172031007001500</v>
      </c>
      <c r="C467">
        <v>73</v>
      </c>
      <c r="D467">
        <v>0</v>
      </c>
      <c r="E467">
        <v>3</v>
      </c>
      <c r="F467">
        <v>42</v>
      </c>
      <c r="G467">
        <v>2</v>
      </c>
      <c r="H467">
        <v>0</v>
      </c>
      <c r="I467">
        <v>26</v>
      </c>
      <c r="J467">
        <v>0</v>
      </c>
    </row>
    <row r="468" spans="1:10" x14ac:dyDescent="0.25">
      <c r="A468" s="1" t="s">
        <v>128</v>
      </c>
      <c r="B468">
        <v>7172031007002300</v>
      </c>
      <c r="C468">
        <v>72</v>
      </c>
      <c r="D468">
        <v>0</v>
      </c>
      <c r="E468">
        <v>0</v>
      </c>
      <c r="F468">
        <v>72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s="1" t="s">
        <v>134</v>
      </c>
      <c r="B469">
        <v>7172040003001200</v>
      </c>
      <c r="C469">
        <v>154</v>
      </c>
      <c r="D469">
        <v>0</v>
      </c>
      <c r="E469">
        <v>0</v>
      </c>
      <c r="F469">
        <v>154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s="1" t="s">
        <v>134</v>
      </c>
      <c r="B470">
        <v>7172040003001100</v>
      </c>
      <c r="C470">
        <v>129</v>
      </c>
      <c r="D470">
        <v>0</v>
      </c>
      <c r="E470">
        <v>0</v>
      </c>
      <c r="F470">
        <v>129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s="1" t="s">
        <v>134</v>
      </c>
      <c r="B471">
        <v>7172040003001000</v>
      </c>
      <c r="C471">
        <v>124</v>
      </c>
      <c r="D471">
        <v>0</v>
      </c>
      <c r="E471">
        <v>9</v>
      </c>
      <c r="F471">
        <v>101</v>
      </c>
      <c r="G471">
        <v>2</v>
      </c>
      <c r="H471">
        <v>0</v>
      </c>
      <c r="I471">
        <v>12</v>
      </c>
      <c r="J471">
        <v>0</v>
      </c>
    </row>
    <row r="472" spans="1:10" x14ac:dyDescent="0.25">
      <c r="A472" s="1" t="s">
        <v>134</v>
      </c>
      <c r="B472">
        <v>7172040003000900</v>
      </c>
      <c r="C472">
        <v>93</v>
      </c>
      <c r="D472">
        <v>0</v>
      </c>
      <c r="E472">
        <v>0</v>
      </c>
      <c r="F472">
        <v>93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s="1" t="s">
        <v>134</v>
      </c>
      <c r="B473">
        <v>7172040003000200</v>
      </c>
      <c r="C473">
        <v>69</v>
      </c>
      <c r="D473">
        <v>0</v>
      </c>
      <c r="E473">
        <v>0</v>
      </c>
      <c r="F473">
        <v>69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s="1" t="s">
        <v>131</v>
      </c>
      <c r="B474">
        <v>7172040007000300</v>
      </c>
      <c r="C474">
        <v>80</v>
      </c>
      <c r="D474">
        <v>0</v>
      </c>
      <c r="E474">
        <v>3</v>
      </c>
      <c r="F474">
        <v>68</v>
      </c>
      <c r="G474">
        <v>0</v>
      </c>
      <c r="H474">
        <v>0</v>
      </c>
      <c r="I474">
        <v>9</v>
      </c>
      <c r="J474">
        <v>0</v>
      </c>
    </row>
    <row r="475" spans="1:10" x14ac:dyDescent="0.25">
      <c r="A475" s="1" t="s">
        <v>131</v>
      </c>
      <c r="B475">
        <v>7172040007000200</v>
      </c>
      <c r="C475">
        <v>79</v>
      </c>
      <c r="D475">
        <v>0</v>
      </c>
      <c r="E475">
        <v>0</v>
      </c>
      <c r="F475">
        <v>79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s="1" t="s">
        <v>131</v>
      </c>
      <c r="B476">
        <v>7172040001000900</v>
      </c>
      <c r="C476">
        <v>75</v>
      </c>
      <c r="D476">
        <v>0</v>
      </c>
      <c r="E476">
        <v>0</v>
      </c>
      <c r="F476">
        <v>75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s="1" t="s">
        <v>131</v>
      </c>
      <c r="B477">
        <v>7172040007000100</v>
      </c>
      <c r="C477">
        <v>72</v>
      </c>
      <c r="D477">
        <v>0</v>
      </c>
      <c r="E477">
        <v>0</v>
      </c>
      <c r="F477">
        <v>72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s="1" t="s">
        <v>131</v>
      </c>
      <c r="B478">
        <v>7172040001000600</v>
      </c>
      <c r="C478">
        <v>67</v>
      </c>
      <c r="D478">
        <v>0</v>
      </c>
      <c r="E478">
        <v>0</v>
      </c>
      <c r="F478">
        <v>67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s="1" t="s">
        <v>131</v>
      </c>
      <c r="B479">
        <v>7172040001000700</v>
      </c>
      <c r="C479">
        <v>57</v>
      </c>
      <c r="D479">
        <v>0</v>
      </c>
      <c r="E479">
        <v>0</v>
      </c>
      <c r="F479">
        <v>57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s="1" t="s">
        <v>131</v>
      </c>
      <c r="B480">
        <v>7172040001000500</v>
      </c>
      <c r="C480">
        <v>53</v>
      </c>
      <c r="D480">
        <v>0</v>
      </c>
      <c r="E480">
        <v>0</v>
      </c>
      <c r="F480">
        <v>53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s="1" t="s">
        <v>131</v>
      </c>
      <c r="B481">
        <v>7172040007000400</v>
      </c>
      <c r="C481">
        <v>46</v>
      </c>
      <c r="D481">
        <v>0</v>
      </c>
      <c r="E481">
        <v>19</v>
      </c>
      <c r="F481">
        <v>14</v>
      </c>
      <c r="G481">
        <v>8</v>
      </c>
      <c r="H481">
        <v>0</v>
      </c>
      <c r="I481">
        <v>5</v>
      </c>
      <c r="J481">
        <v>0</v>
      </c>
    </row>
    <row r="482" spans="1:10" x14ac:dyDescent="0.25">
      <c r="A482" s="1" t="s">
        <v>131</v>
      </c>
      <c r="B482">
        <v>7172040001000800</v>
      </c>
      <c r="C482">
        <v>42</v>
      </c>
      <c r="D482">
        <v>0</v>
      </c>
      <c r="E482">
        <v>0</v>
      </c>
      <c r="F482">
        <v>42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s="1" t="s">
        <v>131</v>
      </c>
      <c r="B483">
        <v>7172040001000400</v>
      </c>
      <c r="C483">
        <v>41</v>
      </c>
      <c r="D483">
        <v>0</v>
      </c>
      <c r="E483">
        <v>0</v>
      </c>
      <c r="F483">
        <v>41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s="1" t="s">
        <v>137</v>
      </c>
      <c r="B484">
        <v>7172040005000200</v>
      </c>
      <c r="C484">
        <v>95</v>
      </c>
      <c r="D484">
        <v>0</v>
      </c>
      <c r="E484">
        <v>0</v>
      </c>
      <c r="F484">
        <v>95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s="1" t="s">
        <v>137</v>
      </c>
      <c r="B485">
        <v>7172040005001200</v>
      </c>
      <c r="C485">
        <v>77</v>
      </c>
      <c r="D485">
        <v>0</v>
      </c>
      <c r="E485">
        <v>0</v>
      </c>
      <c r="F485">
        <v>77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s="1" t="s">
        <v>137</v>
      </c>
      <c r="B486">
        <v>7172040005000400</v>
      </c>
      <c r="C486">
        <v>58</v>
      </c>
      <c r="D486">
        <v>0</v>
      </c>
      <c r="E486">
        <v>0</v>
      </c>
      <c r="F486">
        <v>58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s="1" t="s">
        <v>137</v>
      </c>
      <c r="B487">
        <v>7172040005000700</v>
      </c>
      <c r="C487">
        <v>57</v>
      </c>
      <c r="D487">
        <v>0</v>
      </c>
      <c r="E487">
        <v>6</v>
      </c>
      <c r="F487">
        <v>6</v>
      </c>
      <c r="G487">
        <v>1</v>
      </c>
      <c r="H487">
        <v>0</v>
      </c>
      <c r="I487">
        <v>44</v>
      </c>
      <c r="J487">
        <v>0</v>
      </c>
    </row>
    <row r="488" spans="1:10" x14ac:dyDescent="0.25">
      <c r="A488" s="1" t="s">
        <v>137</v>
      </c>
      <c r="B488">
        <v>7172040005000100</v>
      </c>
      <c r="C488">
        <v>52</v>
      </c>
      <c r="D488">
        <v>0</v>
      </c>
      <c r="E488">
        <v>0</v>
      </c>
      <c r="F488">
        <v>52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s="1" t="s">
        <v>137</v>
      </c>
      <c r="B489">
        <v>7172040005001100</v>
      </c>
      <c r="C489">
        <v>48</v>
      </c>
      <c r="D489">
        <v>0</v>
      </c>
      <c r="E489">
        <v>0</v>
      </c>
      <c r="F489">
        <v>48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s="1" t="s">
        <v>137</v>
      </c>
      <c r="B490">
        <v>7172040005000900</v>
      </c>
      <c r="C490">
        <v>44</v>
      </c>
      <c r="D490">
        <v>0</v>
      </c>
      <c r="E490">
        <v>0</v>
      </c>
      <c r="F490">
        <v>42</v>
      </c>
      <c r="G490">
        <v>0</v>
      </c>
      <c r="H490">
        <v>0</v>
      </c>
      <c r="I490">
        <v>2</v>
      </c>
      <c r="J490">
        <v>0</v>
      </c>
    </row>
    <row r="491" spans="1:10" x14ac:dyDescent="0.25">
      <c r="A491" s="1" t="s">
        <v>137</v>
      </c>
      <c r="B491">
        <v>7172040005000300</v>
      </c>
      <c r="C491">
        <v>40</v>
      </c>
      <c r="D491">
        <v>0</v>
      </c>
      <c r="E491">
        <v>0</v>
      </c>
      <c r="F491">
        <v>40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s="1" t="s">
        <v>137</v>
      </c>
      <c r="B492">
        <v>7172040005000800</v>
      </c>
      <c r="C492">
        <v>39</v>
      </c>
      <c r="D492">
        <v>0</v>
      </c>
      <c r="E492">
        <v>0</v>
      </c>
      <c r="F492">
        <v>38</v>
      </c>
      <c r="G492">
        <v>0</v>
      </c>
      <c r="H492">
        <v>0</v>
      </c>
      <c r="I492">
        <v>1</v>
      </c>
      <c r="J492">
        <v>0</v>
      </c>
    </row>
    <row r="493" spans="1:10" x14ac:dyDescent="0.25">
      <c r="A493" s="1" t="s">
        <v>137</v>
      </c>
      <c r="B493">
        <v>7172040005001000</v>
      </c>
      <c r="C493">
        <v>27</v>
      </c>
      <c r="D493">
        <v>0</v>
      </c>
      <c r="E493">
        <v>0</v>
      </c>
      <c r="F493">
        <v>27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s="1" t="s">
        <v>137</v>
      </c>
      <c r="B494">
        <v>7172040005000500</v>
      </c>
      <c r="C494">
        <v>24</v>
      </c>
      <c r="D494">
        <v>0</v>
      </c>
      <c r="E494">
        <v>0</v>
      </c>
      <c r="F494">
        <v>24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s="1" t="s">
        <v>138</v>
      </c>
      <c r="B495">
        <v>7172040005002001</v>
      </c>
      <c r="C495">
        <v>126</v>
      </c>
      <c r="D495">
        <v>0</v>
      </c>
      <c r="E495">
        <v>0</v>
      </c>
      <c r="F495">
        <v>126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s="1" t="s">
        <v>138</v>
      </c>
      <c r="B496">
        <v>7172040005001800</v>
      </c>
      <c r="C496">
        <v>108</v>
      </c>
      <c r="D496">
        <v>0</v>
      </c>
      <c r="E496">
        <v>0</v>
      </c>
      <c r="F496">
        <v>108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s="1" t="s">
        <v>138</v>
      </c>
      <c r="B497">
        <v>7172040005001700</v>
      </c>
      <c r="C497">
        <v>100</v>
      </c>
      <c r="D497">
        <v>0</v>
      </c>
      <c r="E497">
        <v>0</v>
      </c>
      <c r="F497">
        <v>100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s="1" t="s">
        <v>138</v>
      </c>
      <c r="B498">
        <v>7172040005001401</v>
      </c>
      <c r="C498">
        <v>72</v>
      </c>
      <c r="D498">
        <v>0</v>
      </c>
      <c r="E498">
        <v>0</v>
      </c>
      <c r="F498">
        <v>72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s="1" t="s">
        <v>138</v>
      </c>
      <c r="B499">
        <v>7172040005001402</v>
      </c>
      <c r="C499">
        <v>61</v>
      </c>
      <c r="D499">
        <v>0</v>
      </c>
      <c r="E499">
        <v>0</v>
      </c>
      <c r="F499">
        <v>61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s="1" t="s">
        <v>138</v>
      </c>
      <c r="B500">
        <v>7172040005001500</v>
      </c>
      <c r="C500">
        <v>56</v>
      </c>
      <c r="D500">
        <v>0</v>
      </c>
      <c r="E500">
        <v>0</v>
      </c>
      <c r="F500">
        <v>56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s="1" t="s">
        <v>138</v>
      </c>
      <c r="B501">
        <v>7172040005001300</v>
      </c>
      <c r="C501">
        <v>55</v>
      </c>
      <c r="D501">
        <v>0</v>
      </c>
      <c r="E501">
        <v>15</v>
      </c>
      <c r="F501">
        <v>26</v>
      </c>
      <c r="G501">
        <v>0</v>
      </c>
      <c r="H501">
        <v>0</v>
      </c>
      <c r="I501">
        <v>14</v>
      </c>
      <c r="J501">
        <v>0</v>
      </c>
    </row>
    <row r="502" spans="1:10" x14ac:dyDescent="0.25">
      <c r="A502" s="1" t="s">
        <v>141</v>
      </c>
      <c r="B502">
        <v>7172040013000100</v>
      </c>
      <c r="C502">
        <v>125</v>
      </c>
      <c r="D502">
        <v>0</v>
      </c>
      <c r="E502">
        <v>63</v>
      </c>
      <c r="F502">
        <v>16</v>
      </c>
      <c r="G502">
        <v>2</v>
      </c>
      <c r="H502">
        <v>0</v>
      </c>
      <c r="I502">
        <v>44</v>
      </c>
      <c r="J502">
        <v>0</v>
      </c>
    </row>
    <row r="503" spans="1:10" x14ac:dyDescent="0.25">
      <c r="A503" s="1" t="s">
        <v>141</v>
      </c>
      <c r="B503">
        <v>7172040013000200</v>
      </c>
      <c r="C503">
        <v>95</v>
      </c>
      <c r="D503">
        <v>0</v>
      </c>
      <c r="E503">
        <v>0</v>
      </c>
      <c r="F503">
        <v>95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s="1" t="s">
        <v>141</v>
      </c>
      <c r="B504">
        <v>7172040012001200</v>
      </c>
      <c r="C504">
        <v>70</v>
      </c>
      <c r="D504">
        <v>0</v>
      </c>
      <c r="E504">
        <v>0</v>
      </c>
      <c r="F504">
        <v>70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s="1" t="s">
        <v>141</v>
      </c>
      <c r="B505">
        <v>7172040012001300</v>
      </c>
      <c r="C505">
        <v>54</v>
      </c>
      <c r="D505">
        <v>0</v>
      </c>
      <c r="E505">
        <v>0</v>
      </c>
      <c r="F505">
        <v>54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s="1" t="s">
        <v>141</v>
      </c>
      <c r="B506">
        <v>7172040012000900</v>
      </c>
      <c r="C506">
        <v>49</v>
      </c>
      <c r="D506">
        <v>0</v>
      </c>
      <c r="E506">
        <v>0</v>
      </c>
      <c r="F506">
        <v>49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s="1" t="s">
        <v>141</v>
      </c>
      <c r="B507">
        <v>7172040012001400</v>
      </c>
      <c r="C507">
        <v>45</v>
      </c>
      <c r="D507">
        <v>0</v>
      </c>
      <c r="E507">
        <v>0</v>
      </c>
      <c r="F507">
        <v>45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s="1" t="s">
        <v>141</v>
      </c>
      <c r="B508">
        <v>7172040012001100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s="1" t="s">
        <v>141</v>
      </c>
      <c r="B509">
        <v>7172040012000700</v>
      </c>
      <c r="C509">
        <v>38</v>
      </c>
      <c r="D509">
        <v>0</v>
      </c>
      <c r="E509">
        <v>0</v>
      </c>
      <c r="F509">
        <v>38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s="1" t="s">
        <v>141</v>
      </c>
      <c r="B510">
        <v>7172040012000800</v>
      </c>
      <c r="C510">
        <v>38</v>
      </c>
      <c r="D510">
        <v>0</v>
      </c>
      <c r="E510">
        <v>0</v>
      </c>
      <c r="F510">
        <v>38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s="1" t="s">
        <v>141</v>
      </c>
      <c r="B511">
        <v>7172040012001000</v>
      </c>
      <c r="C511">
        <v>34</v>
      </c>
      <c r="D511">
        <v>0</v>
      </c>
      <c r="E511">
        <v>0</v>
      </c>
      <c r="F511">
        <v>34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s="1" t="s">
        <v>142</v>
      </c>
      <c r="B512">
        <v>7172040013000600</v>
      </c>
      <c r="C512">
        <v>98</v>
      </c>
      <c r="D512">
        <v>0</v>
      </c>
      <c r="E512">
        <v>0</v>
      </c>
      <c r="F512">
        <v>98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s="1" t="s">
        <v>142</v>
      </c>
      <c r="B513">
        <v>7172040013000800</v>
      </c>
      <c r="C513">
        <v>75</v>
      </c>
      <c r="D513">
        <v>0</v>
      </c>
      <c r="E513">
        <v>12</v>
      </c>
      <c r="F513">
        <v>25</v>
      </c>
      <c r="G513">
        <v>0</v>
      </c>
      <c r="H513">
        <v>0</v>
      </c>
      <c r="I513">
        <v>38</v>
      </c>
      <c r="J513">
        <v>0</v>
      </c>
    </row>
    <row r="514" spans="1:10" x14ac:dyDescent="0.25">
      <c r="A514" s="1" t="s">
        <v>142</v>
      </c>
      <c r="B514">
        <v>7172040013000300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s="1" t="s">
        <v>142</v>
      </c>
      <c r="B515">
        <v>7172040013000400</v>
      </c>
      <c r="C515">
        <v>67</v>
      </c>
      <c r="D515">
        <v>0</v>
      </c>
      <c r="E515">
        <v>0</v>
      </c>
      <c r="F515">
        <v>67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s="1" t="s">
        <v>142</v>
      </c>
      <c r="B516">
        <v>7172040012001500</v>
      </c>
      <c r="C516">
        <v>55</v>
      </c>
      <c r="D516">
        <v>0</v>
      </c>
      <c r="E516">
        <v>0</v>
      </c>
      <c r="F516">
        <v>55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s="1" t="s">
        <v>142</v>
      </c>
      <c r="B517">
        <v>7172040013000500</v>
      </c>
      <c r="C517">
        <v>55</v>
      </c>
      <c r="D517">
        <v>0</v>
      </c>
      <c r="E517">
        <v>0</v>
      </c>
      <c r="F517">
        <v>55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s="1" t="s">
        <v>142</v>
      </c>
      <c r="B518">
        <v>7172040013000700</v>
      </c>
      <c r="C518">
        <v>52</v>
      </c>
      <c r="D518">
        <v>0</v>
      </c>
      <c r="E518">
        <v>0</v>
      </c>
      <c r="F518">
        <v>52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s="1" t="s">
        <v>142</v>
      </c>
      <c r="B519">
        <v>7172040013000900</v>
      </c>
      <c r="C519">
        <v>52</v>
      </c>
      <c r="D519">
        <v>0</v>
      </c>
      <c r="E519">
        <v>0</v>
      </c>
      <c r="F519">
        <v>52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s="1" t="s">
        <v>142</v>
      </c>
      <c r="B520">
        <v>7172040013001000</v>
      </c>
      <c r="C520">
        <v>48</v>
      </c>
      <c r="D520">
        <v>0</v>
      </c>
      <c r="E520">
        <v>0</v>
      </c>
      <c r="F520">
        <v>48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s="1" t="s">
        <v>142</v>
      </c>
      <c r="B521">
        <v>7172040013001100</v>
      </c>
      <c r="C521">
        <v>48</v>
      </c>
      <c r="D521">
        <v>0</v>
      </c>
      <c r="E521">
        <v>0</v>
      </c>
      <c r="F521">
        <v>48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s="1" t="s">
        <v>142</v>
      </c>
      <c r="B522">
        <v>7172040013001200</v>
      </c>
      <c r="C522">
        <v>41</v>
      </c>
      <c r="D522">
        <v>0</v>
      </c>
      <c r="E522">
        <v>0</v>
      </c>
      <c r="F522">
        <v>41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s="1" t="s">
        <v>5</v>
      </c>
      <c r="B523">
        <v>7172010008001300</v>
      </c>
      <c r="C523">
        <v>134</v>
      </c>
      <c r="D523">
        <v>0</v>
      </c>
      <c r="E523">
        <v>10</v>
      </c>
      <c r="F523">
        <v>124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s="1" t="s">
        <v>5</v>
      </c>
      <c r="B524">
        <v>7172010008001400</v>
      </c>
      <c r="C524">
        <v>110</v>
      </c>
      <c r="D524">
        <v>3</v>
      </c>
      <c r="E524">
        <v>5</v>
      </c>
      <c r="F524">
        <v>39</v>
      </c>
      <c r="G524">
        <v>0</v>
      </c>
      <c r="H524">
        <v>0</v>
      </c>
      <c r="I524">
        <v>63</v>
      </c>
      <c r="J524">
        <v>0</v>
      </c>
    </row>
    <row r="525" spans="1:10" x14ac:dyDescent="0.25">
      <c r="A525" s="1" t="s">
        <v>5</v>
      </c>
      <c r="B525">
        <v>7172010008001500</v>
      </c>
      <c r="C525">
        <v>98</v>
      </c>
      <c r="D525">
        <v>0</v>
      </c>
      <c r="E525">
        <v>0</v>
      </c>
      <c r="F525">
        <v>98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s="1" t="s">
        <v>5</v>
      </c>
      <c r="B526">
        <v>7172010008000100</v>
      </c>
      <c r="C526">
        <v>95</v>
      </c>
      <c r="D526">
        <v>0</v>
      </c>
      <c r="E526">
        <v>0</v>
      </c>
      <c r="F526">
        <v>95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s="1" t="s">
        <v>5</v>
      </c>
      <c r="B527">
        <v>7172010008001102</v>
      </c>
      <c r="C527">
        <v>89</v>
      </c>
      <c r="D527">
        <v>0</v>
      </c>
      <c r="E527">
        <v>0</v>
      </c>
      <c r="F527">
        <v>89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s="1" t="s">
        <v>5</v>
      </c>
      <c r="B528">
        <v>7172010008001200</v>
      </c>
      <c r="C528">
        <v>61</v>
      </c>
      <c r="D528">
        <v>0</v>
      </c>
      <c r="E528">
        <v>0</v>
      </c>
      <c r="F528">
        <v>61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s="1" t="s">
        <v>8</v>
      </c>
      <c r="B529">
        <v>7172010009000300</v>
      </c>
      <c r="C529">
        <v>80</v>
      </c>
      <c r="D529">
        <v>13</v>
      </c>
      <c r="E529">
        <v>1</v>
      </c>
      <c r="F529">
        <v>46</v>
      </c>
      <c r="G529">
        <v>0</v>
      </c>
      <c r="H529">
        <v>0</v>
      </c>
      <c r="I529">
        <v>20</v>
      </c>
      <c r="J529">
        <v>0</v>
      </c>
    </row>
    <row r="530" spans="1:10" x14ac:dyDescent="0.25">
      <c r="A530" s="1" t="s">
        <v>8</v>
      </c>
      <c r="B530">
        <v>7172010015002602</v>
      </c>
      <c r="C530">
        <v>65</v>
      </c>
      <c r="D530">
        <v>0</v>
      </c>
      <c r="E530">
        <v>0</v>
      </c>
      <c r="F530">
        <v>65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s="1" t="s">
        <v>8</v>
      </c>
      <c r="B531">
        <v>7172010009000400</v>
      </c>
      <c r="C531">
        <v>63</v>
      </c>
      <c r="D531">
        <v>0</v>
      </c>
      <c r="E531">
        <v>0</v>
      </c>
      <c r="F531">
        <v>63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s="1" t="s">
        <v>8</v>
      </c>
      <c r="B532">
        <v>7172010009000700</v>
      </c>
      <c r="C532">
        <v>59</v>
      </c>
      <c r="D532">
        <v>0</v>
      </c>
      <c r="E532">
        <v>0</v>
      </c>
      <c r="F532">
        <v>59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s="1" t="s">
        <v>8</v>
      </c>
      <c r="B533">
        <v>7172010008001700</v>
      </c>
      <c r="C533">
        <v>55</v>
      </c>
      <c r="D533">
        <v>2</v>
      </c>
      <c r="E533">
        <v>1</v>
      </c>
      <c r="F533">
        <v>26</v>
      </c>
      <c r="G533">
        <v>0</v>
      </c>
      <c r="H533">
        <v>0</v>
      </c>
      <c r="I533">
        <v>26</v>
      </c>
      <c r="J533">
        <v>0</v>
      </c>
    </row>
    <row r="534" spans="1:10" x14ac:dyDescent="0.25">
      <c r="A534" s="1" t="s">
        <v>8</v>
      </c>
      <c r="B534">
        <v>7172010008001800</v>
      </c>
      <c r="C534">
        <v>51</v>
      </c>
      <c r="D534">
        <v>37</v>
      </c>
      <c r="E534">
        <v>0</v>
      </c>
      <c r="F534">
        <v>9</v>
      </c>
      <c r="G534">
        <v>0</v>
      </c>
      <c r="H534">
        <v>0</v>
      </c>
      <c r="I534">
        <v>5</v>
      </c>
      <c r="J534">
        <v>0</v>
      </c>
    </row>
    <row r="535" spans="1:10" x14ac:dyDescent="0.25">
      <c r="A535" s="1" t="s">
        <v>8</v>
      </c>
      <c r="B535">
        <v>7172010009000100</v>
      </c>
      <c r="C535">
        <v>51</v>
      </c>
      <c r="D535">
        <v>0</v>
      </c>
      <c r="E535">
        <v>0</v>
      </c>
      <c r="F535">
        <v>51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s="1" t="s">
        <v>8</v>
      </c>
      <c r="B536">
        <v>7172010009000600</v>
      </c>
      <c r="C536">
        <v>41</v>
      </c>
      <c r="D536">
        <v>0</v>
      </c>
      <c r="E536">
        <v>0</v>
      </c>
      <c r="F536">
        <v>41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s="1" t="s">
        <v>8</v>
      </c>
      <c r="B537">
        <v>7172010009000200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s="1" t="s">
        <v>8</v>
      </c>
      <c r="B538">
        <v>7172010008002000</v>
      </c>
      <c r="C538">
        <v>29</v>
      </c>
      <c r="D538">
        <v>0</v>
      </c>
      <c r="E538">
        <v>0</v>
      </c>
      <c r="F538">
        <v>29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s="1" t="s">
        <v>8</v>
      </c>
      <c r="B539">
        <v>7172010009000500</v>
      </c>
      <c r="C539">
        <v>27</v>
      </c>
      <c r="D539">
        <v>0</v>
      </c>
      <c r="E539">
        <v>0</v>
      </c>
      <c r="F539">
        <v>27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s="1" t="s">
        <v>8</v>
      </c>
      <c r="B540">
        <v>7172010008002100</v>
      </c>
      <c r="C540">
        <v>21</v>
      </c>
      <c r="D540">
        <v>0</v>
      </c>
      <c r="E540">
        <v>0</v>
      </c>
      <c r="F540">
        <v>21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s="1" t="s">
        <v>8</v>
      </c>
      <c r="B541">
        <v>7172010008001600</v>
      </c>
      <c r="C541">
        <v>12</v>
      </c>
      <c r="D541">
        <v>0</v>
      </c>
      <c r="E541">
        <v>0</v>
      </c>
      <c r="F541">
        <v>12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s="1" t="s">
        <v>8</v>
      </c>
      <c r="B542">
        <v>7172010008001900</v>
      </c>
      <c r="C542">
        <v>12</v>
      </c>
      <c r="D542">
        <v>0</v>
      </c>
      <c r="E542">
        <v>0</v>
      </c>
      <c r="F542">
        <v>12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s="1" t="s">
        <v>9</v>
      </c>
      <c r="B543">
        <v>7172010009001300</v>
      </c>
      <c r="C543">
        <v>60</v>
      </c>
      <c r="D543">
        <v>0</v>
      </c>
      <c r="E543">
        <v>1</v>
      </c>
      <c r="F543">
        <v>59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s="1" t="s">
        <v>9</v>
      </c>
      <c r="B544">
        <v>7172010009001100</v>
      </c>
      <c r="C544">
        <v>59</v>
      </c>
      <c r="D544">
        <v>0</v>
      </c>
      <c r="E544">
        <v>5</v>
      </c>
      <c r="F544">
        <v>35</v>
      </c>
      <c r="G544">
        <v>0</v>
      </c>
      <c r="H544">
        <v>0</v>
      </c>
      <c r="I544">
        <v>19</v>
      </c>
      <c r="J544">
        <v>0</v>
      </c>
    </row>
    <row r="545" spans="1:10" x14ac:dyDescent="0.25">
      <c r="A545" s="1" t="s">
        <v>9</v>
      </c>
      <c r="B545">
        <v>7172010009001200</v>
      </c>
      <c r="C545">
        <v>59</v>
      </c>
      <c r="D545">
        <v>5</v>
      </c>
      <c r="E545">
        <v>5</v>
      </c>
      <c r="F545">
        <v>14</v>
      </c>
      <c r="G545">
        <v>0</v>
      </c>
      <c r="H545">
        <v>0</v>
      </c>
      <c r="I545">
        <v>35</v>
      </c>
      <c r="J545">
        <v>0</v>
      </c>
    </row>
    <row r="546" spans="1:10" x14ac:dyDescent="0.25">
      <c r="A546" s="1" t="s">
        <v>9</v>
      </c>
      <c r="B546">
        <v>7172010009001900</v>
      </c>
      <c r="C546">
        <v>54</v>
      </c>
      <c r="D546">
        <v>0</v>
      </c>
      <c r="E546">
        <v>0</v>
      </c>
      <c r="F546">
        <v>54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s="1" t="s">
        <v>9</v>
      </c>
      <c r="B547">
        <v>7172010009001700</v>
      </c>
      <c r="C547">
        <v>51</v>
      </c>
      <c r="D547">
        <v>0</v>
      </c>
      <c r="E547">
        <v>0</v>
      </c>
      <c r="F547">
        <v>51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s="1" t="s">
        <v>9</v>
      </c>
      <c r="B548">
        <v>7172010009001000</v>
      </c>
      <c r="C548">
        <v>48</v>
      </c>
      <c r="D548">
        <v>0</v>
      </c>
      <c r="E548">
        <v>0</v>
      </c>
      <c r="F548">
        <v>48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s="1" t="s">
        <v>9</v>
      </c>
      <c r="B549">
        <v>7172010009001400</v>
      </c>
      <c r="C549">
        <v>45</v>
      </c>
      <c r="D549">
        <v>0</v>
      </c>
      <c r="E549">
        <v>0</v>
      </c>
      <c r="F549">
        <v>45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s="1" t="s">
        <v>9</v>
      </c>
      <c r="B550">
        <v>7172010009001500</v>
      </c>
      <c r="C550">
        <v>44</v>
      </c>
      <c r="D550">
        <v>0</v>
      </c>
      <c r="E550">
        <v>0</v>
      </c>
      <c r="F550">
        <v>44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s="1" t="s">
        <v>9</v>
      </c>
      <c r="B551">
        <v>7172010009001600</v>
      </c>
      <c r="C551">
        <v>42</v>
      </c>
      <c r="D551">
        <v>0</v>
      </c>
      <c r="E551">
        <v>0</v>
      </c>
      <c r="F551">
        <v>42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s="1" t="s">
        <v>9</v>
      </c>
      <c r="B552">
        <v>7172010015000900</v>
      </c>
      <c r="C552">
        <v>41</v>
      </c>
      <c r="D552">
        <v>0</v>
      </c>
      <c r="E552">
        <v>0</v>
      </c>
      <c r="F552">
        <v>41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s="1" t="s">
        <v>9</v>
      </c>
      <c r="B553">
        <v>7172010009000900</v>
      </c>
      <c r="C553">
        <v>35</v>
      </c>
      <c r="D553">
        <v>0</v>
      </c>
      <c r="E553">
        <v>0</v>
      </c>
      <c r="F553">
        <v>35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s="1" t="s">
        <v>9</v>
      </c>
      <c r="B554">
        <v>7172010009002000</v>
      </c>
      <c r="C554">
        <v>33</v>
      </c>
      <c r="D554">
        <v>0</v>
      </c>
      <c r="E554">
        <v>0</v>
      </c>
      <c r="F554">
        <v>33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s="1" t="s">
        <v>9</v>
      </c>
      <c r="B555">
        <v>7172010009000800</v>
      </c>
      <c r="C555">
        <v>32</v>
      </c>
      <c r="D555">
        <v>0</v>
      </c>
      <c r="E555">
        <v>0</v>
      </c>
      <c r="F555">
        <v>32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s="1" t="s">
        <v>9</v>
      </c>
      <c r="B556">
        <v>7172010009001800</v>
      </c>
      <c r="C556">
        <v>18</v>
      </c>
      <c r="D556">
        <v>0</v>
      </c>
      <c r="E556">
        <v>0</v>
      </c>
      <c r="F556">
        <v>18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s="1" t="s">
        <v>11</v>
      </c>
      <c r="B557">
        <v>7172010010000200</v>
      </c>
      <c r="C557">
        <v>99</v>
      </c>
      <c r="D557">
        <v>0</v>
      </c>
      <c r="E557">
        <v>0</v>
      </c>
      <c r="F557">
        <v>99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s="1" t="s">
        <v>11</v>
      </c>
      <c r="B558">
        <v>7172010009002900</v>
      </c>
      <c r="C558">
        <v>93</v>
      </c>
      <c r="D558">
        <v>0</v>
      </c>
      <c r="E558">
        <v>0</v>
      </c>
      <c r="F558">
        <v>93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s="1" t="s">
        <v>11</v>
      </c>
      <c r="B559">
        <v>7172010009003100</v>
      </c>
      <c r="C559">
        <v>90</v>
      </c>
      <c r="D559">
        <v>1</v>
      </c>
      <c r="E559">
        <v>13</v>
      </c>
      <c r="F559">
        <v>36</v>
      </c>
      <c r="G559">
        <v>0</v>
      </c>
      <c r="H559">
        <v>0</v>
      </c>
      <c r="I559">
        <v>40</v>
      </c>
      <c r="J559">
        <v>0</v>
      </c>
    </row>
    <row r="560" spans="1:10" x14ac:dyDescent="0.25">
      <c r="A560" s="1" t="s">
        <v>11</v>
      </c>
      <c r="B560">
        <v>7172010010000100</v>
      </c>
      <c r="C560">
        <v>76</v>
      </c>
      <c r="D560">
        <v>0</v>
      </c>
      <c r="E560">
        <v>0</v>
      </c>
      <c r="F560">
        <v>76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s="1" t="s">
        <v>11</v>
      </c>
      <c r="B561">
        <v>7172010009003000</v>
      </c>
      <c r="C561">
        <v>75</v>
      </c>
      <c r="D561">
        <v>0</v>
      </c>
      <c r="E561">
        <v>0</v>
      </c>
      <c r="F561">
        <v>75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s="1" t="s">
        <v>11</v>
      </c>
      <c r="B562">
        <v>7172010010000500</v>
      </c>
      <c r="C562">
        <v>61</v>
      </c>
      <c r="D562">
        <v>0</v>
      </c>
      <c r="E562">
        <v>0</v>
      </c>
      <c r="F562">
        <v>61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s="1" t="s">
        <v>11</v>
      </c>
      <c r="B563">
        <v>7172010010000300</v>
      </c>
      <c r="C563">
        <v>59</v>
      </c>
      <c r="D563">
        <v>0</v>
      </c>
      <c r="E563">
        <v>0</v>
      </c>
      <c r="F563">
        <v>59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s="1" t="s">
        <v>11</v>
      </c>
      <c r="B564">
        <v>7172010010000400</v>
      </c>
      <c r="C564">
        <v>38</v>
      </c>
      <c r="D564">
        <v>0</v>
      </c>
      <c r="E564">
        <v>0</v>
      </c>
      <c r="F564">
        <v>38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s="1" t="s">
        <v>12</v>
      </c>
      <c r="B565">
        <v>7172010010000600</v>
      </c>
      <c r="C565">
        <v>86</v>
      </c>
      <c r="D565">
        <v>0</v>
      </c>
      <c r="E565">
        <v>0</v>
      </c>
      <c r="F565">
        <v>86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s="1" t="s">
        <v>12</v>
      </c>
      <c r="B566">
        <v>7172010010001500</v>
      </c>
      <c r="C566">
        <v>75</v>
      </c>
      <c r="D566">
        <v>0</v>
      </c>
      <c r="E566">
        <v>3</v>
      </c>
      <c r="F566">
        <v>31</v>
      </c>
      <c r="G566">
        <v>0</v>
      </c>
      <c r="H566">
        <v>0</v>
      </c>
      <c r="I566">
        <v>41</v>
      </c>
      <c r="J566">
        <v>0</v>
      </c>
    </row>
    <row r="567" spans="1:10" x14ac:dyDescent="0.25">
      <c r="A567" s="1" t="s">
        <v>12</v>
      </c>
      <c r="B567">
        <v>7172010010001200</v>
      </c>
      <c r="C567">
        <v>66</v>
      </c>
      <c r="D567">
        <v>0</v>
      </c>
      <c r="E567">
        <v>0</v>
      </c>
      <c r="F567">
        <v>66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s="1" t="s">
        <v>12</v>
      </c>
      <c r="B568">
        <v>7172010010000800</v>
      </c>
      <c r="C568">
        <v>65</v>
      </c>
      <c r="D568">
        <v>0</v>
      </c>
      <c r="E568">
        <v>0</v>
      </c>
      <c r="F568">
        <v>65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s="1" t="s">
        <v>12</v>
      </c>
      <c r="B569">
        <v>7172010010000700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s="1" t="s">
        <v>12</v>
      </c>
      <c r="B570">
        <v>7172010010001100</v>
      </c>
      <c r="C570">
        <v>51</v>
      </c>
      <c r="D570">
        <v>0</v>
      </c>
      <c r="E570">
        <v>0</v>
      </c>
      <c r="F570">
        <v>40</v>
      </c>
      <c r="G570">
        <v>0</v>
      </c>
      <c r="H570">
        <v>0</v>
      </c>
      <c r="I570">
        <v>11</v>
      </c>
      <c r="J570">
        <v>0</v>
      </c>
    </row>
    <row r="571" spans="1:10" x14ac:dyDescent="0.25">
      <c r="A571" s="1" t="s">
        <v>12</v>
      </c>
      <c r="B571">
        <v>7172010010001300</v>
      </c>
      <c r="C571">
        <v>49</v>
      </c>
      <c r="D571">
        <v>0</v>
      </c>
      <c r="E571">
        <v>0</v>
      </c>
      <c r="F571">
        <v>49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s="1" t="s">
        <v>12</v>
      </c>
      <c r="B572">
        <v>7172010010001400</v>
      </c>
      <c r="C572">
        <v>48</v>
      </c>
      <c r="D572">
        <v>0</v>
      </c>
      <c r="E572">
        <v>0</v>
      </c>
      <c r="F572">
        <v>48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s="1" t="s">
        <v>12</v>
      </c>
      <c r="B573">
        <v>7172010010001000</v>
      </c>
      <c r="C573">
        <v>32</v>
      </c>
      <c r="D573">
        <v>0</v>
      </c>
      <c r="E573">
        <v>0</v>
      </c>
      <c r="F573">
        <v>32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s="1" t="s">
        <v>12</v>
      </c>
      <c r="B574">
        <v>7172010010000900</v>
      </c>
      <c r="C574">
        <v>23</v>
      </c>
      <c r="D574">
        <v>0</v>
      </c>
      <c r="E574">
        <v>0</v>
      </c>
      <c r="F574">
        <v>23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s="1" t="s">
        <v>14</v>
      </c>
      <c r="B575">
        <v>7172010011001900</v>
      </c>
      <c r="C575">
        <v>63</v>
      </c>
      <c r="D575">
        <v>0</v>
      </c>
      <c r="E575">
        <v>0</v>
      </c>
      <c r="F575">
        <v>63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s="1" t="s">
        <v>14</v>
      </c>
      <c r="B576">
        <v>7172010011002000</v>
      </c>
      <c r="C576">
        <v>63</v>
      </c>
      <c r="D576">
        <v>0</v>
      </c>
      <c r="E576">
        <v>0</v>
      </c>
      <c r="F576">
        <v>63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s="1" t="s">
        <v>14</v>
      </c>
      <c r="B577">
        <v>7172010011000700</v>
      </c>
      <c r="C577">
        <v>60</v>
      </c>
      <c r="D577">
        <v>0</v>
      </c>
      <c r="E577">
        <v>1</v>
      </c>
      <c r="F577">
        <v>2</v>
      </c>
      <c r="G577">
        <v>0</v>
      </c>
      <c r="H577">
        <v>0</v>
      </c>
      <c r="I577">
        <v>57</v>
      </c>
      <c r="J577">
        <v>0</v>
      </c>
    </row>
    <row r="578" spans="1:10" x14ac:dyDescent="0.25">
      <c r="A578" s="1" t="s">
        <v>14</v>
      </c>
      <c r="B578">
        <v>7172010011001800</v>
      </c>
      <c r="C578">
        <v>52</v>
      </c>
      <c r="D578">
        <v>0</v>
      </c>
      <c r="E578">
        <v>0</v>
      </c>
      <c r="F578">
        <v>52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s="1" t="s">
        <v>14</v>
      </c>
      <c r="B579">
        <v>7172010011000800</v>
      </c>
      <c r="C579">
        <v>43</v>
      </c>
      <c r="D579">
        <v>0</v>
      </c>
      <c r="E579">
        <v>3</v>
      </c>
      <c r="F579">
        <v>32</v>
      </c>
      <c r="G579">
        <v>0</v>
      </c>
      <c r="H579">
        <v>0</v>
      </c>
      <c r="I579">
        <v>8</v>
      </c>
      <c r="J579">
        <v>0</v>
      </c>
    </row>
    <row r="580" spans="1:10" x14ac:dyDescent="0.25">
      <c r="A580" s="1" t="s">
        <v>14</v>
      </c>
      <c r="B580">
        <v>7172010011002100</v>
      </c>
      <c r="C580">
        <v>39</v>
      </c>
      <c r="D580">
        <v>0</v>
      </c>
      <c r="E580">
        <v>0</v>
      </c>
      <c r="F580">
        <v>39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s="1" t="s">
        <v>14</v>
      </c>
      <c r="B581">
        <v>7172010011001400</v>
      </c>
      <c r="C581">
        <v>37</v>
      </c>
      <c r="D581">
        <v>0</v>
      </c>
      <c r="E581">
        <v>0</v>
      </c>
      <c r="F581">
        <v>37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s="1" t="s">
        <v>14</v>
      </c>
      <c r="B582">
        <v>7172010011001700</v>
      </c>
      <c r="C582">
        <v>37</v>
      </c>
      <c r="D582">
        <v>0</v>
      </c>
      <c r="E582">
        <v>0</v>
      </c>
      <c r="F582">
        <v>37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s="1" t="s">
        <v>14</v>
      </c>
      <c r="B583">
        <v>7172010011001500</v>
      </c>
      <c r="C583">
        <v>35</v>
      </c>
      <c r="D583">
        <v>0</v>
      </c>
      <c r="E583">
        <v>0</v>
      </c>
      <c r="F583">
        <v>35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s="1" t="s">
        <v>14</v>
      </c>
      <c r="B584">
        <v>7172010011000900</v>
      </c>
      <c r="C584">
        <v>33</v>
      </c>
      <c r="D584">
        <v>0</v>
      </c>
      <c r="E584">
        <v>0</v>
      </c>
      <c r="F584">
        <v>33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s="1" t="s">
        <v>14</v>
      </c>
      <c r="B585">
        <v>7172010011001000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s="1" t="s">
        <v>14</v>
      </c>
      <c r="B586">
        <v>7172010011001100</v>
      </c>
      <c r="C586">
        <v>31</v>
      </c>
      <c r="D586">
        <v>0</v>
      </c>
      <c r="E586">
        <v>0</v>
      </c>
      <c r="F586">
        <v>31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s="1" t="s">
        <v>14</v>
      </c>
      <c r="B587">
        <v>7172010011001600</v>
      </c>
      <c r="C587">
        <v>28</v>
      </c>
      <c r="D587">
        <v>0</v>
      </c>
      <c r="E587">
        <v>0</v>
      </c>
      <c r="F587">
        <v>28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s="1" t="s">
        <v>14</v>
      </c>
      <c r="B588">
        <v>7172010011001200</v>
      </c>
      <c r="C588">
        <v>26</v>
      </c>
      <c r="D588">
        <v>0</v>
      </c>
      <c r="E588">
        <v>0</v>
      </c>
      <c r="F588">
        <v>26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s="1" t="s">
        <v>14</v>
      </c>
      <c r="B589">
        <v>7172010011001300</v>
      </c>
      <c r="C589">
        <v>23</v>
      </c>
      <c r="D589">
        <v>0</v>
      </c>
      <c r="E589">
        <v>0</v>
      </c>
      <c r="F589">
        <v>23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s="1" t="s">
        <v>15</v>
      </c>
      <c r="B590">
        <v>7172010011002200</v>
      </c>
      <c r="C590">
        <v>79</v>
      </c>
      <c r="D590">
        <v>0</v>
      </c>
      <c r="E590">
        <v>41</v>
      </c>
      <c r="F590">
        <v>36</v>
      </c>
      <c r="G590">
        <v>0</v>
      </c>
      <c r="H590">
        <v>0</v>
      </c>
      <c r="I590">
        <v>2</v>
      </c>
      <c r="J590">
        <v>0</v>
      </c>
    </row>
    <row r="591" spans="1:10" x14ac:dyDescent="0.25">
      <c r="A591" s="1" t="s">
        <v>15</v>
      </c>
      <c r="B591">
        <v>7172010012000700</v>
      </c>
      <c r="C591">
        <v>73</v>
      </c>
      <c r="D591">
        <v>12</v>
      </c>
      <c r="E591">
        <v>4</v>
      </c>
      <c r="F591">
        <v>1</v>
      </c>
      <c r="G591">
        <v>0</v>
      </c>
      <c r="H591">
        <v>0</v>
      </c>
      <c r="I591">
        <v>56</v>
      </c>
      <c r="J591">
        <v>0</v>
      </c>
    </row>
    <row r="592" spans="1:10" x14ac:dyDescent="0.25">
      <c r="A592" s="1" t="s">
        <v>15</v>
      </c>
      <c r="B592">
        <v>7172010012000300</v>
      </c>
      <c r="C592">
        <v>67</v>
      </c>
      <c r="D592">
        <v>0</v>
      </c>
      <c r="E592">
        <v>0</v>
      </c>
      <c r="F592">
        <v>67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s="1" t="s">
        <v>15</v>
      </c>
      <c r="B593">
        <v>7172010012001100</v>
      </c>
      <c r="C593">
        <v>56</v>
      </c>
      <c r="D593">
        <v>0</v>
      </c>
      <c r="E593">
        <v>0</v>
      </c>
      <c r="F593">
        <v>56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s="1" t="s">
        <v>15</v>
      </c>
      <c r="B594">
        <v>7172010012000500</v>
      </c>
      <c r="C594">
        <v>47</v>
      </c>
      <c r="D594">
        <v>0</v>
      </c>
      <c r="E594">
        <v>0</v>
      </c>
      <c r="F594">
        <v>47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s="1" t="s">
        <v>15</v>
      </c>
      <c r="B595">
        <v>7172010012001000</v>
      </c>
      <c r="C595">
        <v>46</v>
      </c>
      <c r="D595">
        <v>0</v>
      </c>
      <c r="E595">
        <v>0</v>
      </c>
      <c r="F595">
        <v>46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s="1" t="s">
        <v>15</v>
      </c>
      <c r="B596">
        <v>7172010012000600</v>
      </c>
      <c r="C596">
        <v>37</v>
      </c>
      <c r="D596">
        <v>0</v>
      </c>
      <c r="E596">
        <v>0</v>
      </c>
      <c r="F596">
        <v>37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s="1" t="s">
        <v>15</v>
      </c>
      <c r="B597">
        <v>7172010012001200</v>
      </c>
      <c r="C597">
        <v>36</v>
      </c>
      <c r="D597">
        <v>0</v>
      </c>
      <c r="E597">
        <v>0</v>
      </c>
      <c r="F597">
        <v>36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s="1" t="s">
        <v>15</v>
      </c>
      <c r="B598">
        <v>7172010012000200</v>
      </c>
      <c r="C598">
        <v>34</v>
      </c>
      <c r="D598">
        <v>0</v>
      </c>
      <c r="E598">
        <v>0</v>
      </c>
      <c r="F598">
        <v>34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s="1" t="s">
        <v>15</v>
      </c>
      <c r="B599">
        <v>7172010012000400</v>
      </c>
      <c r="C599">
        <v>32</v>
      </c>
      <c r="D599">
        <v>0</v>
      </c>
      <c r="E599">
        <v>0</v>
      </c>
      <c r="F599">
        <v>32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s="1" t="s">
        <v>15</v>
      </c>
      <c r="B600">
        <v>7172010012000900</v>
      </c>
      <c r="C600">
        <v>32</v>
      </c>
      <c r="D600">
        <v>0</v>
      </c>
      <c r="E600">
        <v>0</v>
      </c>
      <c r="F600">
        <v>32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s="1" t="s">
        <v>15</v>
      </c>
      <c r="B601">
        <v>7172010012000100</v>
      </c>
      <c r="C601">
        <v>29</v>
      </c>
      <c r="D601">
        <v>0</v>
      </c>
      <c r="E601">
        <v>0</v>
      </c>
      <c r="F601">
        <v>29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s="1" t="s">
        <v>15</v>
      </c>
      <c r="B602">
        <v>7172010012000800</v>
      </c>
      <c r="C602">
        <v>23</v>
      </c>
      <c r="D602">
        <v>0</v>
      </c>
      <c r="E602">
        <v>0</v>
      </c>
      <c r="F602">
        <v>23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s="1" t="s">
        <v>23</v>
      </c>
      <c r="B603">
        <v>7172010015003200</v>
      </c>
      <c r="C603">
        <v>161</v>
      </c>
      <c r="D603">
        <v>0</v>
      </c>
      <c r="E603">
        <v>0</v>
      </c>
      <c r="F603">
        <v>161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s="1" t="s">
        <v>23</v>
      </c>
      <c r="B604">
        <v>7172010015003100</v>
      </c>
      <c r="C604">
        <v>133</v>
      </c>
      <c r="D604">
        <v>0</v>
      </c>
      <c r="E604">
        <v>31</v>
      </c>
      <c r="F604">
        <v>57</v>
      </c>
      <c r="G604">
        <v>0</v>
      </c>
      <c r="H604">
        <v>0</v>
      </c>
      <c r="I604">
        <v>45</v>
      </c>
      <c r="J604">
        <v>0</v>
      </c>
    </row>
    <row r="605" spans="1:10" x14ac:dyDescent="0.25">
      <c r="A605" s="1" t="s">
        <v>23</v>
      </c>
      <c r="B605">
        <v>7172010015002700</v>
      </c>
      <c r="C605">
        <v>90</v>
      </c>
      <c r="D605">
        <v>0</v>
      </c>
      <c r="E605">
        <v>0</v>
      </c>
      <c r="F605">
        <v>90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s="1" t="s">
        <v>23</v>
      </c>
      <c r="B606">
        <v>7172010015003000</v>
      </c>
      <c r="C606">
        <v>59</v>
      </c>
      <c r="D606">
        <v>0</v>
      </c>
      <c r="E606">
        <v>0</v>
      </c>
      <c r="F606">
        <v>59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s="1" t="s">
        <v>23</v>
      </c>
      <c r="B607">
        <v>7172010015002900</v>
      </c>
      <c r="C607">
        <v>58</v>
      </c>
      <c r="D607">
        <v>0</v>
      </c>
      <c r="E607">
        <v>0</v>
      </c>
      <c r="F607">
        <v>58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s="1" t="s">
        <v>23</v>
      </c>
      <c r="B608">
        <v>7172010015002800</v>
      </c>
      <c r="C608">
        <v>49</v>
      </c>
      <c r="D608">
        <v>0</v>
      </c>
      <c r="E608">
        <v>0</v>
      </c>
      <c r="F608">
        <v>49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s="1" t="s">
        <v>23</v>
      </c>
      <c r="B609">
        <v>7172010015001200</v>
      </c>
      <c r="C609">
        <v>31</v>
      </c>
      <c r="D609">
        <v>0</v>
      </c>
      <c r="E609">
        <v>0</v>
      </c>
      <c r="F609">
        <v>31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s="1" t="s">
        <v>21</v>
      </c>
      <c r="B610">
        <v>7172010015001800</v>
      </c>
      <c r="C610">
        <v>147</v>
      </c>
      <c r="D610">
        <v>0</v>
      </c>
      <c r="E610">
        <v>0</v>
      </c>
      <c r="F610">
        <v>147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s="1" t="s">
        <v>21</v>
      </c>
      <c r="B611">
        <v>7172010015001600</v>
      </c>
      <c r="C611">
        <v>112</v>
      </c>
      <c r="D611">
        <v>0</v>
      </c>
      <c r="E611">
        <v>0</v>
      </c>
      <c r="F611">
        <v>112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s="1" t="s">
        <v>21</v>
      </c>
      <c r="B612">
        <v>7172010015001500</v>
      </c>
      <c r="C612">
        <v>99</v>
      </c>
      <c r="D612">
        <v>5</v>
      </c>
      <c r="E612">
        <v>0</v>
      </c>
      <c r="F612">
        <v>37</v>
      </c>
      <c r="G612">
        <v>1</v>
      </c>
      <c r="H612">
        <v>0</v>
      </c>
      <c r="I612">
        <v>56</v>
      </c>
      <c r="J612">
        <v>0</v>
      </c>
    </row>
    <row r="613" spans="1:10" x14ac:dyDescent="0.25">
      <c r="A613" s="1" t="s">
        <v>21</v>
      </c>
      <c r="B613">
        <v>7172010015001900</v>
      </c>
      <c r="C613">
        <v>87</v>
      </c>
      <c r="D613">
        <v>0</v>
      </c>
      <c r="E613">
        <v>0</v>
      </c>
      <c r="F613">
        <v>87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s="1" t="s">
        <v>21</v>
      </c>
      <c r="B614">
        <v>7172010015002000</v>
      </c>
      <c r="C614">
        <v>64</v>
      </c>
      <c r="D614">
        <v>0</v>
      </c>
      <c r="E614">
        <v>0</v>
      </c>
      <c r="F614">
        <v>64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s="1" t="s">
        <v>21</v>
      </c>
      <c r="B615">
        <v>7172010015001700</v>
      </c>
      <c r="C615">
        <v>54</v>
      </c>
      <c r="D615">
        <v>0</v>
      </c>
      <c r="E615">
        <v>0</v>
      </c>
      <c r="F615">
        <v>54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s="1" t="s">
        <v>21</v>
      </c>
      <c r="B616">
        <v>7172010015001000</v>
      </c>
      <c r="C616">
        <v>37</v>
      </c>
      <c r="D616">
        <v>0</v>
      </c>
      <c r="E616">
        <v>0</v>
      </c>
      <c r="F616">
        <v>37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s="1" t="s">
        <v>7</v>
      </c>
      <c r="B617">
        <v>7172010008001000</v>
      </c>
      <c r="C617">
        <v>179</v>
      </c>
      <c r="D617">
        <v>8</v>
      </c>
      <c r="E617">
        <v>13</v>
      </c>
      <c r="F617">
        <v>71</v>
      </c>
      <c r="G617">
        <v>1</v>
      </c>
      <c r="H617">
        <v>0</v>
      </c>
      <c r="I617">
        <v>86</v>
      </c>
      <c r="J617">
        <v>0</v>
      </c>
    </row>
    <row r="618" spans="1:10" x14ac:dyDescent="0.25">
      <c r="A618" s="1" t="s">
        <v>7</v>
      </c>
      <c r="B618">
        <v>7172010008001101</v>
      </c>
      <c r="C618">
        <v>164</v>
      </c>
      <c r="D618">
        <v>0</v>
      </c>
      <c r="E618">
        <v>0</v>
      </c>
      <c r="F618">
        <v>164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s="1" t="s">
        <v>7</v>
      </c>
      <c r="B619">
        <v>7172010008000800</v>
      </c>
      <c r="C619">
        <v>120</v>
      </c>
      <c r="D619">
        <v>0</v>
      </c>
      <c r="E619">
        <v>0</v>
      </c>
      <c r="F619">
        <v>120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s="1" t="s">
        <v>7</v>
      </c>
      <c r="B620">
        <v>7172010008000900</v>
      </c>
      <c r="C620">
        <v>68</v>
      </c>
      <c r="D620">
        <v>0</v>
      </c>
      <c r="E620">
        <v>0</v>
      </c>
      <c r="F620">
        <v>68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s="1" t="s">
        <v>7</v>
      </c>
      <c r="B621">
        <v>7172010016000200</v>
      </c>
      <c r="C621">
        <v>51</v>
      </c>
      <c r="D621">
        <v>0</v>
      </c>
      <c r="E621">
        <v>0</v>
      </c>
      <c r="F621">
        <v>51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s="1" t="s">
        <v>7</v>
      </c>
      <c r="B622">
        <v>7172010016000100</v>
      </c>
      <c r="C622">
        <v>23</v>
      </c>
      <c r="D622">
        <v>0</v>
      </c>
      <c r="E622">
        <v>0</v>
      </c>
      <c r="F622">
        <v>23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s="1" t="s">
        <v>237</v>
      </c>
      <c r="B623">
        <v>7172010017001200</v>
      </c>
      <c r="C623">
        <v>113</v>
      </c>
      <c r="D623">
        <v>0</v>
      </c>
      <c r="E623">
        <v>6</v>
      </c>
      <c r="F623">
        <v>107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s="1" t="s">
        <v>237</v>
      </c>
      <c r="B624">
        <v>7172010017000800</v>
      </c>
      <c r="C624">
        <v>96</v>
      </c>
      <c r="D624">
        <v>6</v>
      </c>
      <c r="E624">
        <v>0</v>
      </c>
      <c r="F624">
        <v>0</v>
      </c>
      <c r="G624">
        <v>0</v>
      </c>
      <c r="H624">
        <v>0</v>
      </c>
      <c r="I624">
        <v>90</v>
      </c>
      <c r="J624">
        <v>0</v>
      </c>
    </row>
    <row r="625" spans="1:10" x14ac:dyDescent="0.25">
      <c r="A625" s="1" t="s">
        <v>237</v>
      </c>
      <c r="B625">
        <v>7172010017001100</v>
      </c>
      <c r="C625">
        <v>80</v>
      </c>
      <c r="D625">
        <v>0</v>
      </c>
      <c r="E625">
        <v>2</v>
      </c>
      <c r="F625">
        <v>78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s="1" t="s">
        <v>237</v>
      </c>
      <c r="B626">
        <v>7172010017001400</v>
      </c>
      <c r="C626">
        <v>60</v>
      </c>
      <c r="D626">
        <v>0</v>
      </c>
      <c r="E626">
        <v>0</v>
      </c>
      <c r="F626">
        <v>60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s="1" t="s">
        <v>237</v>
      </c>
      <c r="B627">
        <v>7172010017000700</v>
      </c>
      <c r="C627">
        <v>55</v>
      </c>
      <c r="D627">
        <v>0</v>
      </c>
      <c r="E627">
        <v>0</v>
      </c>
      <c r="F627">
        <v>55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s="1" t="s">
        <v>237</v>
      </c>
      <c r="B628">
        <v>7172010017000900</v>
      </c>
      <c r="C628">
        <v>55</v>
      </c>
      <c r="D628">
        <v>0</v>
      </c>
      <c r="E628">
        <v>0</v>
      </c>
      <c r="F628">
        <v>55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s="1" t="s">
        <v>237</v>
      </c>
      <c r="B629">
        <v>7172010017000500</v>
      </c>
      <c r="C629">
        <v>47</v>
      </c>
      <c r="D629">
        <v>0</v>
      </c>
      <c r="E629">
        <v>0</v>
      </c>
      <c r="F629">
        <v>47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s="1" t="s">
        <v>237</v>
      </c>
      <c r="B630">
        <v>7172010017001000</v>
      </c>
      <c r="C630">
        <v>40</v>
      </c>
      <c r="D630">
        <v>0</v>
      </c>
      <c r="E630">
        <v>0</v>
      </c>
      <c r="F630">
        <v>40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s="1" t="s">
        <v>237</v>
      </c>
      <c r="B631">
        <v>7172010017000600</v>
      </c>
      <c r="C631">
        <v>38</v>
      </c>
      <c r="D631">
        <v>0</v>
      </c>
      <c r="E631">
        <v>0</v>
      </c>
      <c r="F631">
        <v>38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s="1" t="s">
        <v>27</v>
      </c>
      <c r="B632">
        <v>7172011001000700</v>
      </c>
      <c r="C632">
        <v>142</v>
      </c>
      <c r="D632">
        <v>3</v>
      </c>
      <c r="E632">
        <v>0</v>
      </c>
      <c r="F632">
        <v>74</v>
      </c>
      <c r="G632">
        <v>1</v>
      </c>
      <c r="H632">
        <v>0</v>
      </c>
      <c r="I632">
        <v>64</v>
      </c>
      <c r="J632">
        <v>0</v>
      </c>
    </row>
    <row r="633" spans="1:10" x14ac:dyDescent="0.25">
      <c r="A633" s="1" t="s">
        <v>27</v>
      </c>
      <c r="B633">
        <v>7172011002000600</v>
      </c>
      <c r="C633">
        <v>130</v>
      </c>
      <c r="D633">
        <v>0</v>
      </c>
      <c r="E633">
        <v>0</v>
      </c>
      <c r="F633">
        <v>130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s="1" t="s">
        <v>27</v>
      </c>
      <c r="B634">
        <v>7172011002000900</v>
      </c>
      <c r="C634">
        <v>102</v>
      </c>
      <c r="D634">
        <v>0</v>
      </c>
      <c r="E634">
        <v>0</v>
      </c>
      <c r="F634">
        <v>102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s="1" t="s">
        <v>27</v>
      </c>
      <c r="B635">
        <v>7172011001000900</v>
      </c>
      <c r="C635">
        <v>76</v>
      </c>
      <c r="D635">
        <v>0</v>
      </c>
      <c r="E635">
        <v>0</v>
      </c>
      <c r="F635">
        <v>76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s="1" t="s">
        <v>27</v>
      </c>
      <c r="B636">
        <v>7172011001000800</v>
      </c>
      <c r="C636">
        <v>67</v>
      </c>
      <c r="D636">
        <v>0</v>
      </c>
      <c r="E636">
        <v>0</v>
      </c>
      <c r="F636">
        <v>67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s="1" t="s">
        <v>27</v>
      </c>
      <c r="B637">
        <v>7172011002001000</v>
      </c>
      <c r="C637">
        <v>47</v>
      </c>
      <c r="D637">
        <v>0</v>
      </c>
      <c r="E637">
        <v>0</v>
      </c>
      <c r="F637">
        <v>47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s="1" t="s">
        <v>27</v>
      </c>
      <c r="B638">
        <v>7172011002001100</v>
      </c>
      <c r="C638">
        <v>44</v>
      </c>
      <c r="D638">
        <v>0</v>
      </c>
      <c r="E638">
        <v>0</v>
      </c>
      <c r="F638">
        <v>44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s="1" t="s">
        <v>29</v>
      </c>
      <c r="B639">
        <v>7172011002001500</v>
      </c>
      <c r="C639">
        <v>84</v>
      </c>
      <c r="D639">
        <v>0</v>
      </c>
      <c r="E639">
        <v>0</v>
      </c>
      <c r="F639">
        <v>84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s="1" t="s">
        <v>29</v>
      </c>
      <c r="B640">
        <v>7172011011000500</v>
      </c>
      <c r="C640">
        <v>82</v>
      </c>
      <c r="D640">
        <v>6</v>
      </c>
      <c r="E640">
        <v>11</v>
      </c>
      <c r="F640">
        <v>10</v>
      </c>
      <c r="G640">
        <v>0</v>
      </c>
      <c r="H640">
        <v>0</v>
      </c>
      <c r="I640">
        <v>55</v>
      </c>
      <c r="J640">
        <v>0</v>
      </c>
    </row>
    <row r="641" spans="1:10" x14ac:dyDescent="0.25">
      <c r="A641" s="1" t="s">
        <v>29</v>
      </c>
      <c r="B641">
        <v>7172011002001400</v>
      </c>
      <c r="C641">
        <v>77</v>
      </c>
      <c r="D641">
        <v>0</v>
      </c>
      <c r="E641">
        <v>0</v>
      </c>
      <c r="F641">
        <v>77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s="1" t="s">
        <v>29</v>
      </c>
      <c r="B642">
        <v>7172011002001200</v>
      </c>
      <c r="C642">
        <v>74</v>
      </c>
      <c r="D642">
        <v>0</v>
      </c>
      <c r="E642">
        <v>0</v>
      </c>
      <c r="F642">
        <v>74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s="1" t="s">
        <v>29</v>
      </c>
      <c r="B643">
        <v>7172011011000400</v>
      </c>
      <c r="C643">
        <v>71</v>
      </c>
      <c r="D643">
        <v>0</v>
      </c>
      <c r="E643">
        <v>0</v>
      </c>
      <c r="F643">
        <v>71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s="1" t="s">
        <v>29</v>
      </c>
      <c r="B644">
        <v>7172011002001600</v>
      </c>
      <c r="C644">
        <v>68</v>
      </c>
      <c r="D644">
        <v>0</v>
      </c>
      <c r="E644">
        <v>0</v>
      </c>
      <c r="F644">
        <v>68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s="1" t="s">
        <v>29</v>
      </c>
      <c r="B645">
        <v>7172011002001300</v>
      </c>
      <c r="C645">
        <v>58</v>
      </c>
      <c r="D645">
        <v>0</v>
      </c>
      <c r="E645">
        <v>0</v>
      </c>
      <c r="F645">
        <v>58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s="1" t="s">
        <v>29</v>
      </c>
      <c r="B646">
        <v>7172011011000300</v>
      </c>
      <c r="C646">
        <v>50</v>
      </c>
      <c r="D646">
        <v>0</v>
      </c>
      <c r="E646">
        <v>0</v>
      </c>
      <c r="F646">
        <v>50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s="1" t="s">
        <v>29</v>
      </c>
      <c r="B647">
        <v>7172011011000200</v>
      </c>
      <c r="C647">
        <v>38</v>
      </c>
      <c r="D647">
        <v>0</v>
      </c>
      <c r="E647">
        <v>0</v>
      </c>
      <c r="F647">
        <v>38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s="1" t="s">
        <v>29</v>
      </c>
      <c r="B648">
        <v>7172011011000100</v>
      </c>
      <c r="C648">
        <v>27</v>
      </c>
      <c r="D648">
        <v>0</v>
      </c>
      <c r="E648">
        <v>0</v>
      </c>
      <c r="F648">
        <v>27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s="1" t="s">
        <v>30</v>
      </c>
      <c r="B649">
        <v>7172011003001803</v>
      </c>
      <c r="C649">
        <v>125</v>
      </c>
      <c r="D649">
        <v>0</v>
      </c>
      <c r="E649">
        <v>11</v>
      </c>
      <c r="F649">
        <v>67</v>
      </c>
      <c r="G649">
        <v>0</v>
      </c>
      <c r="H649">
        <v>0</v>
      </c>
      <c r="I649">
        <v>47</v>
      </c>
      <c r="J649">
        <v>0</v>
      </c>
    </row>
    <row r="650" spans="1:10" x14ac:dyDescent="0.25">
      <c r="A650" s="1" t="s">
        <v>30</v>
      </c>
      <c r="B650">
        <v>7172011003000100</v>
      </c>
      <c r="C650">
        <v>121</v>
      </c>
      <c r="D650">
        <v>0</v>
      </c>
      <c r="E650">
        <v>0</v>
      </c>
      <c r="F650">
        <v>121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s="1" t="s">
        <v>30</v>
      </c>
      <c r="B651">
        <v>7172011003000700</v>
      </c>
      <c r="C651">
        <v>118</v>
      </c>
      <c r="D651">
        <v>0</v>
      </c>
      <c r="E651">
        <v>0</v>
      </c>
      <c r="F651">
        <v>118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s="1" t="s">
        <v>30</v>
      </c>
      <c r="B652">
        <v>7172011003000400</v>
      </c>
      <c r="C652">
        <v>112</v>
      </c>
      <c r="D652">
        <v>0</v>
      </c>
      <c r="E652">
        <v>0</v>
      </c>
      <c r="F652">
        <v>112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s="1" t="s">
        <v>30</v>
      </c>
      <c r="B653">
        <v>7172011003000202</v>
      </c>
      <c r="C653">
        <v>90</v>
      </c>
      <c r="D653">
        <v>0</v>
      </c>
      <c r="E653">
        <v>0</v>
      </c>
      <c r="F653">
        <v>90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s="1" t="s">
        <v>32</v>
      </c>
      <c r="B654">
        <v>7172011003000600</v>
      </c>
      <c r="C654">
        <v>181</v>
      </c>
      <c r="D654">
        <v>0</v>
      </c>
      <c r="E654">
        <v>0</v>
      </c>
      <c r="F654">
        <v>181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s="1" t="s">
        <v>32</v>
      </c>
      <c r="B655">
        <v>7172011003000300</v>
      </c>
      <c r="C655">
        <v>165</v>
      </c>
      <c r="D655">
        <v>3</v>
      </c>
      <c r="E655">
        <v>4</v>
      </c>
      <c r="F655">
        <v>132</v>
      </c>
      <c r="G655">
        <v>0</v>
      </c>
      <c r="H655">
        <v>0</v>
      </c>
      <c r="I655">
        <v>26</v>
      </c>
      <c r="J655">
        <v>0</v>
      </c>
    </row>
    <row r="656" spans="1:10" x14ac:dyDescent="0.25">
      <c r="A656" s="1" t="s">
        <v>32</v>
      </c>
      <c r="B656">
        <v>7172011003000500</v>
      </c>
      <c r="C656">
        <v>126</v>
      </c>
      <c r="D656">
        <v>0</v>
      </c>
      <c r="E656">
        <v>0</v>
      </c>
      <c r="F656">
        <v>126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s="1" t="s">
        <v>32</v>
      </c>
      <c r="B657">
        <v>7172011003001001</v>
      </c>
      <c r="C657">
        <v>103</v>
      </c>
      <c r="D657">
        <v>0</v>
      </c>
      <c r="E657">
        <v>0</v>
      </c>
      <c r="F657">
        <v>103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s="1" t="s">
        <v>33</v>
      </c>
      <c r="B658">
        <v>7172011003003300</v>
      </c>
      <c r="C658">
        <v>124</v>
      </c>
      <c r="D658">
        <v>0</v>
      </c>
      <c r="E658">
        <v>0</v>
      </c>
      <c r="F658">
        <v>124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s="1" t="s">
        <v>33</v>
      </c>
      <c r="B659">
        <v>7172011003003200</v>
      </c>
      <c r="C659">
        <v>116</v>
      </c>
      <c r="D659">
        <v>0</v>
      </c>
      <c r="E659">
        <v>0</v>
      </c>
      <c r="F659">
        <v>116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s="1" t="s">
        <v>33</v>
      </c>
      <c r="B660">
        <v>7172011014001702</v>
      </c>
      <c r="C660">
        <v>100</v>
      </c>
      <c r="D660">
        <v>63</v>
      </c>
      <c r="E660">
        <v>7</v>
      </c>
      <c r="F660">
        <v>20</v>
      </c>
      <c r="G660">
        <v>0</v>
      </c>
      <c r="H660">
        <v>0</v>
      </c>
      <c r="I660">
        <v>10</v>
      </c>
      <c r="J660">
        <v>0</v>
      </c>
    </row>
    <row r="661" spans="1:10" x14ac:dyDescent="0.25">
      <c r="A661" s="1" t="s">
        <v>33</v>
      </c>
      <c r="B661">
        <v>7172011003003503</v>
      </c>
      <c r="C661">
        <v>93</v>
      </c>
      <c r="D661">
        <v>0</v>
      </c>
      <c r="E661">
        <v>1</v>
      </c>
      <c r="F661">
        <v>92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s="1" t="s">
        <v>33</v>
      </c>
      <c r="B662">
        <v>7172011003000800</v>
      </c>
      <c r="C662">
        <v>88</v>
      </c>
      <c r="D662">
        <v>0</v>
      </c>
      <c r="E662">
        <v>0</v>
      </c>
      <c r="F662">
        <v>88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s="1" t="s">
        <v>33</v>
      </c>
      <c r="B663">
        <v>7172011003003400</v>
      </c>
      <c r="C663">
        <v>67</v>
      </c>
      <c r="D663">
        <v>0</v>
      </c>
      <c r="E663">
        <v>0</v>
      </c>
      <c r="F663">
        <v>67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s="1" t="s">
        <v>33</v>
      </c>
      <c r="B664">
        <v>7172011003003502</v>
      </c>
      <c r="C664">
        <v>32</v>
      </c>
      <c r="D664">
        <v>0</v>
      </c>
      <c r="E664">
        <v>0</v>
      </c>
      <c r="F664">
        <v>32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s="1" t="s">
        <v>34</v>
      </c>
      <c r="B665">
        <v>7172011003000900</v>
      </c>
      <c r="C665">
        <v>144</v>
      </c>
      <c r="D665">
        <v>0</v>
      </c>
      <c r="E665">
        <v>0</v>
      </c>
      <c r="F665">
        <v>144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s="1" t="s">
        <v>34</v>
      </c>
      <c r="B666">
        <v>7172011003001600</v>
      </c>
      <c r="C666">
        <v>115</v>
      </c>
      <c r="D666">
        <v>0</v>
      </c>
      <c r="E666">
        <v>7</v>
      </c>
      <c r="F666">
        <v>53</v>
      </c>
      <c r="G666">
        <v>0</v>
      </c>
      <c r="H666">
        <v>0</v>
      </c>
      <c r="I666">
        <v>55</v>
      </c>
      <c r="J666">
        <v>0</v>
      </c>
    </row>
    <row r="667" spans="1:10" x14ac:dyDescent="0.25">
      <c r="A667" s="1" t="s">
        <v>34</v>
      </c>
      <c r="B667">
        <v>7172011003001200</v>
      </c>
      <c r="C667">
        <v>95</v>
      </c>
      <c r="D667">
        <v>0</v>
      </c>
      <c r="E667">
        <v>0</v>
      </c>
      <c r="F667">
        <v>95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s="1" t="s">
        <v>34</v>
      </c>
      <c r="B668">
        <v>7172011003001500</v>
      </c>
      <c r="C668">
        <v>87</v>
      </c>
      <c r="D668">
        <v>0</v>
      </c>
      <c r="E668">
        <v>0</v>
      </c>
      <c r="F668">
        <v>87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s="1" t="s">
        <v>34</v>
      </c>
      <c r="B669">
        <v>7172011003001400</v>
      </c>
      <c r="C669">
        <v>78</v>
      </c>
      <c r="D669">
        <v>0</v>
      </c>
      <c r="E669">
        <v>0</v>
      </c>
      <c r="F669">
        <v>78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s="1" t="s">
        <v>34</v>
      </c>
      <c r="B670">
        <v>7172011014000800</v>
      </c>
      <c r="C670">
        <v>67</v>
      </c>
      <c r="D670">
        <v>0</v>
      </c>
      <c r="E670">
        <v>0</v>
      </c>
      <c r="F670">
        <v>67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s="1" t="s">
        <v>40</v>
      </c>
      <c r="B671">
        <v>7172011004000900</v>
      </c>
      <c r="C671">
        <v>150</v>
      </c>
      <c r="D671">
        <v>0</v>
      </c>
      <c r="E671">
        <v>0</v>
      </c>
      <c r="F671">
        <v>150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s="1" t="s">
        <v>40</v>
      </c>
      <c r="B672">
        <v>7172011004001200</v>
      </c>
      <c r="C672">
        <v>145</v>
      </c>
      <c r="D672">
        <v>0</v>
      </c>
      <c r="E672">
        <v>0</v>
      </c>
      <c r="F672">
        <v>145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s="1" t="s">
        <v>40</v>
      </c>
      <c r="B673">
        <v>7172011004000700</v>
      </c>
      <c r="C673">
        <v>119</v>
      </c>
      <c r="D673">
        <v>8</v>
      </c>
      <c r="E673">
        <v>38</v>
      </c>
      <c r="F673">
        <v>66</v>
      </c>
      <c r="G673">
        <v>4</v>
      </c>
      <c r="H673">
        <v>0</v>
      </c>
      <c r="I673">
        <v>3</v>
      </c>
      <c r="J673">
        <v>0</v>
      </c>
    </row>
    <row r="674" spans="1:10" x14ac:dyDescent="0.25">
      <c r="A674" s="1" t="s">
        <v>40</v>
      </c>
      <c r="B674">
        <v>7172011004001000</v>
      </c>
      <c r="C674">
        <v>100</v>
      </c>
      <c r="D674">
        <v>0</v>
      </c>
      <c r="E674">
        <v>0</v>
      </c>
      <c r="F674">
        <v>100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s="1" t="s">
        <v>40</v>
      </c>
      <c r="B675">
        <v>7172011004001100</v>
      </c>
      <c r="C675">
        <v>59</v>
      </c>
      <c r="D675">
        <v>0</v>
      </c>
      <c r="E675">
        <v>0</v>
      </c>
      <c r="F675">
        <v>59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s="1" t="s">
        <v>43</v>
      </c>
      <c r="B676">
        <v>7172011011001600</v>
      </c>
      <c r="C676">
        <v>143</v>
      </c>
      <c r="D676">
        <v>0</v>
      </c>
      <c r="E676">
        <v>0</v>
      </c>
      <c r="F676">
        <v>143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s="1" t="s">
        <v>43</v>
      </c>
      <c r="B677">
        <v>7172011011001500</v>
      </c>
      <c r="C677">
        <v>91</v>
      </c>
      <c r="D677">
        <v>0</v>
      </c>
      <c r="E677">
        <v>0</v>
      </c>
      <c r="F677">
        <v>91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s="1" t="s">
        <v>43</v>
      </c>
      <c r="B678">
        <v>7172011011000900</v>
      </c>
      <c r="C678">
        <v>60</v>
      </c>
      <c r="D678">
        <v>15</v>
      </c>
      <c r="E678">
        <v>0</v>
      </c>
      <c r="F678">
        <v>17</v>
      </c>
      <c r="G678">
        <v>1</v>
      </c>
      <c r="H678">
        <v>0</v>
      </c>
      <c r="I678">
        <v>27</v>
      </c>
      <c r="J678">
        <v>0</v>
      </c>
    </row>
    <row r="679" spans="1:10" x14ac:dyDescent="0.25">
      <c r="A679" s="1" t="s">
        <v>43</v>
      </c>
      <c r="B679">
        <v>7172011011000600</v>
      </c>
      <c r="C679">
        <v>53</v>
      </c>
      <c r="D679">
        <v>0</v>
      </c>
      <c r="E679">
        <v>0</v>
      </c>
      <c r="F679">
        <v>45</v>
      </c>
      <c r="G679">
        <v>0</v>
      </c>
      <c r="H679">
        <v>0</v>
      </c>
      <c r="I679">
        <v>8</v>
      </c>
      <c r="J679">
        <v>0</v>
      </c>
    </row>
    <row r="680" spans="1:10" x14ac:dyDescent="0.25">
      <c r="A680" s="1" t="s">
        <v>43</v>
      </c>
      <c r="B680">
        <v>7172011011001400</v>
      </c>
      <c r="C680">
        <v>49</v>
      </c>
      <c r="D680">
        <v>0</v>
      </c>
      <c r="E680">
        <v>0</v>
      </c>
      <c r="F680">
        <v>49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s="1" t="s">
        <v>43</v>
      </c>
      <c r="B681">
        <v>7172011011000800</v>
      </c>
      <c r="C681">
        <v>44</v>
      </c>
      <c r="D681">
        <v>0</v>
      </c>
      <c r="E681">
        <v>0</v>
      </c>
      <c r="F681">
        <v>44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s="1" t="s">
        <v>43</v>
      </c>
      <c r="B682">
        <v>7172011011001100</v>
      </c>
      <c r="C682">
        <v>44</v>
      </c>
      <c r="D682">
        <v>0</v>
      </c>
      <c r="E682">
        <v>0</v>
      </c>
      <c r="F682">
        <v>44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s="1" t="s">
        <v>43</v>
      </c>
      <c r="B683">
        <v>7172011011001300</v>
      </c>
      <c r="C683">
        <v>44</v>
      </c>
      <c r="D683">
        <v>0</v>
      </c>
      <c r="E683">
        <v>0</v>
      </c>
      <c r="F683">
        <v>44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s="1" t="s">
        <v>43</v>
      </c>
      <c r="B684">
        <v>7172011011001200</v>
      </c>
      <c r="C684">
        <v>41</v>
      </c>
      <c r="D684">
        <v>0</v>
      </c>
      <c r="E684">
        <v>0</v>
      </c>
      <c r="F684">
        <v>41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s="1" t="s">
        <v>43</v>
      </c>
      <c r="B685">
        <v>7172011011001000</v>
      </c>
      <c r="C685">
        <v>30</v>
      </c>
      <c r="D685">
        <v>0</v>
      </c>
      <c r="E685">
        <v>0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s="1" t="s">
        <v>43</v>
      </c>
      <c r="B686">
        <v>7172011011000700</v>
      </c>
      <c r="C686">
        <v>20</v>
      </c>
      <c r="D686">
        <v>0</v>
      </c>
      <c r="E686">
        <v>0</v>
      </c>
      <c r="F686">
        <v>20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s="1" t="s">
        <v>43</v>
      </c>
      <c r="B687">
        <v>7172011011100200</v>
      </c>
      <c r="C687">
        <v>2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s="1" t="s">
        <v>43</v>
      </c>
      <c r="B688">
        <v>7172011011200100</v>
      </c>
      <c r="C688">
        <v>1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s="1" t="s">
        <v>47</v>
      </c>
      <c r="B689">
        <v>7172011014000300</v>
      </c>
      <c r="C689">
        <v>162</v>
      </c>
      <c r="D689">
        <v>0</v>
      </c>
      <c r="E689">
        <v>0</v>
      </c>
      <c r="F689">
        <v>162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s="1" t="s">
        <v>47</v>
      </c>
      <c r="B690">
        <v>7172011014000600</v>
      </c>
      <c r="C690">
        <v>160</v>
      </c>
      <c r="D690">
        <v>0</v>
      </c>
      <c r="E690">
        <v>0</v>
      </c>
      <c r="F690">
        <v>125</v>
      </c>
      <c r="G690">
        <v>0</v>
      </c>
      <c r="H690">
        <v>0</v>
      </c>
      <c r="I690">
        <v>35</v>
      </c>
      <c r="J690">
        <v>0</v>
      </c>
    </row>
    <row r="691" spans="1:10" x14ac:dyDescent="0.25">
      <c r="A691" s="1" t="s">
        <v>47</v>
      </c>
      <c r="B691">
        <v>7172011014000200</v>
      </c>
      <c r="C691">
        <v>115</v>
      </c>
      <c r="D691">
        <v>0</v>
      </c>
      <c r="E691">
        <v>0</v>
      </c>
      <c r="F691">
        <v>115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s="1" t="s">
        <v>47</v>
      </c>
      <c r="B692">
        <v>7172011014000100</v>
      </c>
      <c r="C692">
        <v>109</v>
      </c>
      <c r="D692">
        <v>0</v>
      </c>
      <c r="E692">
        <v>0</v>
      </c>
      <c r="F692">
        <v>109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s="1" t="s">
        <v>47</v>
      </c>
      <c r="B693">
        <v>7172011014000400</v>
      </c>
      <c r="C693">
        <v>76</v>
      </c>
      <c r="D693">
        <v>0</v>
      </c>
      <c r="E693">
        <v>0</v>
      </c>
      <c r="F693">
        <v>76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s="1" t="s">
        <v>48</v>
      </c>
      <c r="B694">
        <v>7172011014001200</v>
      </c>
      <c r="C694">
        <v>185</v>
      </c>
      <c r="D694">
        <v>0</v>
      </c>
      <c r="E694">
        <v>35</v>
      </c>
      <c r="F694">
        <v>94</v>
      </c>
      <c r="G694">
        <v>0</v>
      </c>
      <c r="H694">
        <v>0</v>
      </c>
      <c r="I694">
        <v>56</v>
      </c>
      <c r="J694">
        <v>0</v>
      </c>
    </row>
    <row r="695" spans="1:10" x14ac:dyDescent="0.25">
      <c r="A695" s="1" t="s">
        <v>48</v>
      </c>
      <c r="B695">
        <v>7172011014000700</v>
      </c>
      <c r="C695">
        <v>123</v>
      </c>
      <c r="D695">
        <v>0</v>
      </c>
      <c r="E695">
        <v>0</v>
      </c>
      <c r="F695">
        <v>123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s="1" t="s">
        <v>48</v>
      </c>
      <c r="B696">
        <v>7172011014001100</v>
      </c>
      <c r="C696">
        <v>108</v>
      </c>
      <c r="D696">
        <v>0</v>
      </c>
      <c r="E696">
        <v>0</v>
      </c>
      <c r="F696">
        <v>108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s="1" t="s">
        <v>48</v>
      </c>
      <c r="B697">
        <v>7172011014000900</v>
      </c>
      <c r="C697">
        <v>81</v>
      </c>
      <c r="D697">
        <v>0</v>
      </c>
      <c r="E697">
        <v>0</v>
      </c>
      <c r="F697">
        <v>81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s="1" t="s">
        <v>48</v>
      </c>
      <c r="B698">
        <v>7172011014000500</v>
      </c>
      <c r="C698">
        <v>66</v>
      </c>
      <c r="D698">
        <v>0</v>
      </c>
      <c r="E698">
        <v>0</v>
      </c>
      <c r="F698">
        <v>66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s="1" t="s">
        <v>48</v>
      </c>
      <c r="B699">
        <v>7172011014001000</v>
      </c>
      <c r="C699">
        <v>62</v>
      </c>
      <c r="D699">
        <v>0</v>
      </c>
      <c r="E699">
        <v>0</v>
      </c>
      <c r="F699">
        <v>62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s="1" t="s">
        <v>51</v>
      </c>
      <c r="B700">
        <v>7172012001000500</v>
      </c>
      <c r="C700">
        <v>170</v>
      </c>
      <c r="D700">
        <v>0</v>
      </c>
      <c r="E700">
        <v>23</v>
      </c>
      <c r="F700">
        <v>86</v>
      </c>
      <c r="G700">
        <v>1</v>
      </c>
      <c r="H700">
        <v>0</v>
      </c>
      <c r="I700">
        <v>60</v>
      </c>
      <c r="J700">
        <v>0</v>
      </c>
    </row>
    <row r="701" spans="1:10" x14ac:dyDescent="0.25">
      <c r="A701" s="1" t="s">
        <v>51</v>
      </c>
      <c r="B701">
        <v>7172012001000601</v>
      </c>
      <c r="C701">
        <v>142</v>
      </c>
      <c r="D701">
        <v>0</v>
      </c>
      <c r="E701">
        <v>0</v>
      </c>
      <c r="F701">
        <v>142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s="1" t="s">
        <v>51</v>
      </c>
      <c r="B702">
        <v>7172012001001001</v>
      </c>
      <c r="C702">
        <v>120</v>
      </c>
      <c r="D702">
        <v>0</v>
      </c>
      <c r="E702">
        <v>0</v>
      </c>
      <c r="F702">
        <v>120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s="1" t="s">
        <v>52</v>
      </c>
      <c r="B703">
        <v>7172012001000700</v>
      </c>
      <c r="C703">
        <v>260</v>
      </c>
      <c r="D703">
        <v>2</v>
      </c>
      <c r="E703">
        <v>21</v>
      </c>
      <c r="F703">
        <v>169</v>
      </c>
      <c r="G703">
        <v>0</v>
      </c>
      <c r="H703">
        <v>0</v>
      </c>
      <c r="I703">
        <v>68</v>
      </c>
      <c r="J703">
        <v>0</v>
      </c>
    </row>
    <row r="704" spans="1:10" x14ac:dyDescent="0.25">
      <c r="A704" s="1" t="s">
        <v>52</v>
      </c>
      <c r="B704">
        <v>7172012001000602</v>
      </c>
      <c r="C704">
        <v>188</v>
      </c>
      <c r="D704">
        <v>0</v>
      </c>
      <c r="E704">
        <v>0</v>
      </c>
      <c r="F704">
        <v>188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s="1" t="s">
        <v>49</v>
      </c>
      <c r="B705">
        <v>7172012002000500</v>
      </c>
      <c r="C705">
        <v>128</v>
      </c>
      <c r="D705">
        <v>0</v>
      </c>
      <c r="E705">
        <v>0</v>
      </c>
      <c r="F705">
        <v>128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s="1" t="s">
        <v>49</v>
      </c>
      <c r="B706">
        <v>7172012002000101</v>
      </c>
      <c r="C706">
        <v>124</v>
      </c>
      <c r="D706">
        <v>0</v>
      </c>
      <c r="E706">
        <v>0</v>
      </c>
      <c r="F706">
        <v>124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s="1" t="s">
        <v>49</v>
      </c>
      <c r="B707">
        <v>7172012001000100</v>
      </c>
      <c r="C707">
        <v>114</v>
      </c>
      <c r="D707">
        <v>0</v>
      </c>
      <c r="E707">
        <v>0</v>
      </c>
      <c r="F707">
        <v>98</v>
      </c>
      <c r="G707">
        <v>0</v>
      </c>
      <c r="H707">
        <v>0</v>
      </c>
      <c r="I707">
        <v>16</v>
      </c>
      <c r="J707">
        <v>0</v>
      </c>
    </row>
    <row r="708" spans="1:10" x14ac:dyDescent="0.25">
      <c r="A708" s="1" t="s">
        <v>49</v>
      </c>
      <c r="B708">
        <v>7172012001001100</v>
      </c>
      <c r="C708">
        <v>87</v>
      </c>
      <c r="D708">
        <v>0</v>
      </c>
      <c r="E708">
        <v>0</v>
      </c>
      <c r="F708">
        <v>87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s="1" t="s">
        <v>49</v>
      </c>
      <c r="B709">
        <v>7172012001001002</v>
      </c>
      <c r="C709">
        <v>81</v>
      </c>
      <c r="D709">
        <v>0</v>
      </c>
      <c r="E709">
        <v>0</v>
      </c>
      <c r="F709">
        <v>81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s="1" t="s">
        <v>49</v>
      </c>
      <c r="B710">
        <v>7172012002000102</v>
      </c>
      <c r="C710">
        <v>74</v>
      </c>
      <c r="D710">
        <v>0</v>
      </c>
      <c r="E710">
        <v>0</v>
      </c>
      <c r="F710">
        <v>74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s="1" t="s">
        <v>53</v>
      </c>
      <c r="B711">
        <v>7172012002000200</v>
      </c>
      <c r="C711">
        <v>159</v>
      </c>
      <c r="D711">
        <v>0</v>
      </c>
      <c r="E711">
        <v>3</v>
      </c>
      <c r="F711">
        <v>116</v>
      </c>
      <c r="G711">
        <v>1</v>
      </c>
      <c r="H711">
        <v>0</v>
      </c>
      <c r="I711">
        <v>39</v>
      </c>
      <c r="J711">
        <v>0</v>
      </c>
    </row>
    <row r="712" spans="1:10" x14ac:dyDescent="0.25">
      <c r="A712" s="1" t="s">
        <v>53</v>
      </c>
      <c r="B712">
        <v>7172012002000900</v>
      </c>
      <c r="C712">
        <v>118</v>
      </c>
      <c r="D712">
        <v>0</v>
      </c>
      <c r="E712">
        <v>0</v>
      </c>
      <c r="F712">
        <v>118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s="1" t="s">
        <v>53</v>
      </c>
      <c r="B713">
        <v>7172012002001000</v>
      </c>
      <c r="C713">
        <v>111</v>
      </c>
      <c r="D713">
        <v>0</v>
      </c>
      <c r="E713">
        <v>0</v>
      </c>
      <c r="F713">
        <v>111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s="1" t="s">
        <v>53</v>
      </c>
      <c r="B714">
        <v>7172012002001600</v>
      </c>
      <c r="C714">
        <v>101</v>
      </c>
      <c r="D714">
        <v>0</v>
      </c>
      <c r="E714">
        <v>0</v>
      </c>
      <c r="F714">
        <v>101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s="1" t="s">
        <v>53</v>
      </c>
      <c r="B715">
        <v>7172012002001100</v>
      </c>
      <c r="C715">
        <v>80</v>
      </c>
      <c r="D715">
        <v>0</v>
      </c>
      <c r="E715">
        <v>0</v>
      </c>
      <c r="F715">
        <v>80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s="1" t="s">
        <v>58</v>
      </c>
      <c r="B716">
        <v>7172012004000300</v>
      </c>
      <c r="C716">
        <v>109</v>
      </c>
      <c r="D716">
        <v>0</v>
      </c>
      <c r="E716">
        <v>0</v>
      </c>
      <c r="F716">
        <v>109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s="1" t="s">
        <v>58</v>
      </c>
      <c r="B717">
        <v>7172012004000100</v>
      </c>
      <c r="C717">
        <v>100</v>
      </c>
      <c r="D717">
        <v>0</v>
      </c>
      <c r="E717">
        <v>0</v>
      </c>
      <c r="F717">
        <v>100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s="1" t="s">
        <v>58</v>
      </c>
      <c r="B718">
        <v>7172012003000400</v>
      </c>
      <c r="C718">
        <v>99</v>
      </c>
      <c r="D718">
        <v>0</v>
      </c>
      <c r="E718">
        <v>0</v>
      </c>
      <c r="F718">
        <v>99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s="1" t="s">
        <v>58</v>
      </c>
      <c r="B719">
        <v>7172012003000300</v>
      </c>
      <c r="C719">
        <v>71</v>
      </c>
      <c r="D719">
        <v>0</v>
      </c>
      <c r="E719">
        <v>23</v>
      </c>
      <c r="F719">
        <v>30</v>
      </c>
      <c r="G719">
        <v>0</v>
      </c>
      <c r="H719">
        <v>0</v>
      </c>
      <c r="I719">
        <v>18</v>
      </c>
      <c r="J719">
        <v>0</v>
      </c>
    </row>
    <row r="720" spans="1:10" x14ac:dyDescent="0.25">
      <c r="A720" s="1" t="s">
        <v>58</v>
      </c>
      <c r="B720">
        <v>7172012003000700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s="1" t="s">
        <v>58</v>
      </c>
      <c r="B721">
        <v>7172012004000200</v>
      </c>
      <c r="C721">
        <v>65</v>
      </c>
      <c r="D721">
        <v>0</v>
      </c>
      <c r="E721">
        <v>0</v>
      </c>
      <c r="F721">
        <v>65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s="1" t="s">
        <v>58</v>
      </c>
      <c r="B722">
        <v>7172012003000200</v>
      </c>
      <c r="C722">
        <v>54</v>
      </c>
      <c r="D722">
        <v>0</v>
      </c>
      <c r="E722">
        <v>6</v>
      </c>
      <c r="F722">
        <v>20</v>
      </c>
      <c r="G722">
        <v>16</v>
      </c>
      <c r="H722">
        <v>0</v>
      </c>
      <c r="I722">
        <v>12</v>
      </c>
      <c r="J722">
        <v>0</v>
      </c>
    </row>
    <row r="723" spans="1:10" x14ac:dyDescent="0.25">
      <c r="A723" s="1" t="s">
        <v>57</v>
      </c>
      <c r="B723">
        <v>7172012003001100</v>
      </c>
      <c r="C723">
        <v>121</v>
      </c>
      <c r="D723">
        <v>0</v>
      </c>
      <c r="E723">
        <v>10</v>
      </c>
      <c r="F723">
        <v>36</v>
      </c>
      <c r="G723">
        <v>0</v>
      </c>
      <c r="H723">
        <v>0</v>
      </c>
      <c r="I723">
        <v>75</v>
      </c>
      <c r="J723">
        <v>0</v>
      </c>
    </row>
    <row r="724" spans="1:10" x14ac:dyDescent="0.25">
      <c r="A724" s="1" t="s">
        <v>57</v>
      </c>
      <c r="B724">
        <v>7172012003000800</v>
      </c>
      <c r="C724">
        <v>118</v>
      </c>
      <c r="D724">
        <v>0</v>
      </c>
      <c r="E724">
        <v>0</v>
      </c>
      <c r="F724">
        <v>118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s="1" t="s">
        <v>57</v>
      </c>
      <c r="B725">
        <v>7172012003001200</v>
      </c>
      <c r="C725">
        <v>84</v>
      </c>
      <c r="D725">
        <v>0</v>
      </c>
      <c r="E725">
        <v>0</v>
      </c>
      <c r="F725">
        <v>84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s="1" t="s">
        <v>57</v>
      </c>
      <c r="B726">
        <v>7172012003000600</v>
      </c>
      <c r="C726">
        <v>76</v>
      </c>
      <c r="D726">
        <v>0</v>
      </c>
      <c r="E726">
        <v>0</v>
      </c>
      <c r="F726">
        <v>76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s="1" t="s">
        <v>57</v>
      </c>
      <c r="B727">
        <v>7172012003001000</v>
      </c>
      <c r="C727">
        <v>64</v>
      </c>
      <c r="D727">
        <v>0</v>
      </c>
      <c r="E727">
        <v>0</v>
      </c>
      <c r="F727">
        <v>64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s="1" t="s">
        <v>57</v>
      </c>
      <c r="B728">
        <v>7172012003000900</v>
      </c>
      <c r="C728">
        <v>60</v>
      </c>
      <c r="D728">
        <v>0</v>
      </c>
      <c r="E728">
        <v>0</v>
      </c>
      <c r="F728">
        <v>60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1" t="s">
        <v>57</v>
      </c>
      <c r="B729">
        <v>7172012003000100</v>
      </c>
      <c r="C729">
        <v>52</v>
      </c>
      <c r="D729">
        <v>0</v>
      </c>
      <c r="E729">
        <v>0</v>
      </c>
      <c r="F729">
        <v>52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s="1" t="s">
        <v>57</v>
      </c>
      <c r="B730">
        <v>7172012003000500</v>
      </c>
      <c r="C730">
        <v>44</v>
      </c>
      <c r="D730">
        <v>0</v>
      </c>
      <c r="E730">
        <v>0</v>
      </c>
      <c r="F730">
        <v>44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s="1" t="s">
        <v>238</v>
      </c>
      <c r="B731">
        <v>7172012004000500</v>
      </c>
      <c r="C731">
        <v>164</v>
      </c>
      <c r="D731">
        <v>1</v>
      </c>
      <c r="E731">
        <v>21</v>
      </c>
      <c r="F731">
        <v>66</v>
      </c>
      <c r="G731">
        <v>0</v>
      </c>
      <c r="H731">
        <v>0</v>
      </c>
      <c r="I731">
        <v>76</v>
      </c>
      <c r="J731">
        <v>0</v>
      </c>
    </row>
    <row r="732" spans="1:10" x14ac:dyDescent="0.25">
      <c r="A732" s="1" t="s">
        <v>238</v>
      </c>
      <c r="B732">
        <v>7172012004000600</v>
      </c>
      <c r="C732">
        <v>116</v>
      </c>
      <c r="D732">
        <v>0</v>
      </c>
      <c r="E732">
        <v>0</v>
      </c>
      <c r="F732">
        <v>116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s="1" t="s">
        <v>238</v>
      </c>
      <c r="B733">
        <v>7172012004001001</v>
      </c>
      <c r="C733">
        <v>90</v>
      </c>
      <c r="D733">
        <v>0</v>
      </c>
      <c r="E733">
        <v>0</v>
      </c>
      <c r="F733">
        <v>90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s="1" t="s">
        <v>238</v>
      </c>
      <c r="B734">
        <v>7172012004000700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s="1" t="s">
        <v>238</v>
      </c>
      <c r="B735">
        <v>7172012004000400</v>
      </c>
      <c r="C735">
        <v>81</v>
      </c>
      <c r="D735">
        <v>0</v>
      </c>
      <c r="E735">
        <v>0</v>
      </c>
      <c r="F735">
        <v>81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s="1" t="s">
        <v>238</v>
      </c>
      <c r="B736">
        <v>7172012004000800</v>
      </c>
      <c r="C736">
        <v>62</v>
      </c>
      <c r="D736">
        <v>0</v>
      </c>
      <c r="E736">
        <v>0</v>
      </c>
      <c r="F736">
        <v>62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s="1" t="s">
        <v>61</v>
      </c>
      <c r="B737">
        <v>7172012004001201</v>
      </c>
      <c r="C737">
        <v>236</v>
      </c>
      <c r="D737">
        <v>0</v>
      </c>
      <c r="E737">
        <v>0</v>
      </c>
      <c r="F737">
        <v>236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s="1" t="s">
        <v>61</v>
      </c>
      <c r="B738">
        <v>7172012004001100</v>
      </c>
      <c r="C738">
        <v>170</v>
      </c>
      <c r="D738">
        <v>0</v>
      </c>
      <c r="E738">
        <v>10</v>
      </c>
      <c r="F738">
        <v>102</v>
      </c>
      <c r="G738">
        <v>0</v>
      </c>
      <c r="H738">
        <v>0</v>
      </c>
      <c r="I738">
        <v>58</v>
      </c>
      <c r="J738">
        <v>0</v>
      </c>
    </row>
    <row r="739" spans="1:10" x14ac:dyDescent="0.25">
      <c r="A739" s="1" t="s">
        <v>61</v>
      </c>
      <c r="B739">
        <v>7172012004001202</v>
      </c>
      <c r="C739">
        <v>85</v>
      </c>
      <c r="D739">
        <v>0</v>
      </c>
      <c r="E739">
        <v>0</v>
      </c>
      <c r="F739">
        <v>85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s="1" t="s">
        <v>61</v>
      </c>
      <c r="B740">
        <v>7172012004001003</v>
      </c>
      <c r="C740">
        <v>82</v>
      </c>
      <c r="D740">
        <v>0</v>
      </c>
      <c r="E740">
        <v>0</v>
      </c>
      <c r="F740">
        <v>82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s="1" t="s">
        <v>61</v>
      </c>
      <c r="B741">
        <v>7172012004001002</v>
      </c>
      <c r="C741">
        <v>30</v>
      </c>
      <c r="D741">
        <v>0</v>
      </c>
      <c r="E741">
        <v>0</v>
      </c>
      <c r="F741">
        <v>30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s="1" t="s">
        <v>66</v>
      </c>
      <c r="B742">
        <v>7172012007000100</v>
      </c>
      <c r="C742">
        <v>136</v>
      </c>
      <c r="D742">
        <v>0</v>
      </c>
      <c r="E742">
        <v>0</v>
      </c>
      <c r="F742">
        <v>136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s="1" t="s">
        <v>66</v>
      </c>
      <c r="B743">
        <v>7172012005001900</v>
      </c>
      <c r="C743">
        <v>90</v>
      </c>
      <c r="D743">
        <v>0</v>
      </c>
      <c r="E743">
        <v>0</v>
      </c>
      <c r="F743">
        <v>90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s="1" t="s">
        <v>66</v>
      </c>
      <c r="B744">
        <v>7172012005000400</v>
      </c>
      <c r="C744">
        <v>53</v>
      </c>
      <c r="D744">
        <v>0</v>
      </c>
      <c r="E744">
        <v>0</v>
      </c>
      <c r="F744">
        <v>29</v>
      </c>
      <c r="G744">
        <v>0</v>
      </c>
      <c r="H744">
        <v>0</v>
      </c>
      <c r="I744">
        <v>24</v>
      </c>
      <c r="J744">
        <v>0</v>
      </c>
    </row>
    <row r="745" spans="1:10" x14ac:dyDescent="0.25">
      <c r="A745" s="1" t="s">
        <v>66</v>
      </c>
      <c r="B745">
        <v>7172012005000500</v>
      </c>
      <c r="C745">
        <v>48</v>
      </c>
      <c r="D745">
        <v>0</v>
      </c>
      <c r="E745">
        <v>1</v>
      </c>
      <c r="F745">
        <v>32</v>
      </c>
      <c r="G745">
        <v>0</v>
      </c>
      <c r="H745">
        <v>0</v>
      </c>
      <c r="I745">
        <v>15</v>
      </c>
      <c r="J745">
        <v>0</v>
      </c>
    </row>
    <row r="746" spans="1:10" x14ac:dyDescent="0.25">
      <c r="A746" s="1" t="s">
        <v>66</v>
      </c>
      <c r="B746">
        <v>7172012005002300</v>
      </c>
      <c r="C746">
        <v>45</v>
      </c>
      <c r="D746">
        <v>0</v>
      </c>
      <c r="E746">
        <v>0</v>
      </c>
      <c r="F746">
        <v>45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s="1" t="s">
        <v>66</v>
      </c>
      <c r="B747">
        <v>7172012005000600</v>
      </c>
      <c r="C747">
        <v>43</v>
      </c>
      <c r="D747">
        <v>0</v>
      </c>
      <c r="E747">
        <v>0</v>
      </c>
      <c r="F747">
        <v>43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s="1" t="s">
        <v>66</v>
      </c>
      <c r="B748">
        <v>7172012005002200</v>
      </c>
      <c r="C748">
        <v>41</v>
      </c>
      <c r="D748">
        <v>0</v>
      </c>
      <c r="E748">
        <v>0</v>
      </c>
      <c r="F748">
        <v>41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s="1" t="s">
        <v>66</v>
      </c>
      <c r="B749">
        <v>7172012005000300</v>
      </c>
      <c r="C749">
        <v>40</v>
      </c>
      <c r="D749">
        <v>0</v>
      </c>
      <c r="E749">
        <v>0</v>
      </c>
      <c r="F749">
        <v>4</v>
      </c>
      <c r="G749">
        <v>9</v>
      </c>
      <c r="H749">
        <v>0</v>
      </c>
      <c r="I749">
        <v>27</v>
      </c>
      <c r="J749">
        <v>0</v>
      </c>
    </row>
    <row r="750" spans="1:10" x14ac:dyDescent="0.25">
      <c r="A750" s="1" t="s">
        <v>66</v>
      </c>
      <c r="B750">
        <v>7172012005002400</v>
      </c>
      <c r="C750">
        <v>40</v>
      </c>
      <c r="D750">
        <v>0</v>
      </c>
      <c r="E750">
        <v>0</v>
      </c>
      <c r="F750">
        <v>40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s="1" t="s">
        <v>66</v>
      </c>
      <c r="B751">
        <v>7172012005002100</v>
      </c>
      <c r="C751">
        <v>29</v>
      </c>
      <c r="D751">
        <v>0</v>
      </c>
      <c r="E751">
        <v>0</v>
      </c>
      <c r="F751">
        <v>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s="1" t="s">
        <v>66</v>
      </c>
      <c r="B752">
        <v>7172012005002000</v>
      </c>
      <c r="C752">
        <v>25</v>
      </c>
      <c r="D752">
        <v>0</v>
      </c>
      <c r="E752">
        <v>0</v>
      </c>
      <c r="F752">
        <v>25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s="1" t="s">
        <v>68</v>
      </c>
      <c r="B753">
        <v>7172012007001700</v>
      </c>
      <c r="C753">
        <v>116</v>
      </c>
      <c r="D753">
        <v>0</v>
      </c>
      <c r="E753">
        <v>0</v>
      </c>
      <c r="F753">
        <v>116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s="1" t="s">
        <v>68</v>
      </c>
      <c r="B754">
        <v>7172012007002000</v>
      </c>
      <c r="C754">
        <v>115</v>
      </c>
      <c r="D754">
        <v>0</v>
      </c>
      <c r="E754">
        <v>18</v>
      </c>
      <c r="F754">
        <v>32</v>
      </c>
      <c r="G754">
        <v>1</v>
      </c>
      <c r="H754">
        <v>0</v>
      </c>
      <c r="I754">
        <v>64</v>
      </c>
      <c r="J754">
        <v>0</v>
      </c>
    </row>
    <row r="755" spans="1:10" x14ac:dyDescent="0.25">
      <c r="A755" s="1" t="s">
        <v>68</v>
      </c>
      <c r="B755">
        <v>7172012007001800</v>
      </c>
      <c r="C755">
        <v>94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s="1" t="s">
        <v>68</v>
      </c>
      <c r="B756">
        <v>7172012006000100</v>
      </c>
      <c r="C756">
        <v>92</v>
      </c>
      <c r="D756">
        <v>0</v>
      </c>
      <c r="E756">
        <v>0</v>
      </c>
      <c r="F756">
        <v>92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s="1" t="s">
        <v>68</v>
      </c>
      <c r="B757">
        <v>7172012007002100</v>
      </c>
      <c r="C757">
        <v>60</v>
      </c>
      <c r="D757">
        <v>0</v>
      </c>
      <c r="E757">
        <v>0</v>
      </c>
      <c r="F757">
        <v>59</v>
      </c>
      <c r="G757">
        <v>0</v>
      </c>
      <c r="H757">
        <v>0</v>
      </c>
      <c r="I757">
        <v>1</v>
      </c>
      <c r="J757">
        <v>0</v>
      </c>
    </row>
    <row r="758" spans="1:10" x14ac:dyDescent="0.25">
      <c r="A758" s="1" t="s">
        <v>68</v>
      </c>
      <c r="B758">
        <v>7172012006000400</v>
      </c>
      <c r="C758">
        <v>56</v>
      </c>
      <c r="D758">
        <v>0</v>
      </c>
      <c r="E758">
        <v>0</v>
      </c>
      <c r="F758">
        <v>56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s="1" t="s">
        <v>68</v>
      </c>
      <c r="B759">
        <v>7172012006000300</v>
      </c>
      <c r="C759">
        <v>47</v>
      </c>
      <c r="D759">
        <v>0</v>
      </c>
      <c r="E759">
        <v>0</v>
      </c>
      <c r="F759">
        <v>47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s="1" t="s">
        <v>68</v>
      </c>
      <c r="B760">
        <v>7172012006000200</v>
      </c>
      <c r="C760">
        <v>39</v>
      </c>
      <c r="D760">
        <v>0</v>
      </c>
      <c r="E760">
        <v>0</v>
      </c>
      <c r="F760">
        <v>39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s="1" t="s">
        <v>69</v>
      </c>
      <c r="B761">
        <v>7172012006000700</v>
      </c>
      <c r="C761">
        <v>135</v>
      </c>
      <c r="D761">
        <v>0</v>
      </c>
      <c r="E761">
        <v>0</v>
      </c>
      <c r="F761">
        <v>135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s="1" t="s">
        <v>69</v>
      </c>
      <c r="B762">
        <v>7172012006000901</v>
      </c>
      <c r="C762">
        <v>130</v>
      </c>
      <c r="D762">
        <v>0</v>
      </c>
      <c r="E762">
        <v>0</v>
      </c>
      <c r="F762">
        <v>130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s="1" t="s">
        <v>69</v>
      </c>
      <c r="B763">
        <v>7172012006000801</v>
      </c>
      <c r="C763">
        <v>108</v>
      </c>
      <c r="D763">
        <v>0</v>
      </c>
      <c r="E763">
        <v>0</v>
      </c>
      <c r="F763">
        <v>108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s="1" t="s">
        <v>69</v>
      </c>
      <c r="B764">
        <v>7172012006000600</v>
      </c>
      <c r="C764">
        <v>80</v>
      </c>
      <c r="D764">
        <v>0</v>
      </c>
      <c r="E764">
        <v>0</v>
      </c>
      <c r="F764">
        <v>80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s="1" t="s">
        <v>69</v>
      </c>
      <c r="B765">
        <v>7172012006000802</v>
      </c>
      <c r="C765">
        <v>73</v>
      </c>
      <c r="D765">
        <v>0</v>
      </c>
      <c r="E765">
        <v>18</v>
      </c>
      <c r="F765">
        <v>52</v>
      </c>
      <c r="G765">
        <v>0</v>
      </c>
      <c r="H765">
        <v>0</v>
      </c>
      <c r="I765">
        <v>3</v>
      </c>
      <c r="J765">
        <v>0</v>
      </c>
    </row>
    <row r="766" spans="1:10" x14ac:dyDescent="0.25">
      <c r="A766" s="1" t="s">
        <v>69</v>
      </c>
      <c r="B766">
        <v>7172012006000500</v>
      </c>
      <c r="C766">
        <v>72</v>
      </c>
      <c r="D766">
        <v>0</v>
      </c>
      <c r="E766">
        <v>13</v>
      </c>
      <c r="F766">
        <v>24</v>
      </c>
      <c r="G766">
        <v>0</v>
      </c>
      <c r="H766">
        <v>0</v>
      </c>
      <c r="I766">
        <v>35</v>
      </c>
      <c r="J766">
        <v>0</v>
      </c>
    </row>
    <row r="767" spans="1:10" x14ac:dyDescent="0.25">
      <c r="A767" s="1" t="s">
        <v>55</v>
      </c>
      <c r="B767">
        <v>7172012006001800</v>
      </c>
      <c r="C767">
        <v>147</v>
      </c>
      <c r="D767">
        <v>0</v>
      </c>
      <c r="E767">
        <v>0</v>
      </c>
      <c r="F767">
        <v>96</v>
      </c>
      <c r="G767">
        <v>0</v>
      </c>
      <c r="H767">
        <v>0</v>
      </c>
      <c r="I767">
        <v>51</v>
      </c>
      <c r="J767">
        <v>0</v>
      </c>
    </row>
    <row r="768" spans="1:10" x14ac:dyDescent="0.25">
      <c r="A768" s="1" t="s">
        <v>55</v>
      </c>
      <c r="B768">
        <v>7172012006001700</v>
      </c>
      <c r="C768">
        <v>140</v>
      </c>
      <c r="D768">
        <v>0</v>
      </c>
      <c r="E768">
        <v>0</v>
      </c>
      <c r="F768">
        <v>140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s="1" t="s">
        <v>55</v>
      </c>
      <c r="B769">
        <v>7172012006001900</v>
      </c>
      <c r="C769">
        <v>125</v>
      </c>
      <c r="D769">
        <v>0</v>
      </c>
      <c r="E769">
        <v>0</v>
      </c>
      <c r="F769">
        <v>125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s="1" t="s">
        <v>55</v>
      </c>
      <c r="B770">
        <v>7172012006001400</v>
      </c>
      <c r="C770">
        <v>95</v>
      </c>
      <c r="D770">
        <v>0</v>
      </c>
      <c r="E770">
        <v>0</v>
      </c>
      <c r="F770">
        <v>95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s="1" t="s">
        <v>55</v>
      </c>
      <c r="B771">
        <v>7172012002001200</v>
      </c>
      <c r="C771">
        <v>52</v>
      </c>
      <c r="D771">
        <v>0</v>
      </c>
      <c r="E771">
        <v>0</v>
      </c>
      <c r="F771">
        <v>52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s="1" t="s">
        <v>73</v>
      </c>
      <c r="B772">
        <v>7172012007001300</v>
      </c>
      <c r="C772">
        <v>135</v>
      </c>
      <c r="D772">
        <v>0</v>
      </c>
      <c r="E772">
        <v>0</v>
      </c>
      <c r="F772">
        <v>135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s="1" t="s">
        <v>73</v>
      </c>
      <c r="B773">
        <v>7172012007001400</v>
      </c>
      <c r="C773">
        <v>95</v>
      </c>
      <c r="D773">
        <v>0</v>
      </c>
      <c r="E773">
        <v>0</v>
      </c>
      <c r="F773">
        <v>95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s="1" t="s">
        <v>73</v>
      </c>
      <c r="B774">
        <v>7172012007001500</v>
      </c>
      <c r="C774">
        <v>93</v>
      </c>
      <c r="D774">
        <v>0</v>
      </c>
      <c r="E774">
        <v>12</v>
      </c>
      <c r="F774">
        <v>40</v>
      </c>
      <c r="G774">
        <v>0</v>
      </c>
      <c r="H774">
        <v>0</v>
      </c>
      <c r="I774">
        <v>41</v>
      </c>
      <c r="J774">
        <v>0</v>
      </c>
    </row>
    <row r="775" spans="1:10" x14ac:dyDescent="0.25">
      <c r="A775" s="1" t="s">
        <v>73</v>
      </c>
      <c r="B775">
        <v>7172012007001200</v>
      </c>
      <c r="C775">
        <v>85</v>
      </c>
      <c r="D775">
        <v>0</v>
      </c>
      <c r="E775">
        <v>0</v>
      </c>
      <c r="F775">
        <v>85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s="1" t="s">
        <v>73</v>
      </c>
      <c r="B776">
        <v>7172012007001600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s="1" t="s">
        <v>73</v>
      </c>
      <c r="B777">
        <v>7172012007001900</v>
      </c>
      <c r="C777">
        <v>78</v>
      </c>
      <c r="D777">
        <v>0</v>
      </c>
      <c r="E777">
        <v>0</v>
      </c>
      <c r="F777">
        <v>78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s="1" t="s">
        <v>77</v>
      </c>
      <c r="B778">
        <v>7172021003000200</v>
      </c>
      <c r="C778">
        <v>105</v>
      </c>
      <c r="D778">
        <v>20</v>
      </c>
      <c r="E778">
        <v>17</v>
      </c>
      <c r="F778">
        <v>56</v>
      </c>
      <c r="G778">
        <v>0</v>
      </c>
      <c r="H778">
        <v>0</v>
      </c>
      <c r="I778">
        <v>12</v>
      </c>
      <c r="J778">
        <v>0</v>
      </c>
    </row>
    <row r="779" spans="1:10" x14ac:dyDescent="0.25">
      <c r="A779" s="1" t="s">
        <v>77</v>
      </c>
      <c r="B779">
        <v>7172021003000400</v>
      </c>
      <c r="C779">
        <v>100</v>
      </c>
      <c r="D779">
        <v>0</v>
      </c>
      <c r="E779">
        <v>0</v>
      </c>
      <c r="F779">
        <v>100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1" t="s">
        <v>77</v>
      </c>
      <c r="B780">
        <v>7172021003000500</v>
      </c>
      <c r="C780">
        <v>94</v>
      </c>
      <c r="D780">
        <v>0</v>
      </c>
      <c r="E780">
        <v>0</v>
      </c>
      <c r="F780">
        <v>94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1" t="s">
        <v>77</v>
      </c>
      <c r="B781">
        <v>7172021003000600</v>
      </c>
      <c r="C781">
        <v>81</v>
      </c>
      <c r="D781">
        <v>0</v>
      </c>
      <c r="E781">
        <v>0</v>
      </c>
      <c r="F781">
        <v>81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s="1" t="s">
        <v>77</v>
      </c>
      <c r="B782">
        <v>7172021003000700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s="1" t="s">
        <v>80</v>
      </c>
      <c r="B783">
        <v>7172021006001200</v>
      </c>
      <c r="C783">
        <v>88</v>
      </c>
      <c r="D783">
        <v>0</v>
      </c>
      <c r="E783">
        <v>0</v>
      </c>
      <c r="F783">
        <v>83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s="1" t="s">
        <v>80</v>
      </c>
      <c r="B784">
        <v>7172021006001400</v>
      </c>
      <c r="C784">
        <v>70</v>
      </c>
      <c r="D784">
        <v>0</v>
      </c>
      <c r="E784">
        <v>0</v>
      </c>
      <c r="F784">
        <v>70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s="1" t="s">
        <v>80</v>
      </c>
      <c r="B785">
        <v>7172021006001500</v>
      </c>
      <c r="C785">
        <v>66</v>
      </c>
      <c r="D785">
        <v>0</v>
      </c>
      <c r="E785">
        <v>0</v>
      </c>
      <c r="F785">
        <v>66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s="1" t="s">
        <v>80</v>
      </c>
      <c r="B786">
        <v>7172021006001000</v>
      </c>
      <c r="C786">
        <v>58</v>
      </c>
      <c r="D786">
        <v>0</v>
      </c>
      <c r="E786">
        <v>0</v>
      </c>
      <c r="F786">
        <v>58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s="1" t="s">
        <v>80</v>
      </c>
      <c r="B787">
        <v>7172021006000900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s="1" t="s">
        <v>80</v>
      </c>
      <c r="B788">
        <v>7172021006001300</v>
      </c>
      <c r="C788">
        <v>44</v>
      </c>
      <c r="D788">
        <v>0</v>
      </c>
      <c r="E788">
        <v>1</v>
      </c>
      <c r="F788">
        <v>14</v>
      </c>
      <c r="G788">
        <v>0</v>
      </c>
      <c r="H788">
        <v>0</v>
      </c>
      <c r="I788">
        <v>29</v>
      </c>
      <c r="J788">
        <v>0</v>
      </c>
    </row>
    <row r="789" spans="1:10" x14ac:dyDescent="0.25">
      <c r="A789" s="1" t="s">
        <v>80</v>
      </c>
      <c r="B789">
        <v>7172021006000800</v>
      </c>
      <c r="C789">
        <v>43</v>
      </c>
      <c r="D789">
        <v>0</v>
      </c>
      <c r="E789">
        <v>0</v>
      </c>
      <c r="F789">
        <v>43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s="1" t="s">
        <v>80</v>
      </c>
      <c r="B790">
        <v>7172021006001100</v>
      </c>
      <c r="C790">
        <v>40</v>
      </c>
      <c r="D790">
        <v>0</v>
      </c>
      <c r="E790">
        <v>0</v>
      </c>
      <c r="F790">
        <v>40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s="1" t="s">
        <v>239</v>
      </c>
      <c r="B791">
        <v>7172021006002200</v>
      </c>
      <c r="C791">
        <v>78</v>
      </c>
      <c r="D791">
        <v>0</v>
      </c>
      <c r="E791">
        <v>0</v>
      </c>
      <c r="F791">
        <v>78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s="1" t="s">
        <v>239</v>
      </c>
      <c r="B792">
        <v>7172021006001600</v>
      </c>
      <c r="C792">
        <v>67</v>
      </c>
      <c r="D792">
        <v>0</v>
      </c>
      <c r="E792">
        <v>0</v>
      </c>
      <c r="F792">
        <v>46</v>
      </c>
      <c r="G792">
        <v>0</v>
      </c>
      <c r="H792">
        <v>0</v>
      </c>
      <c r="I792">
        <v>21</v>
      </c>
      <c r="J792">
        <v>0</v>
      </c>
    </row>
    <row r="793" spans="1:10" x14ac:dyDescent="0.25">
      <c r="A793" s="1" t="s">
        <v>239</v>
      </c>
      <c r="B793">
        <v>7172021006001800</v>
      </c>
      <c r="C793">
        <v>56</v>
      </c>
      <c r="D793">
        <v>0</v>
      </c>
      <c r="E793">
        <v>0</v>
      </c>
      <c r="F793">
        <v>56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s="1" t="s">
        <v>239</v>
      </c>
      <c r="B794">
        <v>7172021007000400</v>
      </c>
      <c r="C794">
        <v>55</v>
      </c>
      <c r="D794">
        <v>0</v>
      </c>
      <c r="E794">
        <v>0</v>
      </c>
      <c r="F794">
        <v>55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s="1" t="s">
        <v>239</v>
      </c>
      <c r="B795">
        <v>7172021007000100</v>
      </c>
      <c r="C795">
        <v>46</v>
      </c>
      <c r="D795">
        <v>0</v>
      </c>
      <c r="E795">
        <v>0</v>
      </c>
      <c r="F795">
        <v>46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s="1" t="s">
        <v>239</v>
      </c>
      <c r="B796">
        <v>7172021007000500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s="1" t="s">
        <v>239</v>
      </c>
      <c r="B797">
        <v>7172021006001700</v>
      </c>
      <c r="C797">
        <v>40</v>
      </c>
      <c r="D797">
        <v>0</v>
      </c>
      <c r="E797">
        <v>3</v>
      </c>
      <c r="F797">
        <v>23</v>
      </c>
      <c r="G797">
        <v>0</v>
      </c>
      <c r="H797">
        <v>0</v>
      </c>
      <c r="I797">
        <v>14</v>
      </c>
      <c r="J797">
        <v>0</v>
      </c>
    </row>
    <row r="798" spans="1:10" x14ac:dyDescent="0.25">
      <c r="A798" s="1" t="s">
        <v>239</v>
      </c>
      <c r="B798">
        <v>7172021007000200</v>
      </c>
      <c r="C798">
        <v>38</v>
      </c>
      <c r="D798">
        <v>0</v>
      </c>
      <c r="E798">
        <v>0</v>
      </c>
      <c r="F798">
        <v>38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s="1" t="s">
        <v>239</v>
      </c>
      <c r="B799">
        <v>7172021007000300</v>
      </c>
      <c r="C799">
        <v>36</v>
      </c>
      <c r="D799">
        <v>0</v>
      </c>
      <c r="E799">
        <v>0</v>
      </c>
      <c r="F799">
        <v>36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s="1" t="s">
        <v>239</v>
      </c>
      <c r="B800">
        <v>7172021007000600</v>
      </c>
      <c r="C800">
        <v>31</v>
      </c>
      <c r="D800">
        <v>0</v>
      </c>
      <c r="E800">
        <v>0</v>
      </c>
      <c r="F800">
        <v>31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s="1" t="s">
        <v>82</v>
      </c>
      <c r="B801">
        <v>7172022001000400</v>
      </c>
      <c r="C801">
        <v>91</v>
      </c>
      <c r="D801">
        <v>0</v>
      </c>
      <c r="E801">
        <v>0</v>
      </c>
      <c r="F801">
        <v>91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s="1" t="s">
        <v>82</v>
      </c>
      <c r="B802">
        <v>7172022001000300</v>
      </c>
      <c r="C802">
        <v>90</v>
      </c>
      <c r="D802">
        <v>0</v>
      </c>
      <c r="E802">
        <v>0</v>
      </c>
      <c r="F802">
        <v>90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1" t="s">
        <v>82</v>
      </c>
      <c r="B803">
        <v>7172022001000200</v>
      </c>
      <c r="C803">
        <v>84</v>
      </c>
      <c r="D803">
        <v>0</v>
      </c>
      <c r="E803">
        <v>0</v>
      </c>
      <c r="F803">
        <v>84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s="1" t="s">
        <v>82</v>
      </c>
      <c r="B804">
        <v>7172022001000100</v>
      </c>
      <c r="C804">
        <v>80</v>
      </c>
      <c r="D804">
        <v>0</v>
      </c>
      <c r="E804">
        <v>0</v>
      </c>
      <c r="F804">
        <v>48</v>
      </c>
      <c r="G804">
        <v>0</v>
      </c>
      <c r="H804">
        <v>0</v>
      </c>
      <c r="I804">
        <v>32</v>
      </c>
      <c r="J804">
        <v>0</v>
      </c>
    </row>
    <row r="805" spans="1:10" x14ac:dyDescent="0.25">
      <c r="A805" s="1" t="s">
        <v>82</v>
      </c>
      <c r="B805">
        <v>7172022001000500</v>
      </c>
      <c r="C805">
        <v>78</v>
      </c>
      <c r="D805">
        <v>0</v>
      </c>
      <c r="E805">
        <v>0</v>
      </c>
      <c r="F805">
        <v>78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s="1" t="s">
        <v>84</v>
      </c>
      <c r="B806">
        <v>7172022002000100</v>
      </c>
      <c r="C806">
        <v>83</v>
      </c>
      <c r="D806">
        <v>0</v>
      </c>
      <c r="E806">
        <v>2</v>
      </c>
      <c r="F806">
        <v>55</v>
      </c>
      <c r="G806">
        <v>0</v>
      </c>
      <c r="H806">
        <v>0</v>
      </c>
      <c r="I806">
        <v>26</v>
      </c>
      <c r="J806">
        <v>0</v>
      </c>
    </row>
    <row r="807" spans="1:10" x14ac:dyDescent="0.25">
      <c r="A807" s="1" t="s">
        <v>84</v>
      </c>
      <c r="B807">
        <v>7172022006000200</v>
      </c>
      <c r="C807">
        <v>59</v>
      </c>
      <c r="D807">
        <v>0</v>
      </c>
      <c r="E807">
        <v>0</v>
      </c>
      <c r="F807">
        <v>59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s="1" t="s">
        <v>84</v>
      </c>
      <c r="B808">
        <v>7172022002000200</v>
      </c>
      <c r="C808">
        <v>55</v>
      </c>
      <c r="D808">
        <v>0</v>
      </c>
      <c r="E808">
        <v>0</v>
      </c>
      <c r="F808">
        <v>55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s="1" t="s">
        <v>84</v>
      </c>
      <c r="B809">
        <v>7172022006000100</v>
      </c>
      <c r="C809">
        <v>49</v>
      </c>
      <c r="D809">
        <v>0</v>
      </c>
      <c r="E809">
        <v>0</v>
      </c>
      <c r="F809">
        <v>49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s="1" t="s">
        <v>84</v>
      </c>
      <c r="B810">
        <v>7172022006000600</v>
      </c>
      <c r="C810">
        <v>44</v>
      </c>
      <c r="D810">
        <v>0</v>
      </c>
      <c r="E810">
        <v>0</v>
      </c>
      <c r="F810">
        <v>44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s="1" t="s">
        <v>84</v>
      </c>
      <c r="B811">
        <v>7172022006000400</v>
      </c>
      <c r="C811">
        <v>43</v>
      </c>
      <c r="D811">
        <v>0</v>
      </c>
      <c r="E811">
        <v>0</v>
      </c>
      <c r="F811">
        <v>43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s="1" t="s">
        <v>84</v>
      </c>
      <c r="B812">
        <v>7172022006000500</v>
      </c>
      <c r="C812">
        <v>41</v>
      </c>
      <c r="D812">
        <v>0</v>
      </c>
      <c r="E812">
        <v>0</v>
      </c>
      <c r="F812">
        <v>41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s="1" t="s">
        <v>84</v>
      </c>
      <c r="B813">
        <v>7172022006000300</v>
      </c>
      <c r="C813">
        <v>38</v>
      </c>
      <c r="D813">
        <v>0</v>
      </c>
      <c r="E813">
        <v>0</v>
      </c>
      <c r="F813">
        <v>38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s="1" t="s">
        <v>84</v>
      </c>
      <c r="B814">
        <v>7172022002000300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s="1" t="s">
        <v>86</v>
      </c>
      <c r="B815">
        <v>7172022009000500</v>
      </c>
      <c r="C815">
        <v>67</v>
      </c>
      <c r="D815">
        <v>0</v>
      </c>
      <c r="E815">
        <v>0</v>
      </c>
      <c r="F815">
        <v>67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s="1" t="s">
        <v>86</v>
      </c>
      <c r="B816">
        <v>7172022010000700</v>
      </c>
      <c r="C816">
        <v>58</v>
      </c>
      <c r="D816">
        <v>0</v>
      </c>
      <c r="E816">
        <v>0</v>
      </c>
      <c r="F816">
        <v>58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s="1" t="s">
        <v>86</v>
      </c>
      <c r="B817">
        <v>7172022003000100</v>
      </c>
      <c r="C817">
        <v>54</v>
      </c>
      <c r="D817">
        <v>0</v>
      </c>
      <c r="E817">
        <v>1</v>
      </c>
      <c r="F817">
        <v>17</v>
      </c>
      <c r="G817">
        <v>0</v>
      </c>
      <c r="H817">
        <v>0</v>
      </c>
      <c r="I817">
        <v>36</v>
      </c>
      <c r="J817">
        <v>0</v>
      </c>
    </row>
    <row r="818" spans="1:10" x14ac:dyDescent="0.25">
      <c r="A818" s="1" t="s">
        <v>86</v>
      </c>
      <c r="B818">
        <v>7172022010000300</v>
      </c>
      <c r="C818">
        <v>46</v>
      </c>
      <c r="D818">
        <v>0</v>
      </c>
      <c r="E818">
        <v>0</v>
      </c>
      <c r="F818">
        <v>46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s="1" t="s">
        <v>86</v>
      </c>
      <c r="B819">
        <v>7172022010000500</v>
      </c>
      <c r="C819">
        <v>45</v>
      </c>
      <c r="D819">
        <v>0</v>
      </c>
      <c r="E819">
        <v>0</v>
      </c>
      <c r="F819">
        <v>45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s="1" t="s">
        <v>86</v>
      </c>
      <c r="B820">
        <v>7172022010000100</v>
      </c>
      <c r="C820">
        <v>44</v>
      </c>
      <c r="D820">
        <v>0</v>
      </c>
      <c r="E820">
        <v>0</v>
      </c>
      <c r="F820">
        <v>44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s="1" t="s">
        <v>86</v>
      </c>
      <c r="B821">
        <v>7172022010000400</v>
      </c>
      <c r="C821">
        <v>38</v>
      </c>
      <c r="D821">
        <v>0</v>
      </c>
      <c r="E821">
        <v>0</v>
      </c>
      <c r="F821">
        <v>38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s="1" t="s">
        <v>86</v>
      </c>
      <c r="B822">
        <v>7172022010000600</v>
      </c>
      <c r="C822">
        <v>38</v>
      </c>
      <c r="D822">
        <v>0</v>
      </c>
      <c r="E822">
        <v>0</v>
      </c>
      <c r="F822">
        <v>38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s="1" t="s">
        <v>86</v>
      </c>
      <c r="B823">
        <v>7172022010000200</v>
      </c>
      <c r="C823">
        <v>33</v>
      </c>
      <c r="D823">
        <v>0</v>
      </c>
      <c r="E823">
        <v>0</v>
      </c>
      <c r="F823">
        <v>33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s="1" t="s">
        <v>87</v>
      </c>
      <c r="B824">
        <v>7172022005000200</v>
      </c>
      <c r="C824">
        <v>51</v>
      </c>
      <c r="D824">
        <v>0</v>
      </c>
      <c r="E824">
        <v>0</v>
      </c>
      <c r="F824">
        <v>51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s="1" t="s">
        <v>87</v>
      </c>
      <c r="B825">
        <v>7172022005000300</v>
      </c>
      <c r="C825">
        <v>49</v>
      </c>
      <c r="D825">
        <v>0</v>
      </c>
      <c r="E825">
        <v>0</v>
      </c>
      <c r="F825">
        <v>49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s="1" t="s">
        <v>87</v>
      </c>
      <c r="B826">
        <v>7172022004000100</v>
      </c>
      <c r="C826">
        <v>46</v>
      </c>
      <c r="D826">
        <v>0</v>
      </c>
      <c r="E826">
        <v>1</v>
      </c>
      <c r="F826">
        <v>4</v>
      </c>
      <c r="G826">
        <v>0</v>
      </c>
      <c r="H826">
        <v>0</v>
      </c>
      <c r="I826">
        <v>41</v>
      </c>
      <c r="J826">
        <v>0</v>
      </c>
    </row>
    <row r="827" spans="1:10" x14ac:dyDescent="0.25">
      <c r="A827" s="1" t="s">
        <v>87</v>
      </c>
      <c r="B827">
        <v>7172022004000200</v>
      </c>
      <c r="C827">
        <v>41</v>
      </c>
      <c r="D827">
        <v>0</v>
      </c>
      <c r="E827">
        <v>0</v>
      </c>
      <c r="F827">
        <v>41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s="1" t="s">
        <v>87</v>
      </c>
      <c r="B828">
        <v>7172022005000100</v>
      </c>
      <c r="C828">
        <v>40</v>
      </c>
      <c r="D828">
        <v>0</v>
      </c>
      <c r="E828">
        <v>0</v>
      </c>
      <c r="F828">
        <v>40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s="1" t="s">
        <v>87</v>
      </c>
      <c r="B829">
        <v>7172022005000400</v>
      </c>
      <c r="C829">
        <v>40</v>
      </c>
      <c r="D829">
        <v>0</v>
      </c>
      <c r="E829">
        <v>0</v>
      </c>
      <c r="F829">
        <v>40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s="1" t="s">
        <v>87</v>
      </c>
      <c r="B830">
        <v>7172022004000400</v>
      </c>
      <c r="C830">
        <v>38</v>
      </c>
      <c r="D830">
        <v>0</v>
      </c>
      <c r="E830">
        <v>0</v>
      </c>
      <c r="F830">
        <v>38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s="1" t="s">
        <v>87</v>
      </c>
      <c r="B831">
        <v>7172022004000300</v>
      </c>
      <c r="C831">
        <v>35</v>
      </c>
      <c r="D831">
        <v>0</v>
      </c>
      <c r="E831">
        <v>0</v>
      </c>
      <c r="F831">
        <v>35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s="1" t="s">
        <v>87</v>
      </c>
      <c r="B832">
        <v>7172022004000600</v>
      </c>
      <c r="C832">
        <v>27</v>
      </c>
      <c r="D832">
        <v>0</v>
      </c>
      <c r="E832">
        <v>0</v>
      </c>
      <c r="F832">
        <v>27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s="1" t="s">
        <v>87</v>
      </c>
      <c r="B833">
        <v>7172022004000500</v>
      </c>
      <c r="C833">
        <v>24</v>
      </c>
      <c r="D833">
        <v>0</v>
      </c>
      <c r="E833">
        <v>0</v>
      </c>
      <c r="F833">
        <v>24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s="1" t="s">
        <v>240</v>
      </c>
      <c r="B834">
        <v>7172022007000300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s="1" t="s">
        <v>240</v>
      </c>
      <c r="B835">
        <v>7172022008000100</v>
      </c>
      <c r="C835">
        <v>66</v>
      </c>
      <c r="D835">
        <v>0</v>
      </c>
      <c r="E835">
        <v>0</v>
      </c>
      <c r="F835">
        <v>38</v>
      </c>
      <c r="G835">
        <v>0</v>
      </c>
      <c r="H835">
        <v>0</v>
      </c>
      <c r="I835">
        <v>28</v>
      </c>
      <c r="J835">
        <v>0</v>
      </c>
    </row>
    <row r="836" spans="1:10" x14ac:dyDescent="0.25">
      <c r="A836" s="1" t="s">
        <v>240</v>
      </c>
      <c r="B836">
        <v>7172022007000400</v>
      </c>
      <c r="C836">
        <v>62</v>
      </c>
      <c r="D836">
        <v>0</v>
      </c>
      <c r="E836">
        <v>0</v>
      </c>
      <c r="F836">
        <v>62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s="1" t="s">
        <v>240</v>
      </c>
      <c r="B837">
        <v>7172022007000100</v>
      </c>
      <c r="C837">
        <v>59</v>
      </c>
      <c r="D837">
        <v>0</v>
      </c>
      <c r="E837">
        <v>0</v>
      </c>
      <c r="F837">
        <v>59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s="1" t="s">
        <v>240</v>
      </c>
      <c r="B838">
        <v>7172022007000200</v>
      </c>
      <c r="C838">
        <v>56</v>
      </c>
      <c r="D838">
        <v>0</v>
      </c>
      <c r="E838">
        <v>0</v>
      </c>
      <c r="F838">
        <v>56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s="1" t="s">
        <v>240</v>
      </c>
      <c r="B839">
        <v>7172022008000300</v>
      </c>
      <c r="C839">
        <v>56</v>
      </c>
      <c r="D839">
        <v>0</v>
      </c>
      <c r="E839">
        <v>0</v>
      </c>
      <c r="F839">
        <v>55</v>
      </c>
      <c r="G839">
        <v>0</v>
      </c>
      <c r="H839">
        <v>0</v>
      </c>
      <c r="I839">
        <v>1</v>
      </c>
      <c r="J839">
        <v>0</v>
      </c>
    </row>
    <row r="840" spans="1:10" x14ac:dyDescent="0.25">
      <c r="A840" s="1" t="s">
        <v>240</v>
      </c>
      <c r="B840">
        <v>7172022008000200</v>
      </c>
      <c r="C840">
        <v>48</v>
      </c>
      <c r="D840">
        <v>0</v>
      </c>
      <c r="E840">
        <v>0</v>
      </c>
      <c r="F840">
        <v>23</v>
      </c>
      <c r="G840">
        <v>0</v>
      </c>
      <c r="H840">
        <v>0</v>
      </c>
      <c r="I840">
        <v>25</v>
      </c>
      <c r="J840">
        <v>0</v>
      </c>
    </row>
    <row r="841" spans="1:10" x14ac:dyDescent="0.25">
      <c r="A841" s="1" t="s">
        <v>94</v>
      </c>
      <c r="B841">
        <v>7172030007001900</v>
      </c>
      <c r="C841">
        <v>84</v>
      </c>
      <c r="D841">
        <v>0</v>
      </c>
      <c r="E841">
        <v>0</v>
      </c>
      <c r="F841">
        <v>84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s="1" t="s">
        <v>94</v>
      </c>
      <c r="B842">
        <v>7172030007001800</v>
      </c>
      <c r="C842">
        <v>79</v>
      </c>
      <c r="D842">
        <v>0</v>
      </c>
      <c r="E842">
        <v>0</v>
      </c>
      <c r="F842">
        <v>79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s="1" t="s">
        <v>94</v>
      </c>
      <c r="B843">
        <v>7172030007001500</v>
      </c>
      <c r="C843">
        <v>77</v>
      </c>
      <c r="D843">
        <v>0</v>
      </c>
      <c r="E843">
        <v>0</v>
      </c>
      <c r="F843">
        <v>77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s="1" t="s">
        <v>94</v>
      </c>
      <c r="B844">
        <v>7172030007001700</v>
      </c>
      <c r="C844">
        <v>76</v>
      </c>
      <c r="D844">
        <v>0</v>
      </c>
      <c r="E844">
        <v>0</v>
      </c>
      <c r="F844">
        <v>76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s="1" t="s">
        <v>94</v>
      </c>
      <c r="B845">
        <v>7172030007001100</v>
      </c>
      <c r="C845">
        <v>57</v>
      </c>
      <c r="D845">
        <v>0</v>
      </c>
      <c r="E845">
        <v>4</v>
      </c>
      <c r="F845">
        <v>21</v>
      </c>
      <c r="G845">
        <v>0</v>
      </c>
      <c r="H845">
        <v>0</v>
      </c>
      <c r="I845">
        <v>32</v>
      </c>
      <c r="J845">
        <v>0</v>
      </c>
    </row>
    <row r="846" spans="1:10" x14ac:dyDescent="0.25">
      <c r="A846" s="1" t="s">
        <v>94</v>
      </c>
      <c r="B846">
        <v>7172030007001600</v>
      </c>
      <c r="C846">
        <v>53</v>
      </c>
      <c r="D846">
        <v>0</v>
      </c>
      <c r="E846">
        <v>0</v>
      </c>
      <c r="F846">
        <v>53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s="1" t="s">
        <v>94</v>
      </c>
      <c r="B847">
        <v>7172030007001200</v>
      </c>
      <c r="C847">
        <v>48</v>
      </c>
      <c r="D847">
        <v>0</v>
      </c>
      <c r="E847">
        <v>5</v>
      </c>
      <c r="F847">
        <v>42</v>
      </c>
      <c r="G847">
        <v>0</v>
      </c>
      <c r="H847">
        <v>0</v>
      </c>
      <c r="I847">
        <v>1</v>
      </c>
      <c r="J847">
        <v>0</v>
      </c>
    </row>
    <row r="848" spans="1:10" x14ac:dyDescent="0.25">
      <c r="A848" s="1" t="s">
        <v>94</v>
      </c>
      <c r="B848">
        <v>7172030007001400</v>
      </c>
      <c r="C848">
        <v>37</v>
      </c>
      <c r="D848">
        <v>0</v>
      </c>
      <c r="E848">
        <v>0</v>
      </c>
      <c r="F848">
        <v>37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s="1" t="s">
        <v>94</v>
      </c>
      <c r="B849">
        <v>7172030007001300</v>
      </c>
      <c r="C849">
        <v>36</v>
      </c>
      <c r="D849">
        <v>0</v>
      </c>
      <c r="E849">
        <v>0</v>
      </c>
      <c r="F849">
        <v>36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s="1" t="s">
        <v>96</v>
      </c>
      <c r="B850">
        <v>7172030009000100</v>
      </c>
      <c r="C850">
        <v>104</v>
      </c>
      <c r="D850">
        <v>0</v>
      </c>
      <c r="E850">
        <v>0</v>
      </c>
      <c r="F850">
        <v>104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s="1" t="s">
        <v>96</v>
      </c>
      <c r="B851">
        <v>7172030017000500</v>
      </c>
      <c r="C851">
        <v>84</v>
      </c>
      <c r="D851">
        <v>0</v>
      </c>
      <c r="E851">
        <v>35</v>
      </c>
      <c r="F851">
        <v>30</v>
      </c>
      <c r="G851">
        <v>0</v>
      </c>
      <c r="H851">
        <v>0</v>
      </c>
      <c r="I851">
        <v>19</v>
      </c>
      <c r="J851">
        <v>0</v>
      </c>
    </row>
    <row r="852" spans="1:10" x14ac:dyDescent="0.25">
      <c r="A852" s="1" t="s">
        <v>96</v>
      </c>
      <c r="B852">
        <v>7172030009000200</v>
      </c>
      <c r="C852">
        <v>59</v>
      </c>
      <c r="D852">
        <v>0</v>
      </c>
      <c r="E852">
        <v>0</v>
      </c>
      <c r="F852">
        <v>59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s="1" t="s">
        <v>96</v>
      </c>
      <c r="B853">
        <v>7172030009000500</v>
      </c>
      <c r="C853">
        <v>56</v>
      </c>
      <c r="D853">
        <v>0</v>
      </c>
      <c r="E853">
        <v>0</v>
      </c>
      <c r="F853">
        <v>56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s="1" t="s">
        <v>96</v>
      </c>
      <c r="B854">
        <v>7172030009000300</v>
      </c>
      <c r="C854">
        <v>45</v>
      </c>
      <c r="D854">
        <v>0</v>
      </c>
      <c r="E854">
        <v>0</v>
      </c>
      <c r="F854">
        <v>45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s="1" t="s">
        <v>96</v>
      </c>
      <c r="B855">
        <v>7172030009000600</v>
      </c>
      <c r="C855">
        <v>43</v>
      </c>
      <c r="D855">
        <v>0</v>
      </c>
      <c r="E855">
        <v>0</v>
      </c>
      <c r="F855">
        <v>43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s="1" t="s">
        <v>96</v>
      </c>
      <c r="B856">
        <v>7172030009000400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s="1" t="s">
        <v>96</v>
      </c>
      <c r="B857">
        <v>7172030009000800</v>
      </c>
      <c r="C857">
        <v>35</v>
      </c>
      <c r="D857">
        <v>0</v>
      </c>
      <c r="E857">
        <v>0</v>
      </c>
      <c r="F857">
        <v>35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s="1" t="s">
        <v>96</v>
      </c>
      <c r="B858">
        <v>7172030017000100</v>
      </c>
      <c r="C858">
        <v>33</v>
      </c>
      <c r="D858">
        <v>0</v>
      </c>
      <c r="E858">
        <v>0</v>
      </c>
      <c r="F858">
        <v>33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s="1" t="s">
        <v>96</v>
      </c>
      <c r="B859">
        <v>7172030017000300</v>
      </c>
      <c r="C859">
        <v>32</v>
      </c>
      <c r="D859">
        <v>0</v>
      </c>
      <c r="E859">
        <v>0</v>
      </c>
      <c r="F859">
        <v>32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s="1" t="s">
        <v>96</v>
      </c>
      <c r="B860">
        <v>7172030017000200</v>
      </c>
      <c r="C860">
        <v>24</v>
      </c>
      <c r="D860">
        <v>0</v>
      </c>
      <c r="E860">
        <v>0</v>
      </c>
      <c r="F860">
        <v>24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s="1" t="s">
        <v>96</v>
      </c>
      <c r="B861">
        <v>7172030009000700</v>
      </c>
      <c r="C861">
        <v>22</v>
      </c>
      <c r="D861">
        <v>0</v>
      </c>
      <c r="E861">
        <v>0</v>
      </c>
      <c r="F861">
        <v>22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s="1" t="s">
        <v>96</v>
      </c>
      <c r="B862">
        <v>7172030009200100</v>
      </c>
      <c r="C862">
        <v>1</v>
      </c>
      <c r="D862">
        <v>0</v>
      </c>
      <c r="E862">
        <v>0</v>
      </c>
      <c r="F862">
        <v>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s="1" t="s">
        <v>98</v>
      </c>
      <c r="B863">
        <v>7172030012001400</v>
      </c>
      <c r="C863">
        <v>108</v>
      </c>
      <c r="D863">
        <v>0</v>
      </c>
      <c r="E863">
        <v>0</v>
      </c>
      <c r="F863">
        <v>108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s="1" t="s">
        <v>98</v>
      </c>
      <c r="B864">
        <v>7172030012000800</v>
      </c>
      <c r="C864">
        <v>99</v>
      </c>
      <c r="D864">
        <v>0</v>
      </c>
      <c r="E864">
        <v>0</v>
      </c>
      <c r="F864">
        <v>99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s="1" t="s">
        <v>98</v>
      </c>
      <c r="B865">
        <v>7172030012000600</v>
      </c>
      <c r="C865">
        <v>81</v>
      </c>
      <c r="D865">
        <v>0</v>
      </c>
      <c r="E865">
        <v>0</v>
      </c>
      <c r="F865">
        <v>81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s="1" t="s">
        <v>98</v>
      </c>
      <c r="B866">
        <v>7172030012001100</v>
      </c>
      <c r="C866">
        <v>81</v>
      </c>
      <c r="D866">
        <v>0</v>
      </c>
      <c r="E866">
        <v>8</v>
      </c>
      <c r="F866">
        <v>69</v>
      </c>
      <c r="G866">
        <v>0</v>
      </c>
      <c r="H866">
        <v>0</v>
      </c>
      <c r="I866">
        <v>4</v>
      </c>
      <c r="J866">
        <v>0</v>
      </c>
    </row>
    <row r="867" spans="1:10" x14ac:dyDescent="0.25">
      <c r="A867" s="1" t="s">
        <v>98</v>
      </c>
      <c r="B867">
        <v>7172030012001000</v>
      </c>
      <c r="C867">
        <v>75</v>
      </c>
      <c r="D867">
        <v>0</v>
      </c>
      <c r="E867">
        <v>0</v>
      </c>
      <c r="F867">
        <v>75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s="1" t="s">
        <v>98</v>
      </c>
      <c r="B868">
        <v>7172030012001300</v>
      </c>
      <c r="C868">
        <v>61</v>
      </c>
      <c r="D868">
        <v>0</v>
      </c>
      <c r="E868">
        <v>0</v>
      </c>
      <c r="F868">
        <v>61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s="1" t="s">
        <v>98</v>
      </c>
      <c r="B869">
        <v>7172030012001500</v>
      </c>
      <c r="C869">
        <v>50</v>
      </c>
      <c r="D869">
        <v>5</v>
      </c>
      <c r="E869">
        <v>2</v>
      </c>
      <c r="F869">
        <v>9</v>
      </c>
      <c r="G869">
        <v>0</v>
      </c>
      <c r="H869">
        <v>0</v>
      </c>
      <c r="I869">
        <v>34</v>
      </c>
      <c r="J869">
        <v>0</v>
      </c>
    </row>
    <row r="870" spans="1:10" x14ac:dyDescent="0.25">
      <c r="A870" s="1" t="s">
        <v>241</v>
      </c>
      <c r="B870">
        <v>7172030013001000</v>
      </c>
      <c r="C870">
        <v>111</v>
      </c>
      <c r="D870">
        <v>0</v>
      </c>
      <c r="E870">
        <v>0</v>
      </c>
      <c r="F870">
        <v>111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s="1" t="s">
        <v>241</v>
      </c>
      <c r="B871">
        <v>7172030013000200</v>
      </c>
      <c r="C871">
        <v>83</v>
      </c>
      <c r="D871">
        <v>0</v>
      </c>
      <c r="E871">
        <v>14</v>
      </c>
      <c r="F871">
        <v>58</v>
      </c>
      <c r="G871">
        <v>0</v>
      </c>
      <c r="H871">
        <v>0</v>
      </c>
      <c r="I871">
        <v>11</v>
      </c>
      <c r="J871">
        <v>0</v>
      </c>
    </row>
    <row r="872" spans="1:10" x14ac:dyDescent="0.25">
      <c r="A872" s="1" t="s">
        <v>241</v>
      </c>
      <c r="B872">
        <v>7172030013001200</v>
      </c>
      <c r="C872">
        <v>76</v>
      </c>
      <c r="D872">
        <v>0</v>
      </c>
      <c r="E872">
        <v>0</v>
      </c>
      <c r="F872">
        <v>76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s="1" t="s">
        <v>241</v>
      </c>
      <c r="B873">
        <v>7172030013000600</v>
      </c>
      <c r="C873">
        <v>63</v>
      </c>
      <c r="D873">
        <v>0</v>
      </c>
      <c r="E873">
        <v>0</v>
      </c>
      <c r="F873">
        <v>63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s="1" t="s">
        <v>241</v>
      </c>
      <c r="B874">
        <v>7172030013000400</v>
      </c>
      <c r="C874">
        <v>55</v>
      </c>
      <c r="D874">
        <v>0</v>
      </c>
      <c r="E874">
        <v>0</v>
      </c>
      <c r="F874">
        <v>55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s="1" t="s">
        <v>241</v>
      </c>
      <c r="B875">
        <v>7172030013000500</v>
      </c>
      <c r="C875">
        <v>53</v>
      </c>
      <c r="D875">
        <v>0</v>
      </c>
      <c r="E875">
        <v>0</v>
      </c>
      <c r="F875">
        <v>53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s="1" t="s">
        <v>241</v>
      </c>
      <c r="B876">
        <v>7172030013000900</v>
      </c>
      <c r="C876">
        <v>53</v>
      </c>
      <c r="D876">
        <v>0</v>
      </c>
      <c r="E876">
        <v>0</v>
      </c>
      <c r="F876">
        <v>53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s="1" t="s">
        <v>241</v>
      </c>
      <c r="B877">
        <v>7172030013000800</v>
      </c>
      <c r="C877">
        <v>42</v>
      </c>
      <c r="D877">
        <v>0</v>
      </c>
      <c r="E877">
        <v>0</v>
      </c>
      <c r="F877">
        <v>42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s="1" t="s">
        <v>241</v>
      </c>
      <c r="B878">
        <v>7172030013000700</v>
      </c>
      <c r="C878">
        <v>34</v>
      </c>
      <c r="D878">
        <v>0</v>
      </c>
      <c r="E878">
        <v>0</v>
      </c>
      <c r="F878">
        <v>34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s="1" t="s">
        <v>242</v>
      </c>
      <c r="B879">
        <v>7172030013001300</v>
      </c>
      <c r="C879">
        <v>131</v>
      </c>
      <c r="D879">
        <v>34</v>
      </c>
      <c r="E879">
        <v>0</v>
      </c>
      <c r="F879">
        <v>23</v>
      </c>
      <c r="G879">
        <v>0</v>
      </c>
      <c r="H879">
        <v>0</v>
      </c>
      <c r="I879">
        <v>74</v>
      </c>
      <c r="J879">
        <v>0</v>
      </c>
    </row>
    <row r="880" spans="1:10" x14ac:dyDescent="0.25">
      <c r="A880" s="1" t="s">
        <v>242</v>
      </c>
      <c r="B880">
        <v>7172030013001500</v>
      </c>
      <c r="C880">
        <v>121</v>
      </c>
      <c r="D880">
        <v>0</v>
      </c>
      <c r="E880">
        <v>0</v>
      </c>
      <c r="F880">
        <v>121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s="1" t="s">
        <v>242</v>
      </c>
      <c r="B881">
        <v>7172030013001600</v>
      </c>
      <c r="C881">
        <v>94</v>
      </c>
      <c r="D881">
        <v>0</v>
      </c>
      <c r="E881">
        <v>0</v>
      </c>
      <c r="F881">
        <v>92</v>
      </c>
      <c r="G881">
        <v>0</v>
      </c>
      <c r="H881">
        <v>0</v>
      </c>
      <c r="I881">
        <v>2</v>
      </c>
      <c r="J881">
        <v>0</v>
      </c>
    </row>
    <row r="882" spans="1:10" x14ac:dyDescent="0.25">
      <c r="A882" s="1" t="s">
        <v>242</v>
      </c>
      <c r="B882">
        <v>7172030013001400</v>
      </c>
      <c r="C882">
        <v>69</v>
      </c>
      <c r="D882">
        <v>0</v>
      </c>
      <c r="E882">
        <v>0</v>
      </c>
      <c r="F882">
        <v>69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s="1" t="s">
        <v>242</v>
      </c>
      <c r="B883">
        <v>7172030014000100</v>
      </c>
      <c r="C883">
        <v>69</v>
      </c>
      <c r="D883">
        <v>0</v>
      </c>
      <c r="E883">
        <v>0</v>
      </c>
      <c r="F883">
        <v>69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s="1" t="s">
        <v>242</v>
      </c>
      <c r="B884">
        <v>7172030013001100</v>
      </c>
      <c r="C884">
        <v>58</v>
      </c>
      <c r="D884">
        <v>0</v>
      </c>
      <c r="E884">
        <v>0</v>
      </c>
      <c r="F884">
        <v>58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s="1" t="s">
        <v>242</v>
      </c>
      <c r="B885">
        <v>7172030014000200</v>
      </c>
      <c r="C885">
        <v>47</v>
      </c>
      <c r="D885">
        <v>0</v>
      </c>
      <c r="E885">
        <v>0</v>
      </c>
      <c r="F885">
        <v>46</v>
      </c>
      <c r="G885">
        <v>0</v>
      </c>
      <c r="H885">
        <v>0</v>
      </c>
      <c r="I885">
        <v>1</v>
      </c>
      <c r="J885">
        <v>0</v>
      </c>
    </row>
    <row r="886" spans="1:10" x14ac:dyDescent="0.25">
      <c r="A886" s="1" t="s">
        <v>102</v>
      </c>
      <c r="B886">
        <v>7172030014000900</v>
      </c>
      <c r="C886">
        <v>105</v>
      </c>
      <c r="D886">
        <v>0</v>
      </c>
      <c r="E886">
        <v>0</v>
      </c>
      <c r="F886">
        <v>105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s="1" t="s">
        <v>102</v>
      </c>
      <c r="B887">
        <v>7172030014000500</v>
      </c>
      <c r="C887">
        <v>99</v>
      </c>
      <c r="D887">
        <v>0</v>
      </c>
      <c r="E887">
        <v>0</v>
      </c>
      <c r="F887">
        <v>99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s="1" t="s">
        <v>102</v>
      </c>
      <c r="B888">
        <v>7172030014000600</v>
      </c>
      <c r="C888">
        <v>93</v>
      </c>
      <c r="D888">
        <v>0</v>
      </c>
      <c r="E888">
        <v>0</v>
      </c>
      <c r="F888">
        <v>93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s="1" t="s">
        <v>102</v>
      </c>
      <c r="B889">
        <v>7172030014000700</v>
      </c>
      <c r="C889">
        <v>90</v>
      </c>
      <c r="D889">
        <v>0</v>
      </c>
      <c r="E889">
        <v>0</v>
      </c>
      <c r="F889">
        <v>90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s="1" t="s">
        <v>102</v>
      </c>
      <c r="B890">
        <v>7172030014000300</v>
      </c>
      <c r="C890">
        <v>81</v>
      </c>
      <c r="D890">
        <v>1</v>
      </c>
      <c r="E890">
        <v>2</v>
      </c>
      <c r="F890">
        <v>64</v>
      </c>
      <c r="G890">
        <v>0</v>
      </c>
      <c r="H890">
        <v>0</v>
      </c>
      <c r="I890">
        <v>14</v>
      </c>
      <c r="J890">
        <v>0</v>
      </c>
    </row>
    <row r="891" spans="1:10" x14ac:dyDescent="0.25">
      <c r="A891" s="1" t="s">
        <v>102</v>
      </c>
      <c r="B891">
        <v>7172030014000800</v>
      </c>
      <c r="C891">
        <v>67</v>
      </c>
      <c r="D891">
        <v>0</v>
      </c>
      <c r="E891">
        <v>0</v>
      </c>
      <c r="F891">
        <v>67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s="1" t="s">
        <v>102</v>
      </c>
      <c r="B892">
        <v>7172030014000400</v>
      </c>
      <c r="C892">
        <v>48</v>
      </c>
      <c r="D892">
        <v>0</v>
      </c>
      <c r="E892">
        <v>0</v>
      </c>
      <c r="F892">
        <v>48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s="1" t="s">
        <v>106</v>
      </c>
      <c r="B893">
        <v>7172030015001702</v>
      </c>
      <c r="C893">
        <v>203</v>
      </c>
      <c r="D893">
        <v>0</v>
      </c>
      <c r="E893">
        <v>1</v>
      </c>
      <c r="F893">
        <v>202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s="1" t="s">
        <v>106</v>
      </c>
      <c r="B894">
        <v>7172030015001500</v>
      </c>
      <c r="C894">
        <v>172</v>
      </c>
      <c r="D894">
        <v>0</v>
      </c>
      <c r="E894">
        <v>6</v>
      </c>
      <c r="F894">
        <v>121</v>
      </c>
      <c r="G894">
        <v>0</v>
      </c>
      <c r="H894">
        <v>0</v>
      </c>
      <c r="I894">
        <v>45</v>
      </c>
      <c r="J894">
        <v>0</v>
      </c>
    </row>
    <row r="895" spans="1:10" x14ac:dyDescent="0.25">
      <c r="A895" s="1" t="s">
        <v>106</v>
      </c>
      <c r="B895">
        <v>7172030015001600</v>
      </c>
      <c r="C895">
        <v>82</v>
      </c>
      <c r="D895">
        <v>0</v>
      </c>
      <c r="E895">
        <v>0</v>
      </c>
      <c r="F895">
        <v>82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s="1" t="s">
        <v>106</v>
      </c>
      <c r="B896">
        <v>7172030015001400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s="1" t="s">
        <v>107</v>
      </c>
      <c r="B897">
        <v>7172030017000400</v>
      </c>
      <c r="C897">
        <v>114</v>
      </c>
      <c r="D897">
        <v>2</v>
      </c>
      <c r="E897">
        <v>5</v>
      </c>
      <c r="F897">
        <v>105</v>
      </c>
      <c r="G897">
        <v>1</v>
      </c>
      <c r="H897">
        <v>0</v>
      </c>
      <c r="I897">
        <v>1</v>
      </c>
      <c r="J897">
        <v>0</v>
      </c>
    </row>
    <row r="898" spans="1:10" x14ac:dyDescent="0.25">
      <c r="A898" s="1" t="s">
        <v>107</v>
      </c>
      <c r="B898">
        <v>7172030017000700</v>
      </c>
      <c r="C898">
        <v>97</v>
      </c>
      <c r="D898">
        <v>0</v>
      </c>
      <c r="E898">
        <v>5</v>
      </c>
      <c r="F898">
        <v>76</v>
      </c>
      <c r="G898">
        <v>1</v>
      </c>
      <c r="H898">
        <v>0</v>
      </c>
      <c r="I898">
        <v>15</v>
      </c>
      <c r="J898">
        <v>0</v>
      </c>
    </row>
    <row r="899" spans="1:10" x14ac:dyDescent="0.25">
      <c r="A899" s="1" t="s">
        <v>107</v>
      </c>
      <c r="B899">
        <v>7172030017000600</v>
      </c>
      <c r="C899">
        <v>83</v>
      </c>
      <c r="D899">
        <v>0</v>
      </c>
      <c r="E899">
        <v>7</v>
      </c>
      <c r="F899">
        <v>76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s="1" t="s">
        <v>107</v>
      </c>
      <c r="B900">
        <v>7172030017001000</v>
      </c>
      <c r="C900">
        <v>56</v>
      </c>
      <c r="D900">
        <v>0</v>
      </c>
      <c r="E900">
        <v>0</v>
      </c>
      <c r="F900">
        <v>56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s="1" t="s">
        <v>107</v>
      </c>
      <c r="B901">
        <v>7172030017000900</v>
      </c>
      <c r="C901">
        <v>48</v>
      </c>
      <c r="D901">
        <v>0</v>
      </c>
      <c r="E901">
        <v>0</v>
      </c>
      <c r="F901">
        <v>48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s="1" t="s">
        <v>107</v>
      </c>
      <c r="B902">
        <v>7172030017001300</v>
      </c>
      <c r="C902">
        <v>41</v>
      </c>
      <c r="D902">
        <v>11</v>
      </c>
      <c r="E902">
        <v>13</v>
      </c>
      <c r="F902">
        <v>7</v>
      </c>
      <c r="G902">
        <v>2</v>
      </c>
      <c r="H902">
        <v>0</v>
      </c>
      <c r="I902">
        <v>8</v>
      </c>
      <c r="J902">
        <v>0</v>
      </c>
    </row>
    <row r="903" spans="1:10" x14ac:dyDescent="0.25">
      <c r="A903" s="1" t="s">
        <v>107</v>
      </c>
      <c r="B903">
        <v>7172030017001100</v>
      </c>
      <c r="C903">
        <v>38</v>
      </c>
      <c r="D903">
        <v>0</v>
      </c>
      <c r="E903">
        <v>2</v>
      </c>
      <c r="F903">
        <v>36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s="1" t="s">
        <v>107</v>
      </c>
      <c r="B904">
        <v>7172030017001200</v>
      </c>
      <c r="C904">
        <v>36</v>
      </c>
      <c r="D904">
        <v>0</v>
      </c>
      <c r="E904">
        <v>0</v>
      </c>
      <c r="F904">
        <v>36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s="1" t="s">
        <v>107</v>
      </c>
      <c r="B905">
        <v>7172030017000800</v>
      </c>
      <c r="C905">
        <v>34</v>
      </c>
      <c r="D905">
        <v>0</v>
      </c>
      <c r="E905">
        <v>0</v>
      </c>
      <c r="F905">
        <v>34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s="1" t="s">
        <v>107</v>
      </c>
      <c r="B906">
        <v>7172030017001500</v>
      </c>
      <c r="C906">
        <v>34</v>
      </c>
      <c r="D906">
        <v>0</v>
      </c>
      <c r="E906">
        <v>0</v>
      </c>
      <c r="F906">
        <v>34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s="1" t="s">
        <v>108</v>
      </c>
      <c r="B907">
        <v>7172030017002001</v>
      </c>
      <c r="C907">
        <v>105</v>
      </c>
      <c r="D907">
        <v>0</v>
      </c>
      <c r="E907">
        <v>0</v>
      </c>
      <c r="F907">
        <v>105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s="1" t="s">
        <v>108</v>
      </c>
      <c r="B908">
        <v>7172030017001900</v>
      </c>
      <c r="C908">
        <v>100</v>
      </c>
      <c r="D908">
        <v>0</v>
      </c>
      <c r="E908">
        <v>0</v>
      </c>
      <c r="F908">
        <v>100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s="1" t="s">
        <v>108</v>
      </c>
      <c r="B909">
        <v>7172030017001800</v>
      </c>
      <c r="C909">
        <v>92</v>
      </c>
      <c r="D909">
        <v>0</v>
      </c>
      <c r="E909">
        <v>0</v>
      </c>
      <c r="F909">
        <v>92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s="1" t="s">
        <v>108</v>
      </c>
      <c r="B910">
        <v>7172030017001700</v>
      </c>
      <c r="C910">
        <v>90</v>
      </c>
      <c r="D910">
        <v>0</v>
      </c>
      <c r="E910">
        <v>0</v>
      </c>
      <c r="F910">
        <v>90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s="1" t="s">
        <v>108</v>
      </c>
      <c r="B911">
        <v>7172030017002002</v>
      </c>
      <c r="C911">
        <v>80</v>
      </c>
      <c r="D911">
        <v>0</v>
      </c>
      <c r="E911">
        <v>0</v>
      </c>
      <c r="F911">
        <v>80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s="1" t="s">
        <v>108</v>
      </c>
      <c r="B912">
        <v>7172030017001400</v>
      </c>
      <c r="C912">
        <v>70</v>
      </c>
      <c r="D912">
        <v>1</v>
      </c>
      <c r="E912">
        <v>25</v>
      </c>
      <c r="F912">
        <v>23</v>
      </c>
      <c r="G912">
        <v>0</v>
      </c>
      <c r="H912">
        <v>0</v>
      </c>
      <c r="I912">
        <v>21</v>
      </c>
      <c r="J912">
        <v>0</v>
      </c>
    </row>
    <row r="913" spans="1:10" x14ac:dyDescent="0.25">
      <c r="A913" s="1" t="s">
        <v>108</v>
      </c>
      <c r="B913">
        <v>7172030017001600</v>
      </c>
      <c r="C913">
        <v>51</v>
      </c>
      <c r="D913">
        <v>0</v>
      </c>
      <c r="E913">
        <v>0</v>
      </c>
      <c r="F913">
        <v>51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s="1" t="s">
        <v>110</v>
      </c>
      <c r="B914">
        <v>7172031002000100</v>
      </c>
      <c r="C914">
        <v>201</v>
      </c>
      <c r="D914">
        <v>0</v>
      </c>
      <c r="E914">
        <v>0</v>
      </c>
      <c r="F914">
        <v>201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s="1" t="s">
        <v>110</v>
      </c>
      <c r="B915">
        <v>7172031002000200</v>
      </c>
      <c r="C915">
        <v>177</v>
      </c>
      <c r="D915">
        <v>0</v>
      </c>
      <c r="E915">
        <v>0</v>
      </c>
      <c r="F915">
        <v>177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s="1" t="s">
        <v>110</v>
      </c>
      <c r="B916">
        <v>7172031002000300</v>
      </c>
      <c r="C916">
        <v>127</v>
      </c>
      <c r="D916">
        <v>0</v>
      </c>
      <c r="E916">
        <v>0</v>
      </c>
      <c r="F916">
        <v>127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s="1" t="s">
        <v>110</v>
      </c>
      <c r="B917">
        <v>7172031001001500</v>
      </c>
      <c r="C917">
        <v>90</v>
      </c>
      <c r="D917">
        <v>4</v>
      </c>
      <c r="E917">
        <v>18</v>
      </c>
      <c r="F917">
        <v>29</v>
      </c>
      <c r="G917">
        <v>4</v>
      </c>
      <c r="H917">
        <v>0</v>
      </c>
      <c r="I917">
        <v>35</v>
      </c>
      <c r="J917">
        <v>0</v>
      </c>
    </row>
    <row r="918" spans="1:10" x14ac:dyDescent="0.25">
      <c r="A918" s="1" t="s">
        <v>111</v>
      </c>
      <c r="B918">
        <v>7172031002000500</v>
      </c>
      <c r="C918">
        <v>119</v>
      </c>
      <c r="D918">
        <v>0</v>
      </c>
      <c r="E918">
        <v>0</v>
      </c>
      <c r="F918">
        <v>119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1" t="s">
        <v>111</v>
      </c>
      <c r="B919">
        <v>7172031002000400</v>
      </c>
      <c r="C919">
        <v>102</v>
      </c>
      <c r="D919">
        <v>9</v>
      </c>
      <c r="E919">
        <v>11</v>
      </c>
      <c r="F919">
        <v>45</v>
      </c>
      <c r="G919">
        <v>10</v>
      </c>
      <c r="H919">
        <v>0</v>
      </c>
      <c r="I919">
        <v>27</v>
      </c>
      <c r="J919">
        <v>0</v>
      </c>
    </row>
    <row r="920" spans="1:10" x14ac:dyDescent="0.25">
      <c r="A920" s="1" t="s">
        <v>111</v>
      </c>
      <c r="B920">
        <v>7172031002001101</v>
      </c>
      <c r="C920">
        <v>85</v>
      </c>
      <c r="D920">
        <v>0</v>
      </c>
      <c r="E920">
        <v>0</v>
      </c>
      <c r="F920">
        <v>85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s="1" t="s">
        <v>111</v>
      </c>
      <c r="B921">
        <v>7172031002000700</v>
      </c>
      <c r="C921">
        <v>64</v>
      </c>
      <c r="D921">
        <v>0</v>
      </c>
      <c r="E921">
        <v>0</v>
      </c>
      <c r="F921">
        <v>64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s="1" t="s">
        <v>111</v>
      </c>
      <c r="B922">
        <v>7172031002001500</v>
      </c>
      <c r="C922">
        <v>59</v>
      </c>
      <c r="D922">
        <v>0</v>
      </c>
      <c r="E922">
        <v>0</v>
      </c>
      <c r="F922">
        <v>59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s="1" t="s">
        <v>111</v>
      </c>
      <c r="B923">
        <v>7172031003000200</v>
      </c>
      <c r="C923">
        <v>56</v>
      </c>
      <c r="D923">
        <v>0</v>
      </c>
      <c r="E923">
        <v>0</v>
      </c>
      <c r="F923">
        <v>56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1" t="s">
        <v>111</v>
      </c>
      <c r="B924">
        <v>7172031002001400</v>
      </c>
      <c r="C924">
        <v>55</v>
      </c>
      <c r="D924">
        <v>0</v>
      </c>
      <c r="E924">
        <v>0</v>
      </c>
      <c r="F924">
        <v>55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s="1" t="s">
        <v>111</v>
      </c>
      <c r="B925">
        <v>7172031002000600</v>
      </c>
      <c r="C925">
        <v>49</v>
      </c>
      <c r="D925">
        <v>0</v>
      </c>
      <c r="E925">
        <v>0</v>
      </c>
      <c r="F925">
        <v>49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s="1" t="s">
        <v>112</v>
      </c>
      <c r="B926">
        <v>7172031002001102</v>
      </c>
      <c r="C926">
        <v>162</v>
      </c>
      <c r="D926">
        <v>5</v>
      </c>
      <c r="E926">
        <v>29</v>
      </c>
      <c r="F926">
        <v>101</v>
      </c>
      <c r="G926">
        <v>4</v>
      </c>
      <c r="H926">
        <v>0</v>
      </c>
      <c r="I926">
        <v>23</v>
      </c>
      <c r="J926">
        <v>0</v>
      </c>
    </row>
    <row r="927" spans="1:10" x14ac:dyDescent="0.25">
      <c r="A927" s="1" t="s">
        <v>112</v>
      </c>
      <c r="B927">
        <v>7172031002001000</v>
      </c>
      <c r="C927">
        <v>112</v>
      </c>
      <c r="D927">
        <v>0</v>
      </c>
      <c r="E927">
        <v>0</v>
      </c>
      <c r="F927">
        <v>112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s="1" t="s">
        <v>112</v>
      </c>
      <c r="B928">
        <v>7172031008001400</v>
      </c>
      <c r="C928">
        <v>77</v>
      </c>
      <c r="D928">
        <v>0</v>
      </c>
      <c r="E928">
        <v>0</v>
      </c>
      <c r="F928">
        <v>77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s="1" t="s">
        <v>112</v>
      </c>
      <c r="B929">
        <v>7172031002000800</v>
      </c>
      <c r="C929">
        <v>76</v>
      </c>
      <c r="D929">
        <v>0</v>
      </c>
      <c r="E929">
        <v>0</v>
      </c>
      <c r="F929">
        <v>76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s="1" t="s">
        <v>112</v>
      </c>
      <c r="B930">
        <v>7172031002001300</v>
      </c>
      <c r="C930">
        <v>58</v>
      </c>
      <c r="D930">
        <v>0</v>
      </c>
      <c r="E930">
        <v>0</v>
      </c>
      <c r="F930">
        <v>58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s="1" t="s">
        <v>112</v>
      </c>
      <c r="B931">
        <v>7172031008000800</v>
      </c>
      <c r="C931">
        <v>53</v>
      </c>
      <c r="D931">
        <v>0</v>
      </c>
      <c r="E931">
        <v>0</v>
      </c>
      <c r="F931">
        <v>53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s="1" t="s">
        <v>112</v>
      </c>
      <c r="B932">
        <v>7172031002000900</v>
      </c>
      <c r="C932">
        <v>47</v>
      </c>
      <c r="D932">
        <v>0</v>
      </c>
      <c r="E932">
        <v>0</v>
      </c>
      <c r="F932">
        <v>47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s="1" t="s">
        <v>112</v>
      </c>
      <c r="B933">
        <v>7172031008001500</v>
      </c>
      <c r="C933">
        <v>28</v>
      </c>
      <c r="D933">
        <v>8</v>
      </c>
      <c r="E933">
        <v>9</v>
      </c>
      <c r="F933">
        <v>5</v>
      </c>
      <c r="G933">
        <v>0</v>
      </c>
      <c r="H933">
        <v>0</v>
      </c>
      <c r="I933">
        <v>6</v>
      </c>
      <c r="J933">
        <v>0</v>
      </c>
    </row>
    <row r="934" spans="1:10" x14ac:dyDescent="0.25">
      <c r="A934" s="1" t="s">
        <v>115</v>
      </c>
      <c r="B934">
        <v>7172031003002000</v>
      </c>
      <c r="C934">
        <v>184</v>
      </c>
      <c r="D934">
        <v>14</v>
      </c>
      <c r="E934">
        <v>16</v>
      </c>
      <c r="F934">
        <v>108</v>
      </c>
      <c r="G934">
        <v>6</v>
      </c>
      <c r="H934">
        <v>0</v>
      </c>
      <c r="I934">
        <v>40</v>
      </c>
      <c r="J934">
        <v>0</v>
      </c>
    </row>
    <row r="935" spans="1:10" x14ac:dyDescent="0.25">
      <c r="A935" s="1" t="s">
        <v>115</v>
      </c>
      <c r="B935">
        <v>7172031003001700</v>
      </c>
      <c r="C935">
        <v>135</v>
      </c>
      <c r="D935">
        <v>0</v>
      </c>
      <c r="E935">
        <v>0</v>
      </c>
      <c r="F935">
        <v>135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s="1" t="s">
        <v>115</v>
      </c>
      <c r="B936">
        <v>7172031003002100</v>
      </c>
      <c r="C936">
        <v>134</v>
      </c>
      <c r="D936">
        <v>0</v>
      </c>
      <c r="E936">
        <v>0</v>
      </c>
      <c r="F936">
        <v>134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s="1" t="s">
        <v>115</v>
      </c>
      <c r="B937">
        <v>7172031003001900</v>
      </c>
      <c r="C937">
        <v>62</v>
      </c>
      <c r="D937">
        <v>0</v>
      </c>
      <c r="E937">
        <v>1</v>
      </c>
      <c r="F937">
        <v>61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s="1" t="s">
        <v>115</v>
      </c>
      <c r="B938">
        <v>7172031003001400</v>
      </c>
      <c r="C938">
        <v>56</v>
      </c>
      <c r="D938">
        <v>0</v>
      </c>
      <c r="E938">
        <v>0</v>
      </c>
      <c r="F938">
        <v>56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s="1" t="s">
        <v>243</v>
      </c>
      <c r="B939">
        <v>7172031003001800</v>
      </c>
      <c r="C939">
        <v>143</v>
      </c>
      <c r="D939">
        <v>95</v>
      </c>
      <c r="E939">
        <v>0</v>
      </c>
      <c r="F939">
        <v>14</v>
      </c>
      <c r="G939">
        <v>3</v>
      </c>
      <c r="H939">
        <v>0</v>
      </c>
      <c r="I939">
        <v>31</v>
      </c>
      <c r="J939">
        <v>0</v>
      </c>
    </row>
    <row r="940" spans="1:10" x14ac:dyDescent="0.25">
      <c r="A940" s="1" t="s">
        <v>243</v>
      </c>
      <c r="B940">
        <v>7172031003002700</v>
      </c>
      <c r="C940">
        <v>98</v>
      </c>
      <c r="D940">
        <v>1</v>
      </c>
      <c r="E940">
        <v>0</v>
      </c>
      <c r="F940">
        <v>97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s="1" t="s">
        <v>243</v>
      </c>
      <c r="B941">
        <v>7172031003002500</v>
      </c>
      <c r="C941">
        <v>82</v>
      </c>
      <c r="D941">
        <v>0</v>
      </c>
      <c r="E941">
        <v>0</v>
      </c>
      <c r="F941">
        <v>82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s="1" t="s">
        <v>243</v>
      </c>
      <c r="B942">
        <v>7172031003002300</v>
      </c>
      <c r="C942">
        <v>77</v>
      </c>
      <c r="D942">
        <v>0</v>
      </c>
      <c r="E942">
        <v>0</v>
      </c>
      <c r="F942">
        <v>77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s="1" t="s">
        <v>243</v>
      </c>
      <c r="B943">
        <v>7172031003002600</v>
      </c>
      <c r="C943">
        <v>68</v>
      </c>
      <c r="D943">
        <v>0</v>
      </c>
      <c r="E943">
        <v>0</v>
      </c>
      <c r="F943">
        <v>68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s="1" t="s">
        <v>243</v>
      </c>
      <c r="B944">
        <v>7172031003002200</v>
      </c>
      <c r="C944">
        <v>60</v>
      </c>
      <c r="D944">
        <v>0</v>
      </c>
      <c r="E944">
        <v>0</v>
      </c>
      <c r="F944">
        <v>60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s="1" t="s">
        <v>243</v>
      </c>
      <c r="B945">
        <v>7172031003002400</v>
      </c>
      <c r="C945">
        <v>54</v>
      </c>
      <c r="D945">
        <v>0</v>
      </c>
      <c r="E945">
        <v>0</v>
      </c>
      <c r="F945">
        <v>54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s="1" t="s">
        <v>117</v>
      </c>
      <c r="B946">
        <v>7172031004000800</v>
      </c>
      <c r="C946">
        <v>123</v>
      </c>
      <c r="D946">
        <v>0</v>
      </c>
      <c r="E946">
        <v>0</v>
      </c>
      <c r="F946">
        <v>123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s="1" t="s">
        <v>117</v>
      </c>
      <c r="B947">
        <v>7172031004000900</v>
      </c>
      <c r="C947">
        <v>74</v>
      </c>
      <c r="D947">
        <v>18</v>
      </c>
      <c r="E947">
        <v>33</v>
      </c>
      <c r="F947">
        <v>12</v>
      </c>
      <c r="G947">
        <v>2</v>
      </c>
      <c r="H947">
        <v>0</v>
      </c>
      <c r="I947">
        <v>9</v>
      </c>
      <c r="J947">
        <v>0</v>
      </c>
    </row>
    <row r="948" spans="1:10" x14ac:dyDescent="0.25">
      <c r="A948" s="1" t="s">
        <v>117</v>
      </c>
      <c r="B948">
        <v>7172031004000200</v>
      </c>
      <c r="C948">
        <v>54</v>
      </c>
      <c r="D948">
        <v>0</v>
      </c>
      <c r="E948">
        <v>0</v>
      </c>
      <c r="F948">
        <v>54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s="1" t="s">
        <v>117</v>
      </c>
      <c r="B949">
        <v>7172031004000100</v>
      </c>
      <c r="C949">
        <v>51</v>
      </c>
      <c r="D949">
        <v>0</v>
      </c>
      <c r="E949">
        <v>0</v>
      </c>
      <c r="F949">
        <v>51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s="1" t="s">
        <v>117</v>
      </c>
      <c r="B950">
        <v>7172031004000300</v>
      </c>
      <c r="C950">
        <v>51</v>
      </c>
      <c r="D950">
        <v>0</v>
      </c>
      <c r="E950">
        <v>0</v>
      </c>
      <c r="F950">
        <v>51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s="1" t="s">
        <v>117</v>
      </c>
      <c r="B951">
        <v>7172031004001100</v>
      </c>
      <c r="C951">
        <v>48</v>
      </c>
      <c r="D951">
        <v>0</v>
      </c>
      <c r="E951">
        <v>0</v>
      </c>
      <c r="F951">
        <v>48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s="1" t="s">
        <v>117</v>
      </c>
      <c r="B952">
        <v>7172031004000700</v>
      </c>
      <c r="C952">
        <v>45</v>
      </c>
      <c r="D952">
        <v>0</v>
      </c>
      <c r="E952">
        <v>0</v>
      </c>
      <c r="F952">
        <v>45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s="1" t="s">
        <v>117</v>
      </c>
      <c r="B953">
        <v>7172031004001000</v>
      </c>
      <c r="C953">
        <v>41</v>
      </c>
      <c r="D953">
        <v>0</v>
      </c>
      <c r="E953">
        <v>0</v>
      </c>
      <c r="F953">
        <v>41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s="1" t="s">
        <v>117</v>
      </c>
      <c r="B954">
        <v>7172031004000600</v>
      </c>
      <c r="C954">
        <v>36</v>
      </c>
      <c r="D954">
        <v>0</v>
      </c>
      <c r="E954">
        <v>0</v>
      </c>
      <c r="F954">
        <v>36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s="1" t="s">
        <v>117</v>
      </c>
      <c r="B955">
        <v>7172031004000500</v>
      </c>
      <c r="C955">
        <v>34</v>
      </c>
      <c r="D955">
        <v>0</v>
      </c>
      <c r="E955">
        <v>0</v>
      </c>
      <c r="F955">
        <v>34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s="1" t="s">
        <v>117</v>
      </c>
      <c r="B956">
        <v>7172031004000400</v>
      </c>
      <c r="C956">
        <v>28</v>
      </c>
      <c r="D956">
        <v>0</v>
      </c>
      <c r="E956">
        <v>0</v>
      </c>
      <c r="F956">
        <v>28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s="1" t="s">
        <v>120</v>
      </c>
      <c r="B957">
        <v>7172031006000101</v>
      </c>
      <c r="C957">
        <v>197</v>
      </c>
      <c r="D957">
        <v>3</v>
      </c>
      <c r="E957">
        <v>17</v>
      </c>
      <c r="F957">
        <v>135</v>
      </c>
      <c r="G957">
        <v>30</v>
      </c>
      <c r="H957">
        <v>0</v>
      </c>
      <c r="I957">
        <v>12</v>
      </c>
      <c r="J957">
        <v>0</v>
      </c>
    </row>
    <row r="958" spans="1:10" x14ac:dyDescent="0.25">
      <c r="A958" s="1" t="s">
        <v>120</v>
      </c>
      <c r="B958">
        <v>7172031006000300</v>
      </c>
      <c r="C958">
        <v>133</v>
      </c>
      <c r="D958">
        <v>0</v>
      </c>
      <c r="E958">
        <v>0</v>
      </c>
      <c r="F958">
        <v>133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s="1" t="s">
        <v>120</v>
      </c>
      <c r="B959">
        <v>7172031006000400</v>
      </c>
      <c r="C959">
        <v>123</v>
      </c>
      <c r="D959">
        <v>0</v>
      </c>
      <c r="E959">
        <v>0</v>
      </c>
      <c r="F959">
        <v>123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s="1" t="s">
        <v>120</v>
      </c>
      <c r="B960">
        <v>7172031006000200</v>
      </c>
      <c r="C960">
        <v>117</v>
      </c>
      <c r="D960">
        <v>0</v>
      </c>
      <c r="E960">
        <v>0</v>
      </c>
      <c r="F960">
        <v>117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s="1" t="s">
        <v>120</v>
      </c>
      <c r="B961">
        <v>7172031006000102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s="1" t="s">
        <v>122</v>
      </c>
      <c r="B962">
        <v>7172031006000900</v>
      </c>
      <c r="C962">
        <v>155</v>
      </c>
      <c r="D962">
        <v>0</v>
      </c>
      <c r="E962">
        <v>0</v>
      </c>
      <c r="F962">
        <v>155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s="1" t="s">
        <v>122</v>
      </c>
      <c r="B963">
        <v>7172031006001200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s="1" t="s">
        <v>122</v>
      </c>
      <c r="B964">
        <v>7172031006001300</v>
      </c>
      <c r="C964">
        <v>110</v>
      </c>
      <c r="D964">
        <v>3</v>
      </c>
      <c r="E964">
        <v>27</v>
      </c>
      <c r="F964">
        <v>57</v>
      </c>
      <c r="G964">
        <v>2</v>
      </c>
      <c r="H964">
        <v>0</v>
      </c>
      <c r="I964">
        <v>21</v>
      </c>
      <c r="J964">
        <v>0</v>
      </c>
    </row>
    <row r="965" spans="1:10" x14ac:dyDescent="0.25">
      <c r="A965" s="1" t="s">
        <v>122</v>
      </c>
      <c r="B965">
        <v>7172031006001000</v>
      </c>
      <c r="C965">
        <v>105</v>
      </c>
      <c r="D965">
        <v>0</v>
      </c>
      <c r="E965">
        <v>0</v>
      </c>
      <c r="F965">
        <v>105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s="1" t="s">
        <v>122</v>
      </c>
      <c r="B966">
        <v>7172031006000700</v>
      </c>
      <c r="C966">
        <v>72</v>
      </c>
      <c r="D966">
        <v>0</v>
      </c>
      <c r="E966">
        <v>0</v>
      </c>
      <c r="F966">
        <v>72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s="1" t="s">
        <v>124</v>
      </c>
      <c r="B967">
        <v>7172031006001400</v>
      </c>
      <c r="C967">
        <v>175</v>
      </c>
      <c r="D967">
        <v>25</v>
      </c>
      <c r="E967">
        <v>96</v>
      </c>
      <c r="F967">
        <v>21</v>
      </c>
      <c r="G967">
        <v>0</v>
      </c>
      <c r="H967">
        <v>0</v>
      </c>
      <c r="I967">
        <v>33</v>
      </c>
      <c r="J967">
        <v>0</v>
      </c>
    </row>
    <row r="968" spans="1:10" x14ac:dyDescent="0.25">
      <c r="A968" s="1" t="s">
        <v>124</v>
      </c>
      <c r="B968">
        <v>7172031006001500</v>
      </c>
      <c r="C968">
        <v>136</v>
      </c>
      <c r="D968">
        <v>0</v>
      </c>
      <c r="E968">
        <v>0</v>
      </c>
      <c r="F968">
        <v>136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s="1" t="s">
        <v>124</v>
      </c>
      <c r="B969">
        <v>7172031006001700</v>
      </c>
      <c r="C969">
        <v>121</v>
      </c>
      <c r="D969">
        <v>0</v>
      </c>
      <c r="E969">
        <v>0</v>
      </c>
      <c r="F969">
        <v>121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s="1" t="s">
        <v>124</v>
      </c>
      <c r="B970">
        <v>7172031006001800</v>
      </c>
      <c r="C970">
        <v>91</v>
      </c>
      <c r="D970">
        <v>0</v>
      </c>
      <c r="E970">
        <v>0</v>
      </c>
      <c r="F970">
        <v>91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s="1" t="s">
        <v>124</v>
      </c>
      <c r="B971">
        <v>7172031006001600</v>
      </c>
      <c r="C971">
        <v>76</v>
      </c>
      <c r="D971">
        <v>0</v>
      </c>
      <c r="E971">
        <v>0</v>
      </c>
      <c r="F971">
        <v>76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s="1" t="s">
        <v>127</v>
      </c>
      <c r="B972">
        <v>7172031007001600</v>
      </c>
      <c r="C972">
        <v>124</v>
      </c>
      <c r="D972">
        <v>0</v>
      </c>
      <c r="E972">
        <v>0</v>
      </c>
      <c r="F972">
        <v>124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s="1" t="s">
        <v>127</v>
      </c>
      <c r="B973">
        <v>7172031007001800</v>
      </c>
      <c r="C973">
        <v>117</v>
      </c>
      <c r="D973">
        <v>0</v>
      </c>
      <c r="E973">
        <v>0</v>
      </c>
      <c r="F973">
        <v>117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s="1" t="s">
        <v>127</v>
      </c>
      <c r="B974">
        <v>7172031007001000</v>
      </c>
      <c r="C974">
        <v>100</v>
      </c>
      <c r="D974">
        <v>3</v>
      </c>
      <c r="E974">
        <v>13</v>
      </c>
      <c r="F974">
        <v>28</v>
      </c>
      <c r="G974">
        <v>3</v>
      </c>
      <c r="H974">
        <v>0</v>
      </c>
      <c r="I974">
        <v>53</v>
      </c>
      <c r="J974">
        <v>0</v>
      </c>
    </row>
    <row r="975" spans="1:10" x14ac:dyDescent="0.25">
      <c r="A975" s="1" t="s">
        <v>127</v>
      </c>
      <c r="B975">
        <v>7172031007001200</v>
      </c>
      <c r="C975">
        <v>85</v>
      </c>
      <c r="D975">
        <v>0</v>
      </c>
      <c r="E975">
        <v>0</v>
      </c>
      <c r="F975">
        <v>85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s="1" t="s">
        <v>127</v>
      </c>
      <c r="B976">
        <v>7172031007002000</v>
      </c>
      <c r="C976">
        <v>79</v>
      </c>
      <c r="D976">
        <v>0</v>
      </c>
      <c r="E976">
        <v>0</v>
      </c>
      <c r="F976">
        <v>79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s="1" t="s">
        <v>127</v>
      </c>
      <c r="B977">
        <v>7172031007001700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s="1" t="s">
        <v>129</v>
      </c>
      <c r="B978">
        <v>7172031008001000</v>
      </c>
      <c r="C978">
        <v>86</v>
      </c>
      <c r="D978">
        <v>0</v>
      </c>
      <c r="E978">
        <v>0</v>
      </c>
      <c r="F978">
        <v>86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s="1" t="s">
        <v>129</v>
      </c>
      <c r="B979">
        <v>7172031008000900</v>
      </c>
      <c r="C979">
        <v>85</v>
      </c>
      <c r="D979">
        <v>0</v>
      </c>
      <c r="E979">
        <v>0</v>
      </c>
      <c r="F979">
        <v>82</v>
      </c>
      <c r="G979">
        <v>1</v>
      </c>
      <c r="H979">
        <v>0</v>
      </c>
      <c r="I979">
        <v>2</v>
      </c>
      <c r="J979">
        <v>0</v>
      </c>
    </row>
    <row r="980" spans="1:10" x14ac:dyDescent="0.25">
      <c r="A980" s="1" t="s">
        <v>129</v>
      </c>
      <c r="B980">
        <v>7172031008001200</v>
      </c>
      <c r="C980">
        <v>81</v>
      </c>
      <c r="D980">
        <v>0</v>
      </c>
      <c r="E980">
        <v>0</v>
      </c>
      <c r="F980">
        <v>81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s="1" t="s">
        <v>129</v>
      </c>
      <c r="B981">
        <v>7172031008000300</v>
      </c>
      <c r="C981">
        <v>75</v>
      </c>
      <c r="D981">
        <v>0</v>
      </c>
      <c r="E981">
        <v>0</v>
      </c>
      <c r="F981">
        <v>74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s="1" t="s">
        <v>129</v>
      </c>
      <c r="B982">
        <v>7172031008001300</v>
      </c>
      <c r="C982">
        <v>73</v>
      </c>
      <c r="D982">
        <v>0</v>
      </c>
      <c r="E982">
        <v>0</v>
      </c>
      <c r="F982">
        <v>73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s="1" t="s">
        <v>129</v>
      </c>
      <c r="B983">
        <v>7172031008001100</v>
      </c>
      <c r="C983">
        <v>57</v>
      </c>
      <c r="D983">
        <v>0</v>
      </c>
      <c r="E983">
        <v>0</v>
      </c>
      <c r="F983">
        <v>57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s="1" t="s">
        <v>129</v>
      </c>
      <c r="B984">
        <v>7172031008000600</v>
      </c>
      <c r="C984">
        <v>45</v>
      </c>
      <c r="D984">
        <v>0</v>
      </c>
      <c r="E984">
        <v>13</v>
      </c>
      <c r="F984">
        <v>12</v>
      </c>
      <c r="G984">
        <v>0</v>
      </c>
      <c r="H984">
        <v>0</v>
      </c>
      <c r="I984">
        <v>20</v>
      </c>
      <c r="J984">
        <v>0</v>
      </c>
    </row>
    <row r="985" spans="1:10" x14ac:dyDescent="0.25">
      <c r="A985" s="1" t="s">
        <v>129</v>
      </c>
      <c r="B985">
        <v>7172031008000500</v>
      </c>
      <c r="C985">
        <v>39</v>
      </c>
      <c r="D985">
        <v>0</v>
      </c>
      <c r="E985">
        <v>0</v>
      </c>
      <c r="F985">
        <v>39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s="1" t="s">
        <v>129</v>
      </c>
      <c r="B986">
        <v>7172031008000700</v>
      </c>
      <c r="C986">
        <v>25</v>
      </c>
      <c r="D986">
        <v>14</v>
      </c>
      <c r="E986">
        <v>0</v>
      </c>
      <c r="F986">
        <v>0</v>
      </c>
      <c r="G986">
        <v>0</v>
      </c>
      <c r="H986">
        <v>0</v>
      </c>
      <c r="I986">
        <v>11</v>
      </c>
      <c r="J986">
        <v>0</v>
      </c>
    </row>
    <row r="987" spans="1:10" x14ac:dyDescent="0.25">
      <c r="A987" s="1" t="s">
        <v>129</v>
      </c>
      <c r="B987">
        <v>7172031008500100</v>
      </c>
      <c r="C987">
        <v>14</v>
      </c>
      <c r="D987">
        <v>0</v>
      </c>
      <c r="E987">
        <v>0</v>
      </c>
      <c r="F987">
        <v>14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1" t="s">
        <v>130</v>
      </c>
      <c r="B988">
        <v>7172040009000200</v>
      </c>
      <c r="C988">
        <v>85</v>
      </c>
      <c r="D988">
        <v>0</v>
      </c>
      <c r="E988">
        <v>0</v>
      </c>
      <c r="F988">
        <v>85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1" t="s">
        <v>130</v>
      </c>
      <c r="B989">
        <v>7172040009000500</v>
      </c>
      <c r="C989">
        <v>80</v>
      </c>
      <c r="D989">
        <v>0</v>
      </c>
      <c r="E989">
        <v>3</v>
      </c>
      <c r="F989">
        <v>73</v>
      </c>
      <c r="G989">
        <v>0</v>
      </c>
      <c r="H989">
        <v>0</v>
      </c>
      <c r="I989">
        <v>4</v>
      </c>
      <c r="J989">
        <v>0</v>
      </c>
    </row>
    <row r="990" spans="1:10" x14ac:dyDescent="0.25">
      <c r="A990" s="1" t="s">
        <v>130</v>
      </c>
      <c r="B990">
        <v>7172040009000600</v>
      </c>
      <c r="C990">
        <v>74</v>
      </c>
      <c r="D990">
        <v>0</v>
      </c>
      <c r="E990">
        <v>23</v>
      </c>
      <c r="F990">
        <v>32</v>
      </c>
      <c r="G990">
        <v>1</v>
      </c>
      <c r="H990">
        <v>0</v>
      </c>
      <c r="I990">
        <v>18</v>
      </c>
      <c r="J990">
        <v>0</v>
      </c>
    </row>
    <row r="991" spans="1:10" x14ac:dyDescent="0.25">
      <c r="A991" s="1" t="s">
        <v>130</v>
      </c>
      <c r="B991">
        <v>7172040001000200</v>
      </c>
      <c r="C991">
        <v>72</v>
      </c>
      <c r="D991">
        <v>0</v>
      </c>
      <c r="E991">
        <v>0</v>
      </c>
      <c r="F991">
        <v>72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s="1" t="s">
        <v>130</v>
      </c>
      <c r="B992">
        <v>7172040009000100</v>
      </c>
      <c r="C992">
        <v>68</v>
      </c>
      <c r="D992">
        <v>0</v>
      </c>
      <c r="E992">
        <v>0</v>
      </c>
      <c r="F992">
        <v>68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s="1" t="s">
        <v>130</v>
      </c>
      <c r="B993">
        <v>7172040009000300</v>
      </c>
      <c r="C993">
        <v>62</v>
      </c>
      <c r="D993">
        <v>0</v>
      </c>
      <c r="E993">
        <v>0</v>
      </c>
      <c r="F993">
        <v>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1" t="s">
        <v>130</v>
      </c>
      <c r="B994">
        <v>7172040001000100</v>
      </c>
      <c r="C994">
        <v>59</v>
      </c>
      <c r="D994">
        <v>0</v>
      </c>
      <c r="E994">
        <v>0</v>
      </c>
      <c r="F994">
        <v>59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s="1" t="s">
        <v>130</v>
      </c>
      <c r="B995">
        <v>7172040009000400</v>
      </c>
      <c r="C995">
        <v>56</v>
      </c>
      <c r="D995">
        <v>0</v>
      </c>
      <c r="E995">
        <v>0</v>
      </c>
      <c r="F995">
        <v>56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s="1" t="s">
        <v>130</v>
      </c>
      <c r="B996">
        <v>7172040001000300</v>
      </c>
      <c r="C996">
        <v>38</v>
      </c>
      <c r="D996">
        <v>0</v>
      </c>
      <c r="E996">
        <v>0</v>
      </c>
      <c r="F996">
        <v>38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s="1" t="s">
        <v>132</v>
      </c>
      <c r="B997">
        <v>7172040003000601</v>
      </c>
      <c r="C997">
        <v>179</v>
      </c>
      <c r="D997">
        <v>41</v>
      </c>
      <c r="E997">
        <v>13</v>
      </c>
      <c r="F997">
        <v>106</v>
      </c>
      <c r="G997">
        <v>2</v>
      </c>
      <c r="H997">
        <v>1</v>
      </c>
      <c r="I997">
        <v>16</v>
      </c>
      <c r="J997">
        <v>0</v>
      </c>
    </row>
    <row r="998" spans="1:10" x14ac:dyDescent="0.25">
      <c r="A998" s="1" t="s">
        <v>132</v>
      </c>
      <c r="B998">
        <v>7172040003000500</v>
      </c>
      <c r="C998">
        <v>162</v>
      </c>
      <c r="D998">
        <v>0</v>
      </c>
      <c r="E998">
        <v>0</v>
      </c>
      <c r="F998">
        <v>162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s="1" t="s">
        <v>132</v>
      </c>
      <c r="B999">
        <v>7172040003000101</v>
      </c>
      <c r="C999">
        <v>96</v>
      </c>
      <c r="D999">
        <v>0</v>
      </c>
      <c r="E999">
        <v>0</v>
      </c>
      <c r="F999">
        <v>96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s="1" t="s">
        <v>132</v>
      </c>
      <c r="B1000">
        <v>7172040005001900</v>
      </c>
      <c r="C1000">
        <v>84</v>
      </c>
      <c r="D1000">
        <v>0</v>
      </c>
      <c r="E1000">
        <v>0</v>
      </c>
      <c r="F1000">
        <v>84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s="1" t="s">
        <v>132</v>
      </c>
      <c r="B1001">
        <v>7172040005002002</v>
      </c>
      <c r="C1001">
        <v>40</v>
      </c>
      <c r="D1001">
        <v>0</v>
      </c>
      <c r="E1001">
        <v>0</v>
      </c>
      <c r="F1001">
        <v>40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1" t="s">
        <v>133</v>
      </c>
      <c r="B1002">
        <v>7172040003000300</v>
      </c>
      <c r="C1002">
        <v>150</v>
      </c>
      <c r="D1002">
        <v>0</v>
      </c>
      <c r="E1002">
        <v>0</v>
      </c>
      <c r="F1002">
        <v>150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s="1" t="s">
        <v>133</v>
      </c>
      <c r="B1003">
        <v>7172040003000102</v>
      </c>
      <c r="C1003">
        <v>119</v>
      </c>
      <c r="D1003">
        <v>0</v>
      </c>
      <c r="E1003">
        <v>0</v>
      </c>
      <c r="F1003">
        <v>119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s="1" t="s">
        <v>133</v>
      </c>
      <c r="B1004">
        <v>7172040003000602</v>
      </c>
      <c r="C1004">
        <v>80</v>
      </c>
      <c r="D1004">
        <v>0</v>
      </c>
      <c r="E1004">
        <v>1</v>
      </c>
      <c r="F1004">
        <v>45</v>
      </c>
      <c r="G1004">
        <v>0</v>
      </c>
      <c r="H1004">
        <v>0</v>
      </c>
      <c r="I1004">
        <v>33</v>
      </c>
      <c r="J1004">
        <v>1</v>
      </c>
    </row>
    <row r="1005" spans="1:10" x14ac:dyDescent="0.25">
      <c r="A1005" s="1" t="s">
        <v>133</v>
      </c>
      <c r="B1005">
        <v>7172040003000400</v>
      </c>
      <c r="C1005">
        <v>72</v>
      </c>
      <c r="D1005">
        <v>0</v>
      </c>
      <c r="E1005">
        <v>0</v>
      </c>
      <c r="F1005">
        <v>71</v>
      </c>
      <c r="G1005">
        <v>0</v>
      </c>
      <c r="H1005">
        <v>0</v>
      </c>
      <c r="I1005">
        <v>1</v>
      </c>
      <c r="J1005">
        <v>0</v>
      </c>
    </row>
    <row r="1006" spans="1:10" x14ac:dyDescent="0.25">
      <c r="A1006" s="1" t="s">
        <v>133</v>
      </c>
      <c r="B1006">
        <v>7172040003000700</v>
      </c>
      <c r="C1006">
        <v>69</v>
      </c>
      <c r="D1006">
        <v>0</v>
      </c>
      <c r="E1006">
        <v>0</v>
      </c>
      <c r="F1006">
        <v>69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s="1" t="s">
        <v>133</v>
      </c>
      <c r="B1007">
        <v>7172040005000600</v>
      </c>
      <c r="C1007">
        <v>42</v>
      </c>
      <c r="D1007">
        <v>0</v>
      </c>
      <c r="E1007">
        <v>0</v>
      </c>
      <c r="F1007">
        <v>42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s="1" t="s">
        <v>133</v>
      </c>
      <c r="B1008">
        <v>7172040005001600</v>
      </c>
      <c r="C1008">
        <v>32</v>
      </c>
      <c r="D1008">
        <v>0</v>
      </c>
      <c r="E1008">
        <v>0</v>
      </c>
      <c r="F1008">
        <v>32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s="1" t="s">
        <v>135</v>
      </c>
      <c r="B1009">
        <v>7172040003001501</v>
      </c>
      <c r="C1009">
        <v>182</v>
      </c>
      <c r="D1009">
        <v>0</v>
      </c>
      <c r="E1009">
        <v>0</v>
      </c>
      <c r="F1009">
        <v>182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s="1" t="s">
        <v>135</v>
      </c>
      <c r="B1010">
        <v>7172040003001301</v>
      </c>
      <c r="C1010">
        <v>136</v>
      </c>
      <c r="D1010">
        <v>0</v>
      </c>
      <c r="E1010">
        <v>0</v>
      </c>
      <c r="F1010">
        <v>136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s="1" t="s">
        <v>135</v>
      </c>
      <c r="B1011">
        <v>7172040003001400</v>
      </c>
      <c r="C1011">
        <v>91</v>
      </c>
      <c r="D1011">
        <v>0</v>
      </c>
      <c r="E1011">
        <v>0</v>
      </c>
      <c r="F1011">
        <v>91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s="1" t="s">
        <v>135</v>
      </c>
      <c r="B1012">
        <v>7172040003001302</v>
      </c>
      <c r="C1012">
        <v>52</v>
      </c>
      <c r="D1012">
        <v>0</v>
      </c>
      <c r="E1012">
        <v>0</v>
      </c>
      <c r="F1012">
        <v>52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s="1" t="s">
        <v>135</v>
      </c>
      <c r="B1013">
        <v>7172040003000800</v>
      </c>
      <c r="C1013">
        <v>49</v>
      </c>
      <c r="D1013">
        <v>3</v>
      </c>
      <c r="E1013">
        <v>3</v>
      </c>
      <c r="F1013">
        <v>35</v>
      </c>
      <c r="G1013">
        <v>0</v>
      </c>
      <c r="H1013">
        <v>0</v>
      </c>
      <c r="I1013">
        <v>8</v>
      </c>
      <c r="J1013">
        <v>0</v>
      </c>
    </row>
    <row r="1014" spans="1:10" x14ac:dyDescent="0.25">
      <c r="A1014" s="1" t="s">
        <v>135</v>
      </c>
      <c r="B1014">
        <v>7172040003001502</v>
      </c>
      <c r="C1014">
        <v>28</v>
      </c>
      <c r="D1014">
        <v>0</v>
      </c>
      <c r="E1014">
        <v>0</v>
      </c>
      <c r="F1014">
        <v>28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s="1" t="s">
        <v>136</v>
      </c>
      <c r="B1015">
        <v>7172040004000600</v>
      </c>
      <c r="C1015">
        <v>132</v>
      </c>
      <c r="D1015">
        <v>0</v>
      </c>
      <c r="E1015">
        <v>0</v>
      </c>
      <c r="F1015">
        <v>132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s="1" t="s">
        <v>136</v>
      </c>
      <c r="B1016">
        <v>7172040004000500</v>
      </c>
      <c r="C1016">
        <v>90</v>
      </c>
      <c r="D1016">
        <v>0</v>
      </c>
      <c r="E1016">
        <v>1</v>
      </c>
      <c r="F1016">
        <v>89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s="1" t="s">
        <v>136</v>
      </c>
      <c r="B1017">
        <v>7172040004000200</v>
      </c>
      <c r="C1017">
        <v>64</v>
      </c>
      <c r="D1017">
        <v>0</v>
      </c>
      <c r="E1017">
        <v>0</v>
      </c>
      <c r="F1017">
        <v>64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s="1" t="s">
        <v>136</v>
      </c>
      <c r="B1018">
        <v>7172040004000100</v>
      </c>
      <c r="C1018">
        <v>54</v>
      </c>
      <c r="D1018">
        <v>0</v>
      </c>
      <c r="E1018">
        <v>0</v>
      </c>
      <c r="F1018">
        <v>54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s="1" t="s">
        <v>136</v>
      </c>
      <c r="B1019">
        <v>7172040008000200</v>
      </c>
      <c r="C1019">
        <v>48</v>
      </c>
      <c r="D1019">
        <v>0</v>
      </c>
      <c r="E1019">
        <v>1</v>
      </c>
      <c r="F1019">
        <v>47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1" t="s">
        <v>136</v>
      </c>
      <c r="B1020">
        <v>7172040004000300</v>
      </c>
      <c r="C1020">
        <v>47</v>
      </c>
      <c r="D1020">
        <v>0</v>
      </c>
      <c r="E1020">
        <v>0</v>
      </c>
      <c r="F1020">
        <v>47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s="1" t="s">
        <v>136</v>
      </c>
      <c r="B1021">
        <v>7172040004000400</v>
      </c>
      <c r="C1021">
        <v>42</v>
      </c>
      <c r="D1021">
        <v>0</v>
      </c>
      <c r="E1021">
        <v>4</v>
      </c>
      <c r="F1021">
        <v>33</v>
      </c>
      <c r="G1021">
        <v>3</v>
      </c>
      <c r="H1021">
        <v>0</v>
      </c>
      <c r="I1021">
        <v>2</v>
      </c>
      <c r="J1021">
        <v>0</v>
      </c>
    </row>
    <row r="1022" spans="1:10" x14ac:dyDescent="0.25">
      <c r="A1022" s="1" t="s">
        <v>136</v>
      </c>
      <c r="B1022">
        <v>7172040008000300</v>
      </c>
      <c r="C1022">
        <v>40</v>
      </c>
      <c r="D1022">
        <v>0</v>
      </c>
      <c r="E1022">
        <v>8</v>
      </c>
      <c r="F1022">
        <v>32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s="1" t="s">
        <v>136</v>
      </c>
      <c r="B1023">
        <v>7172040008000100</v>
      </c>
      <c r="C1023">
        <v>38</v>
      </c>
      <c r="D1023">
        <v>0</v>
      </c>
      <c r="E1023">
        <v>17</v>
      </c>
      <c r="F1023">
        <v>3</v>
      </c>
      <c r="G1023">
        <v>1</v>
      </c>
      <c r="H1023">
        <v>0</v>
      </c>
      <c r="I1023">
        <v>17</v>
      </c>
      <c r="J1023">
        <v>0</v>
      </c>
    </row>
    <row r="1024" spans="1:10" x14ac:dyDescent="0.25">
      <c r="A1024" s="1" t="s">
        <v>136</v>
      </c>
      <c r="B1024">
        <v>7172040008000400</v>
      </c>
      <c r="C1024">
        <v>32</v>
      </c>
      <c r="D1024">
        <v>0</v>
      </c>
      <c r="E1024">
        <v>0</v>
      </c>
      <c r="F1024">
        <v>32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s="1" t="s">
        <v>139</v>
      </c>
      <c r="B1025">
        <v>7172040006000500</v>
      </c>
      <c r="C1025">
        <v>83</v>
      </c>
      <c r="D1025">
        <v>0</v>
      </c>
      <c r="E1025">
        <v>0</v>
      </c>
      <c r="F1025">
        <v>83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s="1" t="s">
        <v>139</v>
      </c>
      <c r="B1026">
        <v>7172040006000100</v>
      </c>
      <c r="C1026">
        <v>82</v>
      </c>
      <c r="D1026">
        <v>0</v>
      </c>
      <c r="E1026">
        <v>4</v>
      </c>
      <c r="F1026">
        <v>53</v>
      </c>
      <c r="G1026">
        <v>1</v>
      </c>
      <c r="H1026">
        <v>0</v>
      </c>
      <c r="I1026">
        <v>24</v>
      </c>
      <c r="J1026">
        <v>0</v>
      </c>
    </row>
    <row r="1027" spans="1:10" x14ac:dyDescent="0.25">
      <c r="A1027" s="1" t="s">
        <v>139</v>
      </c>
      <c r="B1027">
        <v>7172040006000600</v>
      </c>
      <c r="C1027">
        <v>62</v>
      </c>
      <c r="D1027">
        <v>0</v>
      </c>
      <c r="E1027">
        <v>19</v>
      </c>
      <c r="F1027">
        <v>43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s="1" t="s">
        <v>139</v>
      </c>
      <c r="B1028">
        <v>7172040006000200</v>
      </c>
      <c r="C1028">
        <v>61</v>
      </c>
      <c r="D1028">
        <v>0</v>
      </c>
      <c r="E1028">
        <v>0</v>
      </c>
      <c r="F1028">
        <v>61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s="1" t="s">
        <v>139</v>
      </c>
      <c r="B1029">
        <v>7172040006000300</v>
      </c>
      <c r="C1029">
        <v>57</v>
      </c>
      <c r="D1029">
        <v>0</v>
      </c>
      <c r="E1029">
        <v>0</v>
      </c>
      <c r="F1029">
        <v>57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s="1" t="s">
        <v>139</v>
      </c>
      <c r="B1030">
        <v>7172040006000400</v>
      </c>
      <c r="C1030">
        <v>56</v>
      </c>
      <c r="D1030">
        <v>0</v>
      </c>
      <c r="E1030">
        <v>0</v>
      </c>
      <c r="F1030">
        <v>56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s="1" t="s">
        <v>139</v>
      </c>
      <c r="B1031">
        <v>7172040010000100</v>
      </c>
      <c r="C1031">
        <v>41</v>
      </c>
      <c r="D1031">
        <v>0</v>
      </c>
      <c r="E1031">
        <v>0</v>
      </c>
      <c r="F1031">
        <v>41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s="1" t="s">
        <v>139</v>
      </c>
      <c r="B1032">
        <v>7172040010000200</v>
      </c>
      <c r="C1032">
        <v>34</v>
      </c>
      <c r="D1032">
        <v>0</v>
      </c>
      <c r="E1032">
        <v>0</v>
      </c>
      <c r="F1032">
        <v>34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s="1" t="s">
        <v>139</v>
      </c>
      <c r="B1033">
        <v>7172040010000300</v>
      </c>
      <c r="C1033">
        <v>29</v>
      </c>
      <c r="D1033">
        <v>0</v>
      </c>
      <c r="E1033">
        <v>0</v>
      </c>
      <c r="F1033">
        <v>29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s="1" t="s">
        <v>140</v>
      </c>
      <c r="B1034">
        <v>7172040012000300</v>
      </c>
      <c r="C1034">
        <v>76</v>
      </c>
      <c r="D1034">
        <v>0</v>
      </c>
      <c r="E1034">
        <v>13</v>
      </c>
      <c r="F1034">
        <v>59</v>
      </c>
      <c r="G1034">
        <v>0</v>
      </c>
      <c r="H1034">
        <v>0</v>
      </c>
      <c r="I1034">
        <v>4</v>
      </c>
      <c r="J1034">
        <v>0</v>
      </c>
    </row>
    <row r="1035" spans="1:10" x14ac:dyDescent="0.25">
      <c r="A1035" s="1" t="s">
        <v>140</v>
      </c>
      <c r="B1035">
        <v>7172040012000200</v>
      </c>
      <c r="C1035">
        <v>75</v>
      </c>
      <c r="D1035">
        <v>0</v>
      </c>
      <c r="E1035">
        <v>15</v>
      </c>
      <c r="F1035">
        <v>7</v>
      </c>
      <c r="G1035">
        <v>2</v>
      </c>
      <c r="H1035">
        <v>0</v>
      </c>
      <c r="I1035">
        <v>51</v>
      </c>
      <c r="J1035">
        <v>0</v>
      </c>
    </row>
    <row r="1036" spans="1:10" x14ac:dyDescent="0.25">
      <c r="A1036" s="1" t="s">
        <v>140</v>
      </c>
      <c r="B1036">
        <v>7172040012000100</v>
      </c>
      <c r="C1036">
        <v>65</v>
      </c>
      <c r="D1036">
        <v>0</v>
      </c>
      <c r="E1036">
        <v>0</v>
      </c>
      <c r="F1036">
        <v>65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s="1" t="s">
        <v>140</v>
      </c>
      <c r="B1037">
        <v>7172040012000400</v>
      </c>
      <c r="C1037">
        <v>64</v>
      </c>
      <c r="D1037">
        <v>0</v>
      </c>
      <c r="E1037">
        <v>0</v>
      </c>
      <c r="F1037">
        <v>64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s="1" t="s">
        <v>140</v>
      </c>
      <c r="B1038">
        <v>7172040010000500</v>
      </c>
      <c r="C1038">
        <v>58</v>
      </c>
      <c r="D1038">
        <v>0</v>
      </c>
      <c r="E1038">
        <v>0</v>
      </c>
      <c r="F1038">
        <v>58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s="1" t="s">
        <v>140</v>
      </c>
      <c r="B1039">
        <v>7172040010000600</v>
      </c>
      <c r="C1039">
        <v>56</v>
      </c>
      <c r="D1039">
        <v>0</v>
      </c>
      <c r="E1039">
        <v>0</v>
      </c>
      <c r="F1039">
        <v>56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s="1" t="s">
        <v>140</v>
      </c>
      <c r="B1040">
        <v>7172040010000800</v>
      </c>
      <c r="C1040">
        <v>40</v>
      </c>
      <c r="D1040">
        <v>0</v>
      </c>
      <c r="E1040">
        <v>0</v>
      </c>
      <c r="F1040">
        <v>40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1" t="s">
        <v>140</v>
      </c>
      <c r="B1041">
        <v>7172040012000500</v>
      </c>
      <c r="C1041">
        <v>38</v>
      </c>
      <c r="D1041">
        <v>0</v>
      </c>
      <c r="E1041">
        <v>0</v>
      </c>
      <c r="F1041">
        <v>38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s="1" t="s">
        <v>140</v>
      </c>
      <c r="B1042">
        <v>7172040010000700</v>
      </c>
      <c r="C1042">
        <v>32</v>
      </c>
      <c r="D1042">
        <v>0</v>
      </c>
      <c r="E1042">
        <v>0</v>
      </c>
      <c r="F1042">
        <v>32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s="1" t="s">
        <v>140</v>
      </c>
      <c r="B1043">
        <v>7172040010000400</v>
      </c>
      <c r="C1043">
        <v>30</v>
      </c>
      <c r="D1043">
        <v>0</v>
      </c>
      <c r="E1043">
        <v>0</v>
      </c>
      <c r="F1043">
        <v>30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s="1" t="s">
        <v>140</v>
      </c>
      <c r="B1044">
        <v>7172040012000600</v>
      </c>
      <c r="C1044">
        <v>28</v>
      </c>
      <c r="D1044">
        <v>0</v>
      </c>
      <c r="E1044">
        <v>0</v>
      </c>
      <c r="F1044">
        <v>28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s="1" t="s">
        <v>118</v>
      </c>
      <c r="B1045">
        <v>7172031004001700</v>
      </c>
      <c r="C1045">
        <v>141</v>
      </c>
      <c r="D1045">
        <v>0</v>
      </c>
      <c r="E1045">
        <v>0</v>
      </c>
      <c r="F1045">
        <v>141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s="1" t="s">
        <v>118</v>
      </c>
      <c r="B1046">
        <v>7172031004001400</v>
      </c>
      <c r="C1046">
        <v>112</v>
      </c>
      <c r="D1046">
        <v>0</v>
      </c>
      <c r="E1046">
        <v>0</v>
      </c>
      <c r="F1046">
        <v>112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s="1" t="s">
        <v>118</v>
      </c>
      <c r="B1047">
        <v>7172031004001800</v>
      </c>
      <c r="C1047">
        <v>91</v>
      </c>
      <c r="D1047">
        <v>0</v>
      </c>
      <c r="E1047">
        <v>0</v>
      </c>
      <c r="F1047">
        <v>91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s="1" t="s">
        <v>118</v>
      </c>
      <c r="B1048">
        <v>7172031004001300</v>
      </c>
      <c r="C1048">
        <v>59</v>
      </c>
      <c r="D1048">
        <v>0</v>
      </c>
      <c r="E1048">
        <v>0</v>
      </c>
      <c r="F1048">
        <v>59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1" t="s">
        <v>118</v>
      </c>
      <c r="B1049">
        <v>7172031004001200</v>
      </c>
      <c r="C1049">
        <v>55</v>
      </c>
      <c r="D1049">
        <v>7</v>
      </c>
      <c r="E1049">
        <v>7</v>
      </c>
      <c r="F1049">
        <v>30</v>
      </c>
      <c r="G1049">
        <v>1</v>
      </c>
      <c r="H1049">
        <v>0</v>
      </c>
      <c r="I1049">
        <v>10</v>
      </c>
      <c r="J1049">
        <v>0</v>
      </c>
    </row>
    <row r="1050" spans="1:10" x14ac:dyDescent="0.25">
      <c r="A1050" s="1" t="s">
        <v>118</v>
      </c>
      <c r="B1050">
        <v>7172031004001600</v>
      </c>
      <c r="C1050">
        <v>47</v>
      </c>
      <c r="D1050">
        <v>0</v>
      </c>
      <c r="E1050">
        <v>0</v>
      </c>
      <c r="F1050">
        <v>47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1" t="s">
        <v>118</v>
      </c>
      <c r="B1051">
        <v>7172031004001500</v>
      </c>
      <c r="C1051">
        <v>28</v>
      </c>
      <c r="D1051">
        <v>0</v>
      </c>
      <c r="E1051">
        <v>0</v>
      </c>
      <c r="F1051">
        <v>28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s="1" t="s">
        <v>118</v>
      </c>
      <c r="B1052">
        <v>7172031004100200</v>
      </c>
      <c r="C1052">
        <v>2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s="1" t="s">
        <v>36</v>
      </c>
      <c r="B1053">
        <v>7172011003002401</v>
      </c>
      <c r="C1053">
        <v>148</v>
      </c>
      <c r="D1053">
        <v>0</v>
      </c>
      <c r="E1053">
        <v>10</v>
      </c>
      <c r="F1053">
        <v>132</v>
      </c>
      <c r="G1053">
        <v>0</v>
      </c>
      <c r="H1053">
        <v>0</v>
      </c>
      <c r="I1053">
        <v>6</v>
      </c>
      <c r="J1053">
        <v>0</v>
      </c>
    </row>
    <row r="1054" spans="1:10" x14ac:dyDescent="0.25">
      <c r="A1054" s="1" t="s">
        <v>36</v>
      </c>
      <c r="B1054">
        <v>7172011003002100</v>
      </c>
      <c r="C1054">
        <v>116</v>
      </c>
      <c r="D1054">
        <v>0</v>
      </c>
      <c r="E1054">
        <v>0</v>
      </c>
      <c r="F1054">
        <v>116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s="1" t="s">
        <v>36</v>
      </c>
      <c r="B1055">
        <v>7172011003002000</v>
      </c>
      <c r="C1055">
        <v>115</v>
      </c>
      <c r="D1055">
        <v>0</v>
      </c>
      <c r="E1055">
        <v>7</v>
      </c>
      <c r="F1055">
        <v>97</v>
      </c>
      <c r="G1055">
        <v>0</v>
      </c>
      <c r="H1055">
        <v>0</v>
      </c>
      <c r="I1055">
        <v>11</v>
      </c>
      <c r="J1055">
        <v>0</v>
      </c>
    </row>
    <row r="1056" spans="1:10" x14ac:dyDescent="0.25">
      <c r="A1056" s="1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s="1" t="s">
        <v>36</v>
      </c>
      <c r="B1057">
        <v>7172011003002200</v>
      </c>
      <c r="C1057">
        <v>55</v>
      </c>
      <c r="D1057">
        <v>0</v>
      </c>
      <c r="E1057">
        <v>0</v>
      </c>
      <c r="F1057">
        <v>55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s="1" t="s">
        <v>36</v>
      </c>
      <c r="B1058">
        <v>7172011003002402</v>
      </c>
      <c r="C1058">
        <v>20</v>
      </c>
      <c r="D1058">
        <v>0</v>
      </c>
      <c r="E1058">
        <v>0</v>
      </c>
      <c r="F1058">
        <v>20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workbookViewId="0">
      <selection activeCell="D3" sqref="D3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100</v>
      </c>
      <c r="D2">
        <v>0</v>
      </c>
      <c r="E2">
        <v>11</v>
      </c>
      <c r="F2">
        <v>44</v>
      </c>
      <c r="G2">
        <v>0</v>
      </c>
      <c r="H2">
        <v>0</v>
      </c>
      <c r="I2">
        <v>45</v>
      </c>
      <c r="J2">
        <v>0</v>
      </c>
    </row>
    <row r="3" spans="1:10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66</v>
      </c>
      <c r="D13">
        <v>0</v>
      </c>
      <c r="E13">
        <v>1</v>
      </c>
      <c r="F13">
        <v>53</v>
      </c>
      <c r="G13">
        <v>0</v>
      </c>
      <c r="H13">
        <v>0</v>
      </c>
      <c r="I13">
        <v>12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4</v>
      </c>
      <c r="F16">
        <v>4</v>
      </c>
      <c r="G16">
        <v>1</v>
      </c>
      <c r="H16">
        <v>0</v>
      </c>
      <c r="I16">
        <v>31</v>
      </c>
      <c r="J16">
        <v>0</v>
      </c>
    </row>
    <row r="17" spans="1:10" x14ac:dyDescent="0.25">
      <c r="A17" t="s">
        <v>13</v>
      </c>
      <c r="B17">
        <v>7172010010002100</v>
      </c>
      <c r="C17">
        <v>83</v>
      </c>
      <c r="D17">
        <v>7</v>
      </c>
      <c r="E17">
        <v>2</v>
      </c>
      <c r="F17">
        <v>13</v>
      </c>
      <c r="G17">
        <v>0</v>
      </c>
      <c r="H17">
        <v>0</v>
      </c>
      <c r="I17">
        <v>61</v>
      </c>
      <c r="J17">
        <v>0</v>
      </c>
    </row>
    <row r="18" spans="1:10" x14ac:dyDescent="0.25">
      <c r="A18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67</v>
      </c>
      <c r="D19">
        <v>0</v>
      </c>
      <c r="E19">
        <v>1</v>
      </c>
      <c r="F19">
        <v>62</v>
      </c>
      <c r="G19">
        <v>0</v>
      </c>
      <c r="H19">
        <v>0</v>
      </c>
      <c r="I19">
        <v>4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7172010012002000</v>
      </c>
      <c r="C35">
        <v>45</v>
      </c>
      <c r="D35">
        <v>0</v>
      </c>
      <c r="E35">
        <v>0</v>
      </c>
      <c r="F35">
        <v>45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7172010012001500</v>
      </c>
      <c r="C36">
        <v>43</v>
      </c>
      <c r="D36">
        <v>0</v>
      </c>
      <c r="E36">
        <v>0</v>
      </c>
      <c r="F36">
        <v>43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7172010012001700</v>
      </c>
      <c r="C37">
        <v>39</v>
      </c>
      <c r="D37">
        <v>0</v>
      </c>
      <c r="E37">
        <v>0</v>
      </c>
      <c r="F37">
        <v>39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0</v>
      </c>
      <c r="E39">
        <v>0</v>
      </c>
      <c r="F39">
        <v>0</v>
      </c>
      <c r="G39">
        <v>0</v>
      </c>
      <c r="H39">
        <v>0</v>
      </c>
      <c r="I39">
        <v>30</v>
      </c>
      <c r="J39">
        <v>0</v>
      </c>
    </row>
    <row r="40" spans="1:10" x14ac:dyDescent="0.25">
      <c r="A40" t="s">
        <v>16</v>
      </c>
      <c r="B40">
        <v>7172010012001900</v>
      </c>
      <c r="C40">
        <v>28</v>
      </c>
      <c r="D40">
        <v>0</v>
      </c>
      <c r="E40">
        <v>0</v>
      </c>
      <c r="F40">
        <v>28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16</v>
      </c>
      <c r="B41">
        <v>7172010012001600</v>
      </c>
      <c r="C41">
        <v>21</v>
      </c>
      <c r="D41">
        <v>0</v>
      </c>
      <c r="E41">
        <v>1</v>
      </c>
      <c r="F41">
        <v>5</v>
      </c>
      <c r="G41">
        <v>0</v>
      </c>
      <c r="H41">
        <v>0</v>
      </c>
      <c r="I41">
        <v>15</v>
      </c>
      <c r="J41">
        <v>0</v>
      </c>
    </row>
    <row r="42" spans="1:10" x14ac:dyDescent="0.25">
      <c r="A42" t="s">
        <v>17</v>
      </c>
      <c r="B42">
        <v>7172010015003300</v>
      </c>
      <c r="C42">
        <v>184</v>
      </c>
      <c r="D42">
        <v>0</v>
      </c>
      <c r="E42">
        <v>0</v>
      </c>
      <c r="F42">
        <v>184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7172010015003400</v>
      </c>
      <c r="C43">
        <v>170</v>
      </c>
      <c r="D43">
        <v>1</v>
      </c>
      <c r="E43">
        <v>10</v>
      </c>
      <c r="F43">
        <v>100</v>
      </c>
      <c r="G43">
        <v>0</v>
      </c>
      <c r="H43">
        <v>0</v>
      </c>
      <c r="I43">
        <v>59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5</v>
      </c>
      <c r="F49">
        <v>35</v>
      </c>
      <c r="G49">
        <v>0</v>
      </c>
      <c r="H49">
        <v>0</v>
      </c>
      <c r="I49">
        <v>51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7172010016002100</v>
      </c>
      <c r="C53">
        <v>56</v>
      </c>
      <c r="D53">
        <v>0</v>
      </c>
      <c r="E53">
        <v>0</v>
      </c>
      <c r="F53">
        <v>56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7172010016002000</v>
      </c>
      <c r="C54">
        <v>55</v>
      </c>
      <c r="D54">
        <v>0</v>
      </c>
      <c r="E54">
        <v>0</v>
      </c>
      <c r="F54">
        <v>55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7172010016001600</v>
      </c>
      <c r="C55">
        <v>48</v>
      </c>
      <c r="D55">
        <v>0</v>
      </c>
      <c r="E55">
        <v>0</v>
      </c>
      <c r="F55">
        <v>48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7172010016001400</v>
      </c>
      <c r="C56">
        <v>47</v>
      </c>
      <c r="D56">
        <v>0</v>
      </c>
      <c r="E56">
        <v>0</v>
      </c>
      <c r="F56">
        <v>47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7172010016002200</v>
      </c>
      <c r="C57">
        <v>46</v>
      </c>
      <c r="D57">
        <v>0</v>
      </c>
      <c r="E57">
        <v>5</v>
      </c>
      <c r="F57">
        <v>36</v>
      </c>
      <c r="G57">
        <v>0</v>
      </c>
      <c r="H57">
        <v>0</v>
      </c>
      <c r="I57">
        <v>5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136</v>
      </c>
      <c r="D59">
        <v>4</v>
      </c>
      <c r="E59">
        <v>3</v>
      </c>
      <c r="F59">
        <v>29</v>
      </c>
      <c r="G59">
        <v>21</v>
      </c>
      <c r="H59">
        <v>0</v>
      </c>
      <c r="I59">
        <v>79</v>
      </c>
      <c r="J59">
        <v>0</v>
      </c>
    </row>
    <row r="60" spans="1:10" x14ac:dyDescent="0.25">
      <c r="A60" t="s">
        <v>18</v>
      </c>
      <c r="B60">
        <v>7172010017001800</v>
      </c>
      <c r="C60">
        <v>82</v>
      </c>
      <c r="D60">
        <v>0</v>
      </c>
      <c r="E60">
        <v>0</v>
      </c>
      <c r="F60">
        <v>82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137</v>
      </c>
      <c r="D68">
        <v>1</v>
      </c>
      <c r="E68">
        <v>1</v>
      </c>
      <c r="F68">
        <v>66</v>
      </c>
      <c r="G68">
        <v>2</v>
      </c>
      <c r="H68">
        <v>0</v>
      </c>
      <c r="I68">
        <v>67</v>
      </c>
      <c r="J68">
        <v>0</v>
      </c>
    </row>
    <row r="69" spans="1:10" x14ac:dyDescent="0.25">
      <c r="A69" t="s">
        <v>22</v>
      </c>
      <c r="B69">
        <v>7172010015002100</v>
      </c>
      <c r="C69">
        <v>95</v>
      </c>
      <c r="D69">
        <v>0</v>
      </c>
      <c r="E69">
        <v>0</v>
      </c>
      <c r="F69">
        <v>95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22</v>
      </c>
      <c r="B70">
        <v>7172010015002301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7172010015002500</v>
      </c>
      <c r="C71">
        <v>87</v>
      </c>
      <c r="D71">
        <v>0</v>
      </c>
      <c r="E71">
        <v>3</v>
      </c>
      <c r="F71">
        <v>79</v>
      </c>
      <c r="G71">
        <v>0</v>
      </c>
      <c r="H71">
        <v>0</v>
      </c>
      <c r="I71">
        <v>5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93</v>
      </c>
      <c r="D76">
        <v>2</v>
      </c>
      <c r="E76">
        <v>30</v>
      </c>
      <c r="F76">
        <v>34</v>
      </c>
      <c r="G76">
        <v>0</v>
      </c>
      <c r="H76">
        <v>0</v>
      </c>
      <c r="I76">
        <v>27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151</v>
      </c>
      <c r="D87">
        <v>40</v>
      </c>
      <c r="E87">
        <v>37</v>
      </c>
      <c r="F87">
        <v>63</v>
      </c>
      <c r="G87">
        <v>11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100</v>
      </c>
      <c r="D96">
        <v>0</v>
      </c>
      <c r="E96">
        <v>0</v>
      </c>
      <c r="F96">
        <v>19</v>
      </c>
      <c r="G96">
        <v>1</v>
      </c>
      <c r="H96">
        <v>0</v>
      </c>
      <c r="I96">
        <v>80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48</v>
      </c>
      <c r="D99">
        <v>0</v>
      </c>
      <c r="E99">
        <v>0</v>
      </c>
      <c r="F99">
        <v>33</v>
      </c>
      <c r="G99">
        <v>0</v>
      </c>
      <c r="H99">
        <v>0</v>
      </c>
      <c r="I99">
        <v>15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43</v>
      </c>
      <c r="D101">
        <v>0</v>
      </c>
      <c r="E101">
        <v>0</v>
      </c>
      <c r="F101">
        <v>42</v>
      </c>
      <c r="G101">
        <v>0</v>
      </c>
      <c r="H101">
        <v>0</v>
      </c>
      <c r="I101">
        <v>1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94</v>
      </c>
      <c r="D105">
        <v>0</v>
      </c>
      <c r="E105">
        <v>13</v>
      </c>
      <c r="F105">
        <v>57</v>
      </c>
      <c r="G105">
        <v>0</v>
      </c>
      <c r="H105">
        <v>0</v>
      </c>
      <c r="I105">
        <v>24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108</v>
      </c>
      <c r="D112">
        <v>17</v>
      </c>
      <c r="E112">
        <v>23</v>
      </c>
      <c r="F112">
        <v>38</v>
      </c>
      <c r="G112">
        <v>1</v>
      </c>
      <c r="H112">
        <v>0</v>
      </c>
      <c r="I112">
        <v>29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7172011014001701</v>
      </c>
      <c r="C114">
        <v>64</v>
      </c>
      <c r="D114">
        <v>0</v>
      </c>
      <c r="E114">
        <v>0</v>
      </c>
      <c r="F114">
        <v>64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7172011014001500</v>
      </c>
      <c r="C115">
        <v>63</v>
      </c>
      <c r="D115">
        <v>0</v>
      </c>
      <c r="E115">
        <v>3</v>
      </c>
      <c r="F115">
        <v>59</v>
      </c>
      <c r="G115">
        <v>0</v>
      </c>
      <c r="H115">
        <v>0</v>
      </c>
      <c r="I115">
        <v>1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0</v>
      </c>
      <c r="E122">
        <v>0</v>
      </c>
      <c r="F122">
        <v>21</v>
      </c>
      <c r="G122">
        <v>0</v>
      </c>
      <c r="H122">
        <v>0</v>
      </c>
      <c r="I122">
        <v>38</v>
      </c>
      <c r="J122">
        <v>0</v>
      </c>
    </row>
    <row r="123" spans="1:10" x14ac:dyDescent="0.25">
      <c r="A123" t="s">
        <v>45</v>
      </c>
      <c r="B123">
        <v>7172011013000200</v>
      </c>
      <c r="C123">
        <v>47</v>
      </c>
      <c r="D123">
        <v>0</v>
      </c>
      <c r="E123">
        <v>0</v>
      </c>
      <c r="F123">
        <v>40</v>
      </c>
      <c r="G123">
        <v>0</v>
      </c>
      <c r="H123">
        <v>0</v>
      </c>
      <c r="I123">
        <v>7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111</v>
      </c>
      <c r="D126">
        <v>0</v>
      </c>
      <c r="E126">
        <v>11</v>
      </c>
      <c r="F126">
        <v>80</v>
      </c>
      <c r="G126">
        <v>0</v>
      </c>
      <c r="H126">
        <v>0</v>
      </c>
      <c r="I126">
        <v>20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156</v>
      </c>
      <c r="D131">
        <v>0</v>
      </c>
      <c r="E131">
        <v>24</v>
      </c>
      <c r="F131">
        <v>88</v>
      </c>
      <c r="G131">
        <v>0</v>
      </c>
      <c r="H131">
        <v>0</v>
      </c>
      <c r="I131">
        <v>44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220</v>
      </c>
      <c r="D137">
        <v>0</v>
      </c>
      <c r="E137">
        <v>5</v>
      </c>
      <c r="F137">
        <v>147</v>
      </c>
      <c r="G137">
        <v>0</v>
      </c>
      <c r="H137">
        <v>0</v>
      </c>
      <c r="I137">
        <v>68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211</v>
      </c>
      <c r="D140">
        <v>66</v>
      </c>
      <c r="E140">
        <v>25</v>
      </c>
      <c r="F140">
        <v>77</v>
      </c>
      <c r="G140">
        <v>19</v>
      </c>
      <c r="H140">
        <v>0</v>
      </c>
      <c r="I140">
        <v>24</v>
      </c>
      <c r="J140">
        <v>0</v>
      </c>
    </row>
    <row r="141" spans="1:10" x14ac:dyDescent="0.25">
      <c r="A14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79</v>
      </c>
      <c r="D147">
        <v>0</v>
      </c>
      <c r="E147">
        <v>0</v>
      </c>
      <c r="F147">
        <v>79</v>
      </c>
      <c r="G147">
        <v>0</v>
      </c>
      <c r="H147">
        <v>0</v>
      </c>
      <c r="I147">
        <v>0</v>
      </c>
      <c r="J147">
        <v>0</v>
      </c>
    </row>
    <row r="148" spans="1:10" x14ac:dyDescent="0.25">
      <c r="A148" t="s">
        <v>46</v>
      </c>
      <c r="B148">
        <v>7172011013000900</v>
      </c>
      <c r="C148">
        <v>78</v>
      </c>
      <c r="D148">
        <v>2</v>
      </c>
      <c r="E148">
        <v>13</v>
      </c>
      <c r="F148">
        <v>29</v>
      </c>
      <c r="G148">
        <v>29</v>
      </c>
      <c r="H148">
        <v>0</v>
      </c>
      <c r="I148">
        <v>5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39</v>
      </c>
      <c r="D154">
        <v>0</v>
      </c>
      <c r="E154">
        <v>0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125</v>
      </c>
      <c r="D161">
        <v>0</v>
      </c>
      <c r="E161">
        <v>3</v>
      </c>
      <c r="F161">
        <v>119</v>
      </c>
      <c r="G161">
        <v>0</v>
      </c>
      <c r="H161">
        <v>0</v>
      </c>
      <c r="I161">
        <v>3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</v>
      </c>
      <c r="E164">
        <v>21</v>
      </c>
      <c r="F164">
        <v>40</v>
      </c>
      <c r="G164">
        <v>17</v>
      </c>
      <c r="H164">
        <v>0</v>
      </c>
      <c r="I164">
        <v>18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0</v>
      </c>
      <c r="E167">
        <v>11</v>
      </c>
      <c r="F167">
        <v>107</v>
      </c>
      <c r="G167">
        <v>1</v>
      </c>
      <c r="H167">
        <v>0</v>
      </c>
      <c r="I167">
        <v>31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94</v>
      </c>
      <c r="D170">
        <v>0</v>
      </c>
      <c r="E170">
        <v>10</v>
      </c>
      <c r="F170">
        <v>75</v>
      </c>
      <c r="G170">
        <v>0</v>
      </c>
      <c r="H170">
        <v>0</v>
      </c>
      <c r="I170">
        <v>9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88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44</v>
      </c>
      <c r="B172">
        <v>7172011012000700</v>
      </c>
      <c r="C172">
        <v>123</v>
      </c>
      <c r="D172">
        <v>0</v>
      </c>
      <c r="E172">
        <v>0</v>
      </c>
      <c r="F172">
        <v>93</v>
      </c>
      <c r="G172">
        <v>0</v>
      </c>
      <c r="H172">
        <v>0</v>
      </c>
      <c r="I172">
        <v>30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9</v>
      </c>
      <c r="F182">
        <v>44</v>
      </c>
      <c r="G182">
        <v>0</v>
      </c>
      <c r="H182">
        <v>0</v>
      </c>
      <c r="I182">
        <v>57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7172012002000300</v>
      </c>
      <c r="C186">
        <v>69</v>
      </c>
      <c r="D186">
        <v>0</v>
      </c>
      <c r="E186">
        <v>0</v>
      </c>
      <c r="F186">
        <v>69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123</v>
      </c>
      <c r="D187">
        <v>0</v>
      </c>
      <c r="E187">
        <v>0</v>
      </c>
      <c r="F187">
        <v>117</v>
      </c>
      <c r="G187">
        <v>0</v>
      </c>
      <c r="H187">
        <v>0</v>
      </c>
      <c r="I187">
        <v>6</v>
      </c>
      <c r="J187">
        <v>0</v>
      </c>
    </row>
    <row r="188" spans="1:10" x14ac:dyDescent="0.25">
      <c r="A188" t="s">
        <v>229</v>
      </c>
      <c r="B188">
        <v>7172012002001500</v>
      </c>
      <c r="C188">
        <v>111</v>
      </c>
      <c r="D188">
        <v>0</v>
      </c>
      <c r="E188">
        <v>0</v>
      </c>
      <c r="F188">
        <v>111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7172012002001302</v>
      </c>
      <c r="C189">
        <v>107</v>
      </c>
      <c r="D189">
        <v>0</v>
      </c>
      <c r="E189">
        <v>15</v>
      </c>
      <c r="F189">
        <v>48</v>
      </c>
      <c r="G189">
        <v>0</v>
      </c>
      <c r="H189">
        <v>0</v>
      </c>
      <c r="I189">
        <v>44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173</v>
      </c>
      <c r="D193">
        <v>0</v>
      </c>
      <c r="E193">
        <v>12</v>
      </c>
      <c r="F193">
        <v>93</v>
      </c>
      <c r="G193">
        <v>0</v>
      </c>
      <c r="H193">
        <v>0</v>
      </c>
      <c r="I193">
        <v>68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7172012004001600</v>
      </c>
      <c r="C199">
        <v>148</v>
      </c>
      <c r="D199">
        <v>0</v>
      </c>
      <c r="E199">
        <v>0</v>
      </c>
      <c r="F199">
        <v>148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62</v>
      </c>
      <c r="B200">
        <v>7172012004001801</v>
      </c>
      <c r="C200">
        <v>134</v>
      </c>
      <c r="D200">
        <v>0</v>
      </c>
      <c r="E200">
        <v>0</v>
      </c>
      <c r="F200">
        <v>134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62</v>
      </c>
      <c r="B201">
        <v>7172012004001702</v>
      </c>
      <c r="C201">
        <v>127</v>
      </c>
      <c r="D201">
        <v>0</v>
      </c>
      <c r="E201">
        <v>9</v>
      </c>
      <c r="F201">
        <v>83</v>
      </c>
      <c r="G201">
        <v>13</v>
      </c>
      <c r="H201">
        <v>0</v>
      </c>
      <c r="I201">
        <v>22</v>
      </c>
      <c r="J201">
        <v>0</v>
      </c>
    </row>
    <row r="202" spans="1:10" x14ac:dyDescent="0.25">
      <c r="A202" t="s">
        <v>62</v>
      </c>
      <c r="B202">
        <v>7172012004001500</v>
      </c>
      <c r="C202">
        <v>106</v>
      </c>
      <c r="D202">
        <v>0</v>
      </c>
      <c r="E202">
        <v>0</v>
      </c>
      <c r="F202">
        <v>106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62</v>
      </c>
      <c r="B203">
        <v>7172012004001300</v>
      </c>
      <c r="C203">
        <v>70</v>
      </c>
      <c r="D203">
        <v>0</v>
      </c>
      <c r="E203">
        <v>0</v>
      </c>
      <c r="F203">
        <v>70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62</v>
      </c>
      <c r="B204">
        <v>7172012004001203</v>
      </c>
      <c r="C204">
        <v>55</v>
      </c>
      <c r="D204">
        <v>0</v>
      </c>
      <c r="E204">
        <v>0</v>
      </c>
      <c r="F204">
        <v>55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60</v>
      </c>
      <c r="B205">
        <v>7172012004001900</v>
      </c>
      <c r="C205">
        <v>171</v>
      </c>
      <c r="D205">
        <v>1</v>
      </c>
      <c r="E205">
        <v>11</v>
      </c>
      <c r="F205">
        <v>100</v>
      </c>
      <c r="G205">
        <v>0</v>
      </c>
      <c r="H205">
        <v>0</v>
      </c>
      <c r="I205">
        <v>59</v>
      </c>
      <c r="J205">
        <v>0</v>
      </c>
    </row>
    <row r="206" spans="1:10" x14ac:dyDescent="0.25">
      <c r="A206" t="s">
        <v>60</v>
      </c>
      <c r="B206">
        <v>7172012004000900</v>
      </c>
      <c r="C206">
        <v>136</v>
      </c>
      <c r="D206">
        <v>0</v>
      </c>
      <c r="E206">
        <v>0</v>
      </c>
      <c r="F206">
        <v>136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60</v>
      </c>
      <c r="B207">
        <v>7172012004001802</v>
      </c>
      <c r="C207">
        <v>107</v>
      </c>
      <c r="D207">
        <v>0</v>
      </c>
      <c r="E207">
        <v>0</v>
      </c>
      <c r="F207">
        <v>107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60</v>
      </c>
      <c r="B208">
        <v>7172012004002101</v>
      </c>
      <c r="C208">
        <v>104</v>
      </c>
      <c r="D208">
        <v>0</v>
      </c>
      <c r="E208">
        <v>0</v>
      </c>
      <c r="F208">
        <v>104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60</v>
      </c>
      <c r="B209">
        <v>7172012004001400</v>
      </c>
      <c r="C209">
        <v>86</v>
      </c>
      <c r="D209">
        <v>0</v>
      </c>
      <c r="E209">
        <v>5</v>
      </c>
      <c r="F209">
        <v>80</v>
      </c>
      <c r="G209">
        <v>0</v>
      </c>
      <c r="H209">
        <v>0</v>
      </c>
      <c r="I209">
        <v>1</v>
      </c>
      <c r="J209">
        <v>0</v>
      </c>
    </row>
    <row r="210" spans="1:10" x14ac:dyDescent="0.25">
      <c r="A210" t="s">
        <v>63</v>
      </c>
      <c r="B210">
        <v>7172012004001701</v>
      </c>
      <c r="C210">
        <v>301</v>
      </c>
      <c r="D210">
        <v>0</v>
      </c>
      <c r="E210">
        <v>12</v>
      </c>
      <c r="F210">
        <v>262</v>
      </c>
      <c r="G210">
        <v>0</v>
      </c>
      <c r="H210">
        <v>0</v>
      </c>
      <c r="I210">
        <v>27</v>
      </c>
      <c r="J210">
        <v>0</v>
      </c>
    </row>
    <row r="211" spans="1:10" x14ac:dyDescent="0.25">
      <c r="A211" t="s">
        <v>63</v>
      </c>
      <c r="B211">
        <v>7172012004002000</v>
      </c>
      <c r="C211">
        <v>165</v>
      </c>
      <c r="D211">
        <v>0</v>
      </c>
      <c r="E211">
        <v>1</v>
      </c>
      <c r="F211">
        <v>163</v>
      </c>
      <c r="G211">
        <v>0</v>
      </c>
      <c r="H211">
        <v>0</v>
      </c>
      <c r="I211">
        <v>1</v>
      </c>
      <c r="J211">
        <v>0</v>
      </c>
    </row>
    <row r="212" spans="1:10" x14ac:dyDescent="0.25">
      <c r="A212" t="s">
        <v>63</v>
      </c>
      <c r="B212">
        <v>7172012004002102</v>
      </c>
      <c r="C212">
        <v>62</v>
      </c>
      <c r="D212">
        <v>0</v>
      </c>
      <c r="E212">
        <v>0</v>
      </c>
      <c r="F212">
        <v>62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63</v>
      </c>
      <c r="B213">
        <v>7172012004002402</v>
      </c>
      <c r="C213">
        <v>10</v>
      </c>
      <c r="D213">
        <v>0</v>
      </c>
      <c r="E213">
        <v>0</v>
      </c>
      <c r="F213">
        <v>10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64</v>
      </c>
      <c r="B214">
        <v>7172012004002300</v>
      </c>
      <c r="C214">
        <v>177</v>
      </c>
      <c r="D214">
        <v>0</v>
      </c>
      <c r="E214">
        <v>0</v>
      </c>
      <c r="F214">
        <v>177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64</v>
      </c>
      <c r="B215">
        <v>7172012004002200</v>
      </c>
      <c r="C215">
        <v>162</v>
      </c>
      <c r="D215">
        <v>0</v>
      </c>
      <c r="E215">
        <v>16</v>
      </c>
      <c r="F215">
        <v>88</v>
      </c>
      <c r="G215">
        <v>0</v>
      </c>
      <c r="H215">
        <v>0</v>
      </c>
      <c r="I215">
        <v>58</v>
      </c>
      <c r="J215">
        <v>0</v>
      </c>
    </row>
    <row r="216" spans="1:10" x14ac:dyDescent="0.25">
      <c r="A216" t="s">
        <v>64</v>
      </c>
      <c r="B216">
        <v>7172012004002500</v>
      </c>
      <c r="C216">
        <v>143</v>
      </c>
      <c r="D216">
        <v>0</v>
      </c>
      <c r="E216">
        <v>0</v>
      </c>
      <c r="F216">
        <v>143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64</v>
      </c>
      <c r="B217">
        <v>7172012004002401</v>
      </c>
      <c r="C217">
        <v>112</v>
      </c>
      <c r="D217">
        <v>0</v>
      </c>
      <c r="E217">
        <v>0</v>
      </c>
      <c r="F217">
        <v>112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7172012005000900</v>
      </c>
      <c r="C218">
        <v>134</v>
      </c>
      <c r="D218">
        <v>0</v>
      </c>
      <c r="E218">
        <v>0</v>
      </c>
      <c r="F218">
        <v>134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7172012004002600</v>
      </c>
      <c r="C219">
        <v>114</v>
      </c>
      <c r="D219">
        <v>0</v>
      </c>
      <c r="E219">
        <v>12</v>
      </c>
      <c r="F219">
        <v>72</v>
      </c>
      <c r="G219">
        <v>0</v>
      </c>
      <c r="H219">
        <v>0</v>
      </c>
      <c r="I219">
        <v>30</v>
      </c>
      <c r="J219">
        <v>0</v>
      </c>
    </row>
    <row r="220" spans="1:10" x14ac:dyDescent="0.25">
      <c r="A220" t="s">
        <v>65</v>
      </c>
      <c r="B220">
        <v>7172012005000100</v>
      </c>
      <c r="C220">
        <v>88</v>
      </c>
      <c r="D220">
        <v>0</v>
      </c>
      <c r="E220">
        <v>0</v>
      </c>
      <c r="F220">
        <v>88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65</v>
      </c>
      <c r="B221">
        <v>7172012005001000</v>
      </c>
      <c r="C221">
        <v>69</v>
      </c>
      <c r="D221">
        <v>0</v>
      </c>
      <c r="E221">
        <v>0</v>
      </c>
      <c r="F221">
        <v>69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65</v>
      </c>
      <c r="B222">
        <v>7172012005001100</v>
      </c>
      <c r="C222">
        <v>68</v>
      </c>
      <c r="D222">
        <v>0</v>
      </c>
      <c r="E222">
        <v>0</v>
      </c>
      <c r="F222">
        <v>68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65</v>
      </c>
      <c r="B223">
        <v>7172012004002403</v>
      </c>
      <c r="C223">
        <v>51</v>
      </c>
      <c r="D223">
        <v>0</v>
      </c>
      <c r="E223">
        <v>0</v>
      </c>
      <c r="F223">
        <v>51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65</v>
      </c>
      <c r="B224">
        <v>7172012005000200</v>
      </c>
      <c r="C224">
        <v>43</v>
      </c>
      <c r="D224">
        <v>0</v>
      </c>
      <c r="E224">
        <v>0</v>
      </c>
      <c r="F224">
        <v>43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7172012006001600</v>
      </c>
      <c r="C225">
        <v>77</v>
      </c>
      <c r="D225">
        <v>0</v>
      </c>
      <c r="E225">
        <v>6</v>
      </c>
      <c r="F225">
        <v>58</v>
      </c>
      <c r="G225">
        <v>0</v>
      </c>
      <c r="H225">
        <v>0</v>
      </c>
      <c r="I225">
        <v>13</v>
      </c>
      <c r="J225">
        <v>0</v>
      </c>
    </row>
    <row r="226" spans="1:10" x14ac:dyDescent="0.25">
      <c r="A226" t="s">
        <v>70</v>
      </c>
      <c r="B226">
        <v>7172012006001300</v>
      </c>
      <c r="C226">
        <v>76</v>
      </c>
      <c r="D226">
        <v>0</v>
      </c>
      <c r="E226">
        <v>0</v>
      </c>
      <c r="F226">
        <v>76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7172012006001500</v>
      </c>
      <c r="C227">
        <v>76</v>
      </c>
      <c r="D227">
        <v>0</v>
      </c>
      <c r="E227">
        <v>0</v>
      </c>
      <c r="F227">
        <v>76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70</v>
      </c>
      <c r="B228">
        <v>7172012006000902</v>
      </c>
      <c r="C228">
        <v>75</v>
      </c>
      <c r="D228">
        <v>0</v>
      </c>
      <c r="E228">
        <v>0</v>
      </c>
      <c r="F228">
        <v>75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70</v>
      </c>
      <c r="B229">
        <v>7172012006001000</v>
      </c>
      <c r="C229">
        <v>71</v>
      </c>
      <c r="D229">
        <v>0</v>
      </c>
      <c r="E229">
        <v>3</v>
      </c>
      <c r="F229">
        <v>67</v>
      </c>
      <c r="G229">
        <v>0</v>
      </c>
      <c r="H229">
        <v>0</v>
      </c>
      <c r="I229">
        <v>1</v>
      </c>
      <c r="J229">
        <v>0</v>
      </c>
    </row>
    <row r="230" spans="1:10" x14ac:dyDescent="0.25">
      <c r="A230" t="s">
        <v>70</v>
      </c>
      <c r="B230">
        <v>7172012006001200</v>
      </c>
      <c r="C230">
        <v>69</v>
      </c>
      <c r="D230">
        <v>0</v>
      </c>
      <c r="E230">
        <v>0</v>
      </c>
      <c r="F230">
        <v>69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70</v>
      </c>
      <c r="B231">
        <v>7172012006000903</v>
      </c>
      <c r="C231">
        <v>66</v>
      </c>
      <c r="D231">
        <v>0</v>
      </c>
      <c r="E231">
        <v>0</v>
      </c>
      <c r="F231">
        <v>66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70</v>
      </c>
      <c r="B232">
        <v>7172012006001100</v>
      </c>
      <c r="C232">
        <v>49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49</v>
      </c>
      <c r="J232">
        <v>0</v>
      </c>
    </row>
    <row r="233" spans="1:10" x14ac:dyDescent="0.25">
      <c r="A233" t="s">
        <v>67</v>
      </c>
      <c r="B233">
        <v>7172012005001400</v>
      </c>
      <c r="C233">
        <v>114</v>
      </c>
      <c r="D233">
        <v>0</v>
      </c>
      <c r="E233">
        <v>0</v>
      </c>
      <c r="F233">
        <v>114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67</v>
      </c>
      <c r="B234">
        <v>7172012005001500</v>
      </c>
      <c r="C234">
        <v>102</v>
      </c>
      <c r="D234">
        <v>0</v>
      </c>
      <c r="E234">
        <v>0</v>
      </c>
      <c r="F234">
        <v>102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7172012005001700</v>
      </c>
      <c r="C235">
        <v>82</v>
      </c>
      <c r="D235">
        <v>0</v>
      </c>
      <c r="E235">
        <v>0</v>
      </c>
      <c r="F235">
        <v>82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67</v>
      </c>
      <c r="B236">
        <v>7172012005001800</v>
      </c>
      <c r="C236">
        <v>60</v>
      </c>
      <c r="D236">
        <v>0</v>
      </c>
      <c r="E236">
        <v>1</v>
      </c>
      <c r="F236">
        <v>59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67</v>
      </c>
      <c r="B237">
        <v>7172012005001600</v>
      </c>
      <c r="C237">
        <v>56</v>
      </c>
      <c r="D237">
        <v>0</v>
      </c>
      <c r="E237">
        <v>4</v>
      </c>
      <c r="F237">
        <v>17</v>
      </c>
      <c r="G237">
        <v>0</v>
      </c>
      <c r="H237">
        <v>0</v>
      </c>
      <c r="I237">
        <v>35</v>
      </c>
      <c r="J237">
        <v>0</v>
      </c>
    </row>
    <row r="238" spans="1:10" x14ac:dyDescent="0.25">
      <c r="A238" t="s">
        <v>67</v>
      </c>
      <c r="B238">
        <v>7172012005001300</v>
      </c>
      <c r="C238">
        <v>54</v>
      </c>
      <c r="D238">
        <v>0</v>
      </c>
      <c r="E238">
        <v>4</v>
      </c>
      <c r="F238">
        <v>8</v>
      </c>
      <c r="G238">
        <v>1</v>
      </c>
      <c r="H238">
        <v>0</v>
      </c>
      <c r="I238">
        <v>41</v>
      </c>
      <c r="J238">
        <v>0</v>
      </c>
    </row>
    <row r="239" spans="1:10" x14ac:dyDescent="0.25">
      <c r="A239" t="s">
        <v>67</v>
      </c>
      <c r="B239">
        <v>7172012005001200</v>
      </c>
      <c r="C239">
        <v>52</v>
      </c>
      <c r="D239">
        <v>0</v>
      </c>
      <c r="E239">
        <v>11</v>
      </c>
      <c r="F239">
        <v>41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67</v>
      </c>
      <c r="B240">
        <v>7172012005000800</v>
      </c>
      <c r="C240">
        <v>36</v>
      </c>
      <c r="D240">
        <v>0</v>
      </c>
      <c r="E240">
        <v>1</v>
      </c>
      <c r="F240">
        <v>35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67</v>
      </c>
      <c r="B241">
        <v>7172012005000700</v>
      </c>
      <c r="C241">
        <v>23</v>
      </c>
      <c r="D241">
        <v>0</v>
      </c>
      <c r="E241">
        <v>2</v>
      </c>
      <c r="F241">
        <v>18</v>
      </c>
      <c r="G241">
        <v>0</v>
      </c>
      <c r="H241">
        <v>0</v>
      </c>
      <c r="I241">
        <v>3</v>
      </c>
      <c r="J241">
        <v>0</v>
      </c>
    </row>
    <row r="242" spans="1:10" x14ac:dyDescent="0.25">
      <c r="A242" t="s">
        <v>230</v>
      </c>
      <c r="B242">
        <v>7172012007000700</v>
      </c>
      <c r="C242">
        <v>167</v>
      </c>
      <c r="D242">
        <v>0</v>
      </c>
      <c r="E242">
        <v>0</v>
      </c>
      <c r="F242">
        <v>167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230</v>
      </c>
      <c r="B243">
        <v>7172012007000600</v>
      </c>
      <c r="C243">
        <v>164</v>
      </c>
      <c r="D243">
        <v>0</v>
      </c>
      <c r="E243">
        <v>0</v>
      </c>
      <c r="F243">
        <v>164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230</v>
      </c>
      <c r="B244">
        <v>7172012007000300</v>
      </c>
      <c r="C244">
        <v>111</v>
      </c>
      <c r="D244">
        <v>0</v>
      </c>
      <c r="E244">
        <v>18</v>
      </c>
      <c r="F244">
        <v>53</v>
      </c>
      <c r="G244">
        <v>0</v>
      </c>
      <c r="H244">
        <v>0</v>
      </c>
      <c r="I244">
        <v>40</v>
      </c>
      <c r="J244">
        <v>0</v>
      </c>
    </row>
    <row r="245" spans="1:10" x14ac:dyDescent="0.25">
      <c r="A245" t="s">
        <v>230</v>
      </c>
      <c r="B245">
        <v>7172012007000200</v>
      </c>
      <c r="C245">
        <v>93</v>
      </c>
      <c r="D245">
        <v>0</v>
      </c>
      <c r="E245">
        <v>0</v>
      </c>
      <c r="F245">
        <v>93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230</v>
      </c>
      <c r="B246">
        <v>7172012007000400</v>
      </c>
      <c r="C246">
        <v>89</v>
      </c>
      <c r="D246">
        <v>0</v>
      </c>
      <c r="E246">
        <v>0</v>
      </c>
      <c r="F246">
        <v>89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72</v>
      </c>
      <c r="B247">
        <v>7172012007001100</v>
      </c>
      <c r="C247">
        <v>166</v>
      </c>
      <c r="D247">
        <v>0</v>
      </c>
      <c r="E247">
        <v>0</v>
      </c>
      <c r="F247">
        <v>166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72</v>
      </c>
      <c r="B248">
        <v>7172012007000800</v>
      </c>
      <c r="C248">
        <v>116</v>
      </c>
      <c r="D248">
        <v>0</v>
      </c>
      <c r="E248">
        <v>3</v>
      </c>
      <c r="F248">
        <v>111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72</v>
      </c>
      <c r="B249">
        <v>7172012007000900</v>
      </c>
      <c r="C249">
        <v>105</v>
      </c>
      <c r="D249">
        <v>0</v>
      </c>
      <c r="E249">
        <v>12</v>
      </c>
      <c r="F249">
        <v>31</v>
      </c>
      <c r="G249">
        <v>0</v>
      </c>
      <c r="H249">
        <v>0</v>
      </c>
      <c r="I249">
        <v>62</v>
      </c>
      <c r="J249">
        <v>0</v>
      </c>
    </row>
    <row r="250" spans="1:10" x14ac:dyDescent="0.25">
      <c r="A250" t="s">
        <v>72</v>
      </c>
      <c r="B250">
        <v>7172012007000500</v>
      </c>
      <c r="C250">
        <v>84</v>
      </c>
      <c r="D250">
        <v>0</v>
      </c>
      <c r="E250">
        <v>0</v>
      </c>
      <c r="F250">
        <v>84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72</v>
      </c>
      <c r="B251">
        <v>7172012007001000</v>
      </c>
      <c r="C251">
        <v>84</v>
      </c>
      <c r="D251">
        <v>0</v>
      </c>
      <c r="E251">
        <v>0</v>
      </c>
      <c r="F251">
        <v>84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7172021003000800</v>
      </c>
      <c r="C252">
        <v>94</v>
      </c>
      <c r="D252">
        <v>0</v>
      </c>
      <c r="E252">
        <v>0</v>
      </c>
      <c r="F252">
        <v>94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75</v>
      </c>
      <c r="B253">
        <v>7172021003001100</v>
      </c>
      <c r="C253">
        <v>91</v>
      </c>
      <c r="D253">
        <v>0</v>
      </c>
      <c r="E253">
        <v>0</v>
      </c>
      <c r="F253">
        <v>91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75</v>
      </c>
      <c r="B254">
        <v>7172021006000100</v>
      </c>
      <c r="C254">
        <v>90</v>
      </c>
      <c r="D254">
        <v>0</v>
      </c>
      <c r="E254">
        <v>0</v>
      </c>
      <c r="F254">
        <v>90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75</v>
      </c>
      <c r="B255">
        <v>7172021003000900</v>
      </c>
      <c r="C255">
        <v>57</v>
      </c>
      <c r="D255">
        <v>0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75</v>
      </c>
      <c r="B256">
        <v>7172021003001000</v>
      </c>
      <c r="C256">
        <v>57</v>
      </c>
      <c r="D256">
        <v>0</v>
      </c>
      <c r="E256">
        <v>14</v>
      </c>
      <c r="F256">
        <v>40</v>
      </c>
      <c r="G256">
        <v>1</v>
      </c>
      <c r="H256">
        <v>0</v>
      </c>
      <c r="I256">
        <v>2</v>
      </c>
      <c r="J256">
        <v>0</v>
      </c>
    </row>
    <row r="257" spans="1:10" x14ac:dyDescent="0.25">
      <c r="A257" t="s">
        <v>75</v>
      </c>
      <c r="B257">
        <v>7172021002000400</v>
      </c>
      <c r="C257">
        <v>34</v>
      </c>
      <c r="D257">
        <v>7</v>
      </c>
      <c r="E257">
        <v>1</v>
      </c>
      <c r="F257">
        <v>12</v>
      </c>
      <c r="G257">
        <v>1</v>
      </c>
      <c r="H257">
        <v>0</v>
      </c>
      <c r="I257">
        <v>13</v>
      </c>
      <c r="J257">
        <v>0</v>
      </c>
    </row>
    <row r="258" spans="1:10" x14ac:dyDescent="0.25">
      <c r="A258" t="s">
        <v>75</v>
      </c>
      <c r="B258">
        <v>7172021006000700</v>
      </c>
      <c r="C258">
        <v>25</v>
      </c>
      <c r="D258">
        <v>0</v>
      </c>
      <c r="E258">
        <v>1</v>
      </c>
      <c r="F258">
        <v>24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7172021003000100</v>
      </c>
      <c r="C259">
        <v>99</v>
      </c>
      <c r="D259">
        <v>0</v>
      </c>
      <c r="E259">
        <v>0</v>
      </c>
      <c r="F259">
        <v>99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231</v>
      </c>
      <c r="B260">
        <v>7172021003001200</v>
      </c>
      <c r="C260">
        <v>69</v>
      </c>
      <c r="D260">
        <v>0</v>
      </c>
      <c r="E260">
        <v>0</v>
      </c>
      <c r="F260">
        <v>69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231</v>
      </c>
      <c r="B261">
        <v>7172021003000300</v>
      </c>
      <c r="C261">
        <v>67</v>
      </c>
      <c r="D261">
        <v>0</v>
      </c>
      <c r="E261">
        <v>0</v>
      </c>
      <c r="F261">
        <v>67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231</v>
      </c>
      <c r="B262">
        <v>7172021006001900</v>
      </c>
      <c r="C262">
        <v>67</v>
      </c>
      <c r="D262">
        <v>0</v>
      </c>
      <c r="E262">
        <v>0</v>
      </c>
      <c r="F262">
        <v>67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231</v>
      </c>
      <c r="B263">
        <v>7172021002000600</v>
      </c>
      <c r="C263">
        <v>62</v>
      </c>
      <c r="D263">
        <v>4</v>
      </c>
      <c r="E263">
        <v>30</v>
      </c>
      <c r="F263">
        <v>13</v>
      </c>
      <c r="G263">
        <v>0</v>
      </c>
      <c r="H263">
        <v>0</v>
      </c>
      <c r="I263">
        <v>15</v>
      </c>
      <c r="J263">
        <v>0</v>
      </c>
    </row>
    <row r="264" spans="1:10" x14ac:dyDescent="0.25">
      <c r="A264" t="s">
        <v>231</v>
      </c>
      <c r="B264">
        <v>7172021006002100</v>
      </c>
      <c r="C264">
        <v>52</v>
      </c>
      <c r="D264">
        <v>0</v>
      </c>
      <c r="E264">
        <v>0</v>
      </c>
      <c r="F264">
        <v>52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231</v>
      </c>
      <c r="B265">
        <v>7172021006002000</v>
      </c>
      <c r="C265">
        <v>51</v>
      </c>
      <c r="D265">
        <v>0</v>
      </c>
      <c r="E265">
        <v>0</v>
      </c>
      <c r="F265">
        <v>51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7172021002000500</v>
      </c>
      <c r="C266">
        <v>97</v>
      </c>
      <c r="D266">
        <v>7</v>
      </c>
      <c r="E266">
        <v>1</v>
      </c>
      <c r="F266">
        <v>85</v>
      </c>
      <c r="G266">
        <v>0</v>
      </c>
      <c r="H266">
        <v>0</v>
      </c>
      <c r="I266">
        <v>4</v>
      </c>
      <c r="J266">
        <v>0</v>
      </c>
    </row>
    <row r="267" spans="1:10" x14ac:dyDescent="0.25">
      <c r="A267" t="s">
        <v>74</v>
      </c>
      <c r="B267">
        <v>7172021002000300</v>
      </c>
      <c r="C267">
        <v>76</v>
      </c>
      <c r="D267">
        <v>0</v>
      </c>
      <c r="E267">
        <v>0</v>
      </c>
      <c r="F267">
        <v>76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7172021002000200</v>
      </c>
      <c r="C268">
        <v>74</v>
      </c>
      <c r="D268">
        <v>0</v>
      </c>
      <c r="E268">
        <v>0</v>
      </c>
      <c r="F268">
        <v>74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74</v>
      </c>
      <c r="B269">
        <v>7172021001000300</v>
      </c>
      <c r="C269">
        <v>63</v>
      </c>
      <c r="D269">
        <v>0</v>
      </c>
      <c r="E269">
        <v>0</v>
      </c>
      <c r="F269">
        <v>63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74</v>
      </c>
      <c r="B270">
        <v>7172021002000100</v>
      </c>
      <c r="C270">
        <v>55</v>
      </c>
      <c r="D270">
        <v>0</v>
      </c>
      <c r="E270">
        <v>0</v>
      </c>
      <c r="F270">
        <v>55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74</v>
      </c>
      <c r="B271">
        <v>7172021001000400</v>
      </c>
      <c r="C271">
        <v>41</v>
      </c>
      <c r="D271">
        <v>16</v>
      </c>
      <c r="E271">
        <v>5</v>
      </c>
      <c r="F271">
        <v>8</v>
      </c>
      <c r="G271">
        <v>1</v>
      </c>
      <c r="H271">
        <v>0</v>
      </c>
      <c r="I271">
        <v>11</v>
      </c>
      <c r="J271">
        <v>0</v>
      </c>
    </row>
    <row r="272" spans="1:10" x14ac:dyDescent="0.25">
      <c r="A272" t="s">
        <v>74</v>
      </c>
      <c r="B272">
        <v>7172021001000200</v>
      </c>
      <c r="C272">
        <v>36</v>
      </c>
      <c r="D272">
        <v>0</v>
      </c>
      <c r="E272">
        <v>0</v>
      </c>
      <c r="F272">
        <v>36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74</v>
      </c>
      <c r="B273">
        <v>7172021001000100</v>
      </c>
      <c r="C273">
        <v>27</v>
      </c>
      <c r="D273">
        <v>0</v>
      </c>
      <c r="E273">
        <v>0</v>
      </c>
      <c r="F273">
        <v>27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7172021004000500</v>
      </c>
      <c r="C274">
        <v>96</v>
      </c>
      <c r="D274">
        <v>0</v>
      </c>
      <c r="E274">
        <v>0</v>
      </c>
      <c r="F274">
        <v>96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78</v>
      </c>
      <c r="B275">
        <v>7172021005000100</v>
      </c>
      <c r="C275">
        <v>93</v>
      </c>
      <c r="D275">
        <v>7</v>
      </c>
      <c r="E275">
        <v>19</v>
      </c>
      <c r="F275">
        <v>49</v>
      </c>
      <c r="G275">
        <v>0</v>
      </c>
      <c r="H275">
        <v>0</v>
      </c>
      <c r="I275">
        <v>18</v>
      </c>
      <c r="J275">
        <v>0</v>
      </c>
    </row>
    <row r="276" spans="1:10" x14ac:dyDescent="0.25">
      <c r="A276" t="s">
        <v>78</v>
      </c>
      <c r="B276">
        <v>7172021004000600</v>
      </c>
      <c r="C276">
        <v>77</v>
      </c>
      <c r="D276">
        <v>0</v>
      </c>
      <c r="E276">
        <v>0</v>
      </c>
      <c r="F276">
        <v>77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78</v>
      </c>
      <c r="B277">
        <v>7172021004000200</v>
      </c>
      <c r="C277">
        <v>74</v>
      </c>
      <c r="D277">
        <v>0</v>
      </c>
      <c r="E277">
        <v>0</v>
      </c>
      <c r="F277">
        <v>74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78</v>
      </c>
      <c r="B278">
        <v>7172021004000400</v>
      </c>
      <c r="C278">
        <v>73</v>
      </c>
      <c r="D278">
        <v>0</v>
      </c>
      <c r="E278">
        <v>0</v>
      </c>
      <c r="F278">
        <v>73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78</v>
      </c>
      <c r="B279">
        <v>7172021004000100</v>
      </c>
      <c r="C279">
        <v>60</v>
      </c>
      <c r="D279">
        <v>0</v>
      </c>
      <c r="E279">
        <v>0</v>
      </c>
      <c r="F279">
        <v>58</v>
      </c>
      <c r="G279">
        <v>0</v>
      </c>
      <c r="H279">
        <v>0</v>
      </c>
      <c r="I279">
        <v>2</v>
      </c>
      <c r="J279">
        <v>0</v>
      </c>
    </row>
    <row r="280" spans="1:10" x14ac:dyDescent="0.25">
      <c r="A280" t="s">
        <v>78</v>
      </c>
      <c r="B280">
        <v>7172021004000300</v>
      </c>
      <c r="C280">
        <v>49</v>
      </c>
      <c r="D280">
        <v>0</v>
      </c>
      <c r="E280">
        <v>0</v>
      </c>
      <c r="F280">
        <v>49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7172021005000200</v>
      </c>
      <c r="C281">
        <v>82</v>
      </c>
      <c r="D281">
        <v>4</v>
      </c>
      <c r="E281">
        <v>7</v>
      </c>
      <c r="F281">
        <v>65</v>
      </c>
      <c r="G281">
        <v>4</v>
      </c>
      <c r="H281">
        <v>0</v>
      </c>
      <c r="I281">
        <v>2</v>
      </c>
      <c r="J281">
        <v>0</v>
      </c>
    </row>
    <row r="282" spans="1:10" x14ac:dyDescent="0.25">
      <c r="A282" t="s">
        <v>79</v>
      </c>
      <c r="B282">
        <v>7172021006000300</v>
      </c>
      <c r="C282">
        <v>77</v>
      </c>
      <c r="D282">
        <v>0</v>
      </c>
      <c r="E282">
        <v>0</v>
      </c>
      <c r="F282">
        <v>77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7172021006000200</v>
      </c>
      <c r="C283">
        <v>73</v>
      </c>
      <c r="D283">
        <v>0</v>
      </c>
      <c r="E283">
        <v>9</v>
      </c>
      <c r="F283">
        <v>62</v>
      </c>
      <c r="G283">
        <v>0</v>
      </c>
      <c r="H283">
        <v>0</v>
      </c>
      <c r="I283">
        <v>2</v>
      </c>
      <c r="J283">
        <v>0</v>
      </c>
    </row>
    <row r="284" spans="1:10" x14ac:dyDescent="0.25">
      <c r="A284" t="s">
        <v>79</v>
      </c>
      <c r="B284">
        <v>7172021006000400</v>
      </c>
      <c r="C284">
        <v>70</v>
      </c>
      <c r="D284">
        <v>0</v>
      </c>
      <c r="E284">
        <v>0</v>
      </c>
      <c r="F284">
        <v>70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79</v>
      </c>
      <c r="B285">
        <v>7172021005000300</v>
      </c>
      <c r="C285">
        <v>56</v>
      </c>
      <c r="D285">
        <v>0</v>
      </c>
      <c r="E285">
        <v>0</v>
      </c>
      <c r="F285">
        <v>56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79</v>
      </c>
      <c r="B286">
        <v>7172021006000500</v>
      </c>
      <c r="C286">
        <v>48</v>
      </c>
      <c r="D286">
        <v>0</v>
      </c>
      <c r="E286">
        <v>0</v>
      </c>
      <c r="F286">
        <v>48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79</v>
      </c>
      <c r="B287">
        <v>7172021006000600</v>
      </c>
      <c r="C287">
        <v>41</v>
      </c>
      <c r="D287">
        <v>0</v>
      </c>
      <c r="E287">
        <v>0</v>
      </c>
      <c r="F287">
        <v>41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79</v>
      </c>
      <c r="B288">
        <v>7172021005000400</v>
      </c>
      <c r="C288">
        <v>19</v>
      </c>
      <c r="D288">
        <v>0</v>
      </c>
      <c r="E288">
        <v>0</v>
      </c>
      <c r="F288">
        <v>18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t="s">
        <v>232</v>
      </c>
      <c r="B289">
        <v>7172022001000800</v>
      </c>
      <c r="C289">
        <v>73</v>
      </c>
      <c r="D289">
        <v>0</v>
      </c>
      <c r="E289">
        <v>0</v>
      </c>
      <c r="F289">
        <v>73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232</v>
      </c>
      <c r="B290">
        <v>7172022001000900</v>
      </c>
      <c r="C290">
        <v>64</v>
      </c>
      <c r="D290">
        <v>0</v>
      </c>
      <c r="E290">
        <v>0</v>
      </c>
      <c r="F290">
        <v>64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232</v>
      </c>
      <c r="B291">
        <v>7172022001000600</v>
      </c>
      <c r="C291">
        <v>62</v>
      </c>
      <c r="D291">
        <v>0</v>
      </c>
      <c r="E291">
        <v>0</v>
      </c>
      <c r="F291">
        <v>62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232</v>
      </c>
      <c r="B292">
        <v>7172022001000700</v>
      </c>
      <c r="C292">
        <v>59</v>
      </c>
      <c r="D292">
        <v>0</v>
      </c>
      <c r="E292">
        <v>0</v>
      </c>
      <c r="F292">
        <v>59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232</v>
      </c>
      <c r="B293">
        <v>7172022001001100</v>
      </c>
      <c r="C293">
        <v>59</v>
      </c>
      <c r="D293">
        <v>0</v>
      </c>
      <c r="E293">
        <v>1</v>
      </c>
      <c r="F293">
        <v>16</v>
      </c>
      <c r="G293">
        <v>0</v>
      </c>
      <c r="H293">
        <v>0</v>
      </c>
      <c r="I293">
        <v>42</v>
      </c>
      <c r="J293">
        <v>0</v>
      </c>
    </row>
    <row r="294" spans="1:10" x14ac:dyDescent="0.25">
      <c r="A294" t="s">
        <v>232</v>
      </c>
      <c r="B294">
        <v>7172022001001000</v>
      </c>
      <c r="C294">
        <v>52</v>
      </c>
      <c r="D294">
        <v>0</v>
      </c>
      <c r="E294">
        <v>0</v>
      </c>
      <c r="F294">
        <v>52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232</v>
      </c>
      <c r="B295">
        <v>7172022001001200</v>
      </c>
      <c r="C295">
        <v>48</v>
      </c>
      <c r="D295">
        <v>0</v>
      </c>
      <c r="E295">
        <v>0</v>
      </c>
      <c r="F295">
        <v>48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89</v>
      </c>
      <c r="B296">
        <v>7172022009000100</v>
      </c>
      <c r="C296">
        <v>106</v>
      </c>
      <c r="D296">
        <v>0</v>
      </c>
      <c r="E296">
        <v>0</v>
      </c>
      <c r="F296">
        <v>103</v>
      </c>
      <c r="G296">
        <v>3</v>
      </c>
      <c r="H296">
        <v>0</v>
      </c>
      <c r="I296">
        <v>0</v>
      </c>
      <c r="J296">
        <v>0</v>
      </c>
    </row>
    <row r="297" spans="1:10" x14ac:dyDescent="0.25">
      <c r="A297" t="s">
        <v>89</v>
      </c>
      <c r="B297">
        <v>7172022008000400</v>
      </c>
      <c r="C297">
        <v>79</v>
      </c>
      <c r="D297">
        <v>0</v>
      </c>
      <c r="E297">
        <v>0</v>
      </c>
      <c r="F297">
        <v>59</v>
      </c>
      <c r="G297">
        <v>0</v>
      </c>
      <c r="H297">
        <v>0</v>
      </c>
      <c r="I297">
        <v>20</v>
      </c>
      <c r="J297">
        <v>0</v>
      </c>
    </row>
    <row r="298" spans="1:10" x14ac:dyDescent="0.25">
      <c r="A298" t="s">
        <v>89</v>
      </c>
      <c r="B298">
        <v>7172022009000200</v>
      </c>
      <c r="C298">
        <v>74</v>
      </c>
      <c r="D298">
        <v>0</v>
      </c>
      <c r="E298">
        <v>0</v>
      </c>
      <c r="F298">
        <v>74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89</v>
      </c>
      <c r="B299">
        <v>7172022009000400</v>
      </c>
      <c r="C299">
        <v>57</v>
      </c>
      <c r="D299">
        <v>0</v>
      </c>
      <c r="E299">
        <v>0</v>
      </c>
      <c r="F299">
        <v>53</v>
      </c>
      <c r="G299">
        <v>4</v>
      </c>
      <c r="H299">
        <v>0</v>
      </c>
      <c r="I299">
        <v>0</v>
      </c>
      <c r="J299">
        <v>0</v>
      </c>
    </row>
    <row r="300" spans="1:10" x14ac:dyDescent="0.25">
      <c r="A300" t="s">
        <v>89</v>
      </c>
      <c r="B300">
        <v>7172022008000500</v>
      </c>
      <c r="C300">
        <v>44</v>
      </c>
      <c r="D300">
        <v>0</v>
      </c>
      <c r="E300">
        <v>0</v>
      </c>
      <c r="F300">
        <v>35</v>
      </c>
      <c r="G300">
        <v>0</v>
      </c>
      <c r="H300">
        <v>0</v>
      </c>
      <c r="I300">
        <v>9</v>
      </c>
      <c r="J300">
        <v>0</v>
      </c>
    </row>
    <row r="301" spans="1:10" x14ac:dyDescent="0.25">
      <c r="A301" t="s">
        <v>89</v>
      </c>
      <c r="B301">
        <v>7172022009000300</v>
      </c>
      <c r="C301">
        <v>36</v>
      </c>
      <c r="D301">
        <v>0</v>
      </c>
      <c r="E301">
        <v>0</v>
      </c>
      <c r="F301">
        <v>36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7172030006000100</v>
      </c>
      <c r="C302">
        <v>110</v>
      </c>
      <c r="D302">
        <v>0</v>
      </c>
      <c r="E302">
        <v>0</v>
      </c>
      <c r="F302">
        <v>110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7172030006000600</v>
      </c>
      <c r="C303">
        <v>83</v>
      </c>
      <c r="D303">
        <v>0</v>
      </c>
      <c r="E303">
        <v>0</v>
      </c>
      <c r="F303">
        <v>83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7172030006000800</v>
      </c>
      <c r="C304">
        <v>80</v>
      </c>
      <c r="D304">
        <v>11</v>
      </c>
      <c r="E304">
        <v>0</v>
      </c>
      <c r="F304">
        <v>37</v>
      </c>
      <c r="G304">
        <v>0</v>
      </c>
      <c r="H304">
        <v>0</v>
      </c>
      <c r="I304">
        <v>32</v>
      </c>
      <c r="J304">
        <v>0</v>
      </c>
    </row>
    <row r="305" spans="1:10" x14ac:dyDescent="0.25">
      <c r="A305" t="s">
        <v>90</v>
      </c>
      <c r="B305">
        <v>7172030006000900</v>
      </c>
      <c r="C305">
        <v>80</v>
      </c>
      <c r="D305">
        <v>0</v>
      </c>
      <c r="E305">
        <v>2</v>
      </c>
      <c r="F305">
        <v>71</v>
      </c>
      <c r="G305">
        <v>0</v>
      </c>
      <c r="H305">
        <v>0</v>
      </c>
      <c r="I305">
        <v>7</v>
      </c>
      <c r="J305">
        <v>0</v>
      </c>
    </row>
    <row r="306" spans="1:10" x14ac:dyDescent="0.25">
      <c r="A306" t="s">
        <v>90</v>
      </c>
      <c r="B306">
        <v>7172030006000700</v>
      </c>
      <c r="C306">
        <v>66</v>
      </c>
      <c r="D306">
        <v>1</v>
      </c>
      <c r="E306">
        <v>0</v>
      </c>
      <c r="F306">
        <v>65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90</v>
      </c>
      <c r="B307">
        <v>7172030006000200</v>
      </c>
      <c r="C307">
        <v>65</v>
      </c>
      <c r="D307">
        <v>0</v>
      </c>
      <c r="E307">
        <v>0</v>
      </c>
      <c r="F307">
        <v>65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90</v>
      </c>
      <c r="B308">
        <v>7172030006000300</v>
      </c>
      <c r="C308">
        <v>57</v>
      </c>
      <c r="D308">
        <v>0</v>
      </c>
      <c r="E308">
        <v>0</v>
      </c>
      <c r="F308">
        <v>57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90</v>
      </c>
      <c r="B309">
        <v>7172030006000400</v>
      </c>
      <c r="C309">
        <v>47</v>
      </c>
      <c r="D309">
        <v>0</v>
      </c>
      <c r="E309">
        <v>0</v>
      </c>
      <c r="F309">
        <v>44</v>
      </c>
      <c r="G309">
        <v>0</v>
      </c>
      <c r="H309">
        <v>0</v>
      </c>
      <c r="I309">
        <v>3</v>
      </c>
      <c r="J309">
        <v>0</v>
      </c>
    </row>
    <row r="310" spans="1:10" x14ac:dyDescent="0.25">
      <c r="A310" t="s">
        <v>90</v>
      </c>
      <c r="B310">
        <v>7172030006000500</v>
      </c>
      <c r="C310">
        <v>40</v>
      </c>
      <c r="D310">
        <v>0</v>
      </c>
      <c r="E310">
        <v>0</v>
      </c>
      <c r="F310">
        <v>40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7172022003000200</v>
      </c>
      <c r="C311">
        <v>102</v>
      </c>
      <c r="D311">
        <v>0</v>
      </c>
      <c r="E311">
        <v>4</v>
      </c>
      <c r="F311">
        <v>70</v>
      </c>
      <c r="G311">
        <v>0</v>
      </c>
      <c r="H311">
        <v>0</v>
      </c>
      <c r="I311">
        <v>28</v>
      </c>
      <c r="J311">
        <v>0</v>
      </c>
    </row>
    <row r="312" spans="1:10" x14ac:dyDescent="0.25">
      <c r="A312" t="s">
        <v>85</v>
      </c>
      <c r="B312">
        <v>7172022003000400</v>
      </c>
      <c r="C312">
        <v>63</v>
      </c>
      <c r="D312">
        <v>0</v>
      </c>
      <c r="E312">
        <v>0</v>
      </c>
      <c r="F312">
        <v>63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7172022003000300</v>
      </c>
      <c r="C313">
        <v>51</v>
      </c>
      <c r="D313">
        <v>0</v>
      </c>
      <c r="E313">
        <v>0</v>
      </c>
      <c r="F313">
        <v>51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85</v>
      </c>
      <c r="B314">
        <v>7172022002000400</v>
      </c>
      <c r="C314">
        <v>46</v>
      </c>
      <c r="D314">
        <v>0</v>
      </c>
      <c r="E314">
        <v>0</v>
      </c>
      <c r="F314">
        <v>46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85</v>
      </c>
      <c r="B315">
        <v>7172022002000700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85</v>
      </c>
      <c r="B316">
        <v>7172022002000500</v>
      </c>
      <c r="C316">
        <v>43</v>
      </c>
      <c r="D316">
        <v>0</v>
      </c>
      <c r="E316">
        <v>0</v>
      </c>
      <c r="F316">
        <v>43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85</v>
      </c>
      <c r="B317">
        <v>7172022002000600</v>
      </c>
      <c r="C317">
        <v>40</v>
      </c>
      <c r="D317">
        <v>0</v>
      </c>
      <c r="E317">
        <v>0</v>
      </c>
      <c r="F317">
        <v>40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85</v>
      </c>
      <c r="B318">
        <v>7172022002000800</v>
      </c>
      <c r="C318">
        <v>30</v>
      </c>
      <c r="D318">
        <v>0</v>
      </c>
      <c r="E318">
        <v>0</v>
      </c>
      <c r="F318">
        <v>30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7172030007000200</v>
      </c>
      <c r="C319">
        <v>122</v>
      </c>
      <c r="D319">
        <v>0</v>
      </c>
      <c r="E319">
        <v>10</v>
      </c>
      <c r="F319">
        <v>99</v>
      </c>
      <c r="G319">
        <v>0</v>
      </c>
      <c r="H319">
        <v>0</v>
      </c>
      <c r="I319">
        <v>13</v>
      </c>
      <c r="J319">
        <v>0</v>
      </c>
    </row>
    <row r="320" spans="1:10" x14ac:dyDescent="0.25">
      <c r="A320" t="s">
        <v>92</v>
      </c>
      <c r="B320">
        <v>7172030012000700</v>
      </c>
      <c r="C320">
        <v>97</v>
      </c>
      <c r="D320">
        <v>0</v>
      </c>
      <c r="E320">
        <v>0</v>
      </c>
      <c r="F320">
        <v>97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7172030012000500</v>
      </c>
      <c r="C321">
        <v>93</v>
      </c>
      <c r="D321">
        <v>0</v>
      </c>
      <c r="E321">
        <v>0</v>
      </c>
      <c r="F321">
        <v>93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92</v>
      </c>
      <c r="B322">
        <v>7172030012000200</v>
      </c>
      <c r="C322">
        <v>89</v>
      </c>
      <c r="D322">
        <v>0</v>
      </c>
      <c r="E322">
        <v>0</v>
      </c>
      <c r="F322">
        <v>89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92</v>
      </c>
      <c r="B323">
        <v>7172030007000100</v>
      </c>
      <c r="C323">
        <v>61</v>
      </c>
      <c r="D323">
        <v>12</v>
      </c>
      <c r="E323">
        <v>9</v>
      </c>
      <c r="F323">
        <v>5</v>
      </c>
      <c r="G323">
        <v>0</v>
      </c>
      <c r="H323">
        <v>0</v>
      </c>
      <c r="I323">
        <v>35</v>
      </c>
      <c r="J323">
        <v>0</v>
      </c>
    </row>
    <row r="324" spans="1:10" x14ac:dyDescent="0.25">
      <c r="A324" t="s">
        <v>92</v>
      </c>
      <c r="B324">
        <v>7172030007000300</v>
      </c>
      <c r="C324">
        <v>44</v>
      </c>
      <c r="D324">
        <v>0</v>
      </c>
      <c r="E324">
        <v>0</v>
      </c>
      <c r="F324">
        <v>44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92</v>
      </c>
      <c r="B325">
        <v>7172030007000600</v>
      </c>
      <c r="C325">
        <v>34</v>
      </c>
      <c r="D325">
        <v>0</v>
      </c>
      <c r="E325">
        <v>0</v>
      </c>
      <c r="F325">
        <v>34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92</v>
      </c>
      <c r="B326">
        <v>7172030012000400</v>
      </c>
      <c r="C326">
        <v>21</v>
      </c>
      <c r="D326">
        <v>0</v>
      </c>
      <c r="E326">
        <v>0</v>
      </c>
      <c r="F326">
        <v>21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7172030007000400</v>
      </c>
      <c r="C327">
        <v>159</v>
      </c>
      <c r="D327">
        <v>0</v>
      </c>
      <c r="E327">
        <v>0</v>
      </c>
      <c r="F327">
        <v>159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233</v>
      </c>
      <c r="B328">
        <v>7172030007001000</v>
      </c>
      <c r="C328">
        <v>136</v>
      </c>
      <c r="D328">
        <v>6</v>
      </c>
      <c r="E328">
        <v>23</v>
      </c>
      <c r="F328">
        <v>90</v>
      </c>
      <c r="G328">
        <v>0</v>
      </c>
      <c r="H328">
        <v>0</v>
      </c>
      <c r="I328">
        <v>17</v>
      </c>
      <c r="J328">
        <v>0</v>
      </c>
    </row>
    <row r="329" spans="1:10" x14ac:dyDescent="0.25">
      <c r="A329" t="s">
        <v>233</v>
      </c>
      <c r="B329">
        <v>7172030007000500</v>
      </c>
      <c r="C329">
        <v>79</v>
      </c>
      <c r="D329">
        <v>0</v>
      </c>
      <c r="E329">
        <v>0</v>
      </c>
      <c r="F329">
        <v>79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233</v>
      </c>
      <c r="B330">
        <v>7172030007000800</v>
      </c>
      <c r="C330">
        <v>74</v>
      </c>
      <c r="D330">
        <v>0</v>
      </c>
      <c r="E330">
        <v>0</v>
      </c>
      <c r="F330">
        <v>74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233</v>
      </c>
      <c r="B331">
        <v>7172030007000900</v>
      </c>
      <c r="C331">
        <v>73</v>
      </c>
      <c r="D331">
        <v>0</v>
      </c>
      <c r="E331">
        <v>0</v>
      </c>
      <c r="F331">
        <v>73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233</v>
      </c>
      <c r="B332">
        <v>7172030007000700</v>
      </c>
      <c r="C332">
        <v>56</v>
      </c>
      <c r="D332">
        <v>0</v>
      </c>
      <c r="E332">
        <v>0</v>
      </c>
      <c r="F332">
        <v>56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7172030006001200</v>
      </c>
      <c r="C333">
        <v>101</v>
      </c>
      <c r="D333">
        <v>0</v>
      </c>
      <c r="E333">
        <v>0</v>
      </c>
      <c r="F333">
        <v>101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7172030006001100</v>
      </c>
      <c r="C334">
        <v>91</v>
      </c>
      <c r="D334">
        <v>0</v>
      </c>
      <c r="E334">
        <v>0</v>
      </c>
      <c r="F334">
        <v>91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7172030006001000</v>
      </c>
      <c r="C335">
        <v>73</v>
      </c>
      <c r="D335">
        <v>0</v>
      </c>
      <c r="E335">
        <v>0</v>
      </c>
      <c r="F335">
        <v>73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7172030006001300</v>
      </c>
      <c r="C336">
        <v>57</v>
      </c>
      <c r="D336">
        <v>0</v>
      </c>
      <c r="E336">
        <v>0</v>
      </c>
      <c r="F336">
        <v>57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91</v>
      </c>
      <c r="B337">
        <v>7172030006001600</v>
      </c>
      <c r="C337">
        <v>57</v>
      </c>
      <c r="D337">
        <v>0</v>
      </c>
      <c r="E337">
        <v>0</v>
      </c>
      <c r="F337">
        <v>43</v>
      </c>
      <c r="G337">
        <v>0</v>
      </c>
      <c r="H337">
        <v>0</v>
      </c>
      <c r="I337">
        <v>14</v>
      </c>
      <c r="J337">
        <v>0</v>
      </c>
    </row>
    <row r="338" spans="1:10" x14ac:dyDescent="0.25">
      <c r="A338" t="s">
        <v>91</v>
      </c>
      <c r="B338">
        <v>7172030006001800</v>
      </c>
      <c r="C338">
        <v>48</v>
      </c>
      <c r="D338">
        <v>6</v>
      </c>
      <c r="E338">
        <v>0</v>
      </c>
      <c r="F338">
        <v>14</v>
      </c>
      <c r="G338">
        <v>0</v>
      </c>
      <c r="H338">
        <v>0</v>
      </c>
      <c r="I338">
        <v>28</v>
      </c>
      <c r="J338">
        <v>0</v>
      </c>
    </row>
    <row r="339" spans="1:10" x14ac:dyDescent="0.25">
      <c r="A339" t="s">
        <v>91</v>
      </c>
      <c r="B339">
        <v>7172030006001700</v>
      </c>
      <c r="C339">
        <v>47</v>
      </c>
      <c r="D339">
        <v>0</v>
      </c>
      <c r="E339">
        <v>0</v>
      </c>
      <c r="F339">
        <v>47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91</v>
      </c>
      <c r="B340">
        <v>7172030006001900</v>
      </c>
      <c r="C340">
        <v>46</v>
      </c>
      <c r="D340">
        <v>0</v>
      </c>
      <c r="E340">
        <v>0</v>
      </c>
      <c r="F340">
        <v>7</v>
      </c>
      <c r="G340">
        <v>0</v>
      </c>
      <c r="H340">
        <v>0</v>
      </c>
      <c r="I340">
        <v>39</v>
      </c>
      <c r="J340">
        <v>0</v>
      </c>
    </row>
    <row r="341" spans="1:10" x14ac:dyDescent="0.25">
      <c r="A341" t="s">
        <v>91</v>
      </c>
      <c r="B341">
        <v>7172030006001400</v>
      </c>
      <c r="C341">
        <v>44</v>
      </c>
      <c r="D341">
        <v>0</v>
      </c>
      <c r="E341">
        <v>0</v>
      </c>
      <c r="F341">
        <v>44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91</v>
      </c>
      <c r="B342">
        <v>7172030006001500</v>
      </c>
      <c r="C342">
        <v>40</v>
      </c>
      <c r="D342">
        <v>0</v>
      </c>
      <c r="E342">
        <v>0</v>
      </c>
      <c r="F342">
        <v>40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7172030012000300</v>
      </c>
      <c r="C343">
        <v>76</v>
      </c>
      <c r="D343">
        <v>0</v>
      </c>
      <c r="E343">
        <v>5</v>
      </c>
      <c r="F343">
        <v>47</v>
      </c>
      <c r="G343">
        <v>0</v>
      </c>
      <c r="H343">
        <v>0</v>
      </c>
      <c r="I343">
        <v>24</v>
      </c>
      <c r="J343">
        <v>0</v>
      </c>
    </row>
    <row r="344" spans="1:10" x14ac:dyDescent="0.25">
      <c r="A344" t="s">
        <v>97</v>
      </c>
      <c r="B344">
        <v>7172030016000600</v>
      </c>
      <c r="C344">
        <v>62</v>
      </c>
      <c r="D344">
        <v>0</v>
      </c>
      <c r="E344">
        <v>0</v>
      </c>
      <c r="F344">
        <v>62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7172030016000900</v>
      </c>
      <c r="C345">
        <v>62</v>
      </c>
      <c r="D345">
        <v>0</v>
      </c>
      <c r="E345">
        <v>0</v>
      </c>
      <c r="F345">
        <v>62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7172030012000100</v>
      </c>
      <c r="C346">
        <v>61</v>
      </c>
      <c r="D346">
        <v>0</v>
      </c>
      <c r="E346">
        <v>0</v>
      </c>
      <c r="F346">
        <v>51</v>
      </c>
      <c r="G346">
        <v>0</v>
      </c>
      <c r="H346">
        <v>0</v>
      </c>
      <c r="I346">
        <v>10</v>
      </c>
      <c r="J346">
        <v>0</v>
      </c>
    </row>
    <row r="347" spans="1:10" x14ac:dyDescent="0.25">
      <c r="A347" t="s">
        <v>97</v>
      </c>
      <c r="B347">
        <v>7172030016000300</v>
      </c>
      <c r="C347">
        <v>57</v>
      </c>
      <c r="D347">
        <v>1</v>
      </c>
      <c r="E347">
        <v>6</v>
      </c>
      <c r="F347">
        <v>22</v>
      </c>
      <c r="G347">
        <v>1</v>
      </c>
      <c r="H347">
        <v>0</v>
      </c>
      <c r="I347">
        <v>27</v>
      </c>
      <c r="J347">
        <v>0</v>
      </c>
    </row>
    <row r="348" spans="1:10" x14ac:dyDescent="0.25">
      <c r="A348" t="s">
        <v>97</v>
      </c>
      <c r="B348">
        <v>7172030016000400</v>
      </c>
      <c r="C348">
        <v>57</v>
      </c>
      <c r="D348">
        <v>0</v>
      </c>
      <c r="E348">
        <v>0</v>
      </c>
      <c r="F348">
        <v>57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97</v>
      </c>
      <c r="B349">
        <v>7172030016000800</v>
      </c>
      <c r="C349">
        <v>47</v>
      </c>
      <c r="D349">
        <v>0</v>
      </c>
      <c r="E349">
        <v>0</v>
      </c>
      <c r="F349">
        <v>47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97</v>
      </c>
      <c r="B350">
        <v>7172030016000700</v>
      </c>
      <c r="C350">
        <v>46</v>
      </c>
      <c r="D350">
        <v>0</v>
      </c>
      <c r="E350">
        <v>0</v>
      </c>
      <c r="F350">
        <v>46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97</v>
      </c>
      <c r="B351">
        <v>7172030016000200</v>
      </c>
      <c r="C351">
        <v>38</v>
      </c>
      <c r="D351">
        <v>0</v>
      </c>
      <c r="E351">
        <v>0</v>
      </c>
      <c r="F351">
        <v>38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97</v>
      </c>
      <c r="B352">
        <v>7172030016000100</v>
      </c>
      <c r="C352">
        <v>33</v>
      </c>
      <c r="D352">
        <v>0</v>
      </c>
      <c r="E352">
        <v>0</v>
      </c>
      <c r="F352">
        <v>33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97</v>
      </c>
      <c r="B353">
        <v>7172030016000500</v>
      </c>
      <c r="C353">
        <v>33</v>
      </c>
      <c r="D353">
        <v>0</v>
      </c>
      <c r="E353">
        <v>0</v>
      </c>
      <c r="F353">
        <v>33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7172030013000100</v>
      </c>
      <c r="C354">
        <v>164</v>
      </c>
      <c r="D354">
        <v>0</v>
      </c>
      <c r="E354">
        <v>0</v>
      </c>
      <c r="F354">
        <v>164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7172030012001200</v>
      </c>
      <c r="C355">
        <v>77</v>
      </c>
      <c r="D355">
        <v>0</v>
      </c>
      <c r="E355">
        <v>6</v>
      </c>
      <c r="F355">
        <v>60</v>
      </c>
      <c r="G355">
        <v>0</v>
      </c>
      <c r="H355">
        <v>0</v>
      </c>
      <c r="I355">
        <v>11</v>
      </c>
      <c r="J355">
        <v>0</v>
      </c>
    </row>
    <row r="356" spans="1:10" x14ac:dyDescent="0.25">
      <c r="A356" t="s">
        <v>99</v>
      </c>
      <c r="B356">
        <v>7172030012001700</v>
      </c>
      <c r="C356">
        <v>71</v>
      </c>
      <c r="D356">
        <v>0</v>
      </c>
      <c r="E356">
        <v>4</v>
      </c>
      <c r="F356">
        <v>62</v>
      </c>
      <c r="G356">
        <v>0</v>
      </c>
      <c r="H356">
        <v>0</v>
      </c>
      <c r="I356">
        <v>5</v>
      </c>
      <c r="J356">
        <v>0</v>
      </c>
    </row>
    <row r="357" spans="1:10" x14ac:dyDescent="0.25">
      <c r="A357" t="s">
        <v>99</v>
      </c>
      <c r="B357">
        <v>7172030012001800</v>
      </c>
      <c r="C357">
        <v>66</v>
      </c>
      <c r="D357">
        <v>0</v>
      </c>
      <c r="E357">
        <v>0</v>
      </c>
      <c r="F357">
        <v>66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99</v>
      </c>
      <c r="B358">
        <v>7172030012001900</v>
      </c>
      <c r="C358">
        <v>64</v>
      </c>
      <c r="D358">
        <v>3</v>
      </c>
      <c r="E358">
        <v>5</v>
      </c>
      <c r="F358">
        <v>53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99</v>
      </c>
      <c r="B359">
        <v>7172030012001600</v>
      </c>
      <c r="C359">
        <v>60</v>
      </c>
      <c r="D359">
        <v>0</v>
      </c>
      <c r="E359">
        <v>0</v>
      </c>
      <c r="F359">
        <v>60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99</v>
      </c>
      <c r="B360">
        <v>7172030012002000</v>
      </c>
      <c r="C360">
        <v>49</v>
      </c>
      <c r="D360">
        <v>0</v>
      </c>
      <c r="E360">
        <v>9</v>
      </c>
      <c r="F360">
        <v>24</v>
      </c>
      <c r="G360">
        <v>2</v>
      </c>
      <c r="H360">
        <v>0</v>
      </c>
      <c r="I360">
        <v>14</v>
      </c>
      <c r="J360">
        <v>0</v>
      </c>
    </row>
    <row r="361" spans="1:10" x14ac:dyDescent="0.25">
      <c r="A361" t="s">
        <v>99</v>
      </c>
      <c r="B361">
        <v>7172030013000300</v>
      </c>
      <c r="C361">
        <v>42</v>
      </c>
      <c r="D361">
        <v>0</v>
      </c>
      <c r="E361">
        <v>0</v>
      </c>
      <c r="F361">
        <v>42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7172030008000902</v>
      </c>
      <c r="C362">
        <v>112</v>
      </c>
      <c r="D362">
        <v>0</v>
      </c>
      <c r="E362">
        <v>2</v>
      </c>
      <c r="F362">
        <v>78</v>
      </c>
      <c r="G362">
        <v>0</v>
      </c>
      <c r="H362">
        <v>0</v>
      </c>
      <c r="I362">
        <v>32</v>
      </c>
      <c r="J362">
        <v>0</v>
      </c>
    </row>
    <row r="363" spans="1:10" x14ac:dyDescent="0.25">
      <c r="A363" t="s">
        <v>234</v>
      </c>
      <c r="B363">
        <v>7172030008000100</v>
      </c>
      <c r="C363">
        <v>66</v>
      </c>
      <c r="D363">
        <v>0</v>
      </c>
      <c r="E363">
        <v>0</v>
      </c>
      <c r="F363">
        <v>66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7172030008000500</v>
      </c>
      <c r="C364">
        <v>61</v>
      </c>
      <c r="D364">
        <v>0</v>
      </c>
      <c r="E364">
        <v>0</v>
      </c>
      <c r="F364">
        <v>61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7172030008000400</v>
      </c>
      <c r="C365">
        <v>60</v>
      </c>
      <c r="D365">
        <v>0</v>
      </c>
      <c r="E365">
        <v>0</v>
      </c>
      <c r="F365">
        <v>60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7172030008000200</v>
      </c>
      <c r="C366">
        <v>57</v>
      </c>
      <c r="D366">
        <v>0</v>
      </c>
      <c r="E366">
        <v>0</v>
      </c>
      <c r="F366">
        <v>57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7172030008000600</v>
      </c>
      <c r="C367">
        <v>48</v>
      </c>
      <c r="D367">
        <v>0</v>
      </c>
      <c r="E367">
        <v>0</v>
      </c>
      <c r="F367">
        <v>48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234</v>
      </c>
      <c r="B368">
        <v>7172030008000901</v>
      </c>
      <c r="C368">
        <v>45</v>
      </c>
      <c r="D368">
        <v>9</v>
      </c>
      <c r="E368">
        <v>0</v>
      </c>
      <c r="F368">
        <v>32</v>
      </c>
      <c r="G368">
        <v>0</v>
      </c>
      <c r="H368">
        <v>0</v>
      </c>
      <c r="I368">
        <v>4</v>
      </c>
      <c r="J368">
        <v>0</v>
      </c>
    </row>
    <row r="369" spans="1:10" x14ac:dyDescent="0.25">
      <c r="A369" t="s">
        <v>234</v>
      </c>
      <c r="B369">
        <v>7172030008000700</v>
      </c>
      <c r="C369">
        <v>40</v>
      </c>
      <c r="D369">
        <v>0</v>
      </c>
      <c r="E369">
        <v>0</v>
      </c>
      <c r="F369">
        <v>40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234</v>
      </c>
      <c r="B370">
        <v>7172030008000800</v>
      </c>
      <c r="C370">
        <v>40</v>
      </c>
      <c r="D370">
        <v>0</v>
      </c>
      <c r="E370">
        <v>0</v>
      </c>
      <c r="F370">
        <v>40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234</v>
      </c>
      <c r="B371">
        <v>7172030008000300</v>
      </c>
      <c r="C371">
        <v>35</v>
      </c>
      <c r="D371">
        <v>0</v>
      </c>
      <c r="E371">
        <v>0</v>
      </c>
      <c r="F371">
        <v>35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234</v>
      </c>
      <c r="B372">
        <v>7172030008200100</v>
      </c>
      <c r="C372">
        <v>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7172030015000800</v>
      </c>
      <c r="C373">
        <v>154</v>
      </c>
      <c r="D373">
        <v>1</v>
      </c>
      <c r="E373">
        <v>0</v>
      </c>
      <c r="F373">
        <v>153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7172030015000300</v>
      </c>
      <c r="C374">
        <v>102</v>
      </c>
      <c r="D374">
        <v>0</v>
      </c>
      <c r="E374">
        <v>6</v>
      </c>
      <c r="F374">
        <v>75</v>
      </c>
      <c r="G374">
        <v>0</v>
      </c>
      <c r="H374">
        <v>0</v>
      </c>
      <c r="I374">
        <v>21</v>
      </c>
      <c r="J374">
        <v>0</v>
      </c>
    </row>
    <row r="375" spans="1:10" x14ac:dyDescent="0.25">
      <c r="A375" t="s">
        <v>235</v>
      </c>
      <c r="B375">
        <v>7172030015001000</v>
      </c>
      <c r="C375">
        <v>78</v>
      </c>
      <c r="D375">
        <v>0</v>
      </c>
      <c r="E375">
        <v>7</v>
      </c>
      <c r="F375">
        <v>24</v>
      </c>
      <c r="G375">
        <v>0</v>
      </c>
      <c r="H375">
        <v>0</v>
      </c>
      <c r="I375">
        <v>47</v>
      </c>
      <c r="J375">
        <v>0</v>
      </c>
    </row>
    <row r="376" spans="1:10" x14ac:dyDescent="0.25">
      <c r="A376" t="s">
        <v>235</v>
      </c>
      <c r="B376">
        <v>7172030015000400</v>
      </c>
      <c r="C376">
        <v>65</v>
      </c>
      <c r="D376">
        <v>0</v>
      </c>
      <c r="E376">
        <v>0</v>
      </c>
      <c r="F376">
        <v>65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235</v>
      </c>
      <c r="B377">
        <v>7172030015000700</v>
      </c>
      <c r="C377">
        <v>46</v>
      </c>
      <c r="D377">
        <v>0</v>
      </c>
      <c r="E377">
        <v>0</v>
      </c>
      <c r="F377">
        <v>46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235</v>
      </c>
      <c r="B378">
        <v>7172030015000500</v>
      </c>
      <c r="C378">
        <v>45</v>
      </c>
      <c r="D378">
        <v>0</v>
      </c>
      <c r="E378">
        <v>0</v>
      </c>
      <c r="F378">
        <v>45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235</v>
      </c>
      <c r="B379">
        <v>7172030015001100</v>
      </c>
      <c r="C379">
        <v>45</v>
      </c>
      <c r="D379">
        <v>0</v>
      </c>
      <c r="E379">
        <v>6</v>
      </c>
      <c r="F379">
        <v>39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235</v>
      </c>
      <c r="B380">
        <v>7172030015000600</v>
      </c>
      <c r="C380">
        <v>38</v>
      </c>
      <c r="D380">
        <v>0</v>
      </c>
      <c r="E380">
        <v>0</v>
      </c>
      <c r="F380">
        <v>38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235</v>
      </c>
      <c r="B381">
        <v>7172030015000900</v>
      </c>
      <c r="C381">
        <v>24</v>
      </c>
      <c r="D381">
        <v>0</v>
      </c>
      <c r="E381">
        <v>0</v>
      </c>
      <c r="F381">
        <v>24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236</v>
      </c>
      <c r="B382">
        <v>7172030014001100</v>
      </c>
      <c r="C382">
        <v>219</v>
      </c>
      <c r="D382">
        <v>2</v>
      </c>
      <c r="E382">
        <v>3</v>
      </c>
      <c r="F382">
        <v>119</v>
      </c>
      <c r="G382">
        <v>0</v>
      </c>
      <c r="H382">
        <v>0</v>
      </c>
      <c r="I382">
        <v>95</v>
      </c>
      <c r="J382">
        <v>0</v>
      </c>
    </row>
    <row r="383" spans="1:10" x14ac:dyDescent="0.25">
      <c r="A383" t="s">
        <v>236</v>
      </c>
      <c r="B383">
        <v>7172030014001000</v>
      </c>
      <c r="C383">
        <v>112</v>
      </c>
      <c r="D383">
        <v>0</v>
      </c>
      <c r="E383">
        <v>0</v>
      </c>
      <c r="F383">
        <v>112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236</v>
      </c>
      <c r="B384">
        <v>7172030014001200</v>
      </c>
      <c r="C384">
        <v>108</v>
      </c>
      <c r="D384">
        <v>0</v>
      </c>
      <c r="E384">
        <v>0</v>
      </c>
      <c r="F384">
        <v>108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236</v>
      </c>
      <c r="B385">
        <v>7172030015000200</v>
      </c>
      <c r="C385">
        <v>64</v>
      </c>
      <c r="D385">
        <v>0</v>
      </c>
      <c r="E385">
        <v>0</v>
      </c>
      <c r="F385">
        <v>64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236</v>
      </c>
      <c r="B386">
        <v>7172030015000100</v>
      </c>
      <c r="C386">
        <v>63</v>
      </c>
      <c r="D386">
        <v>0</v>
      </c>
      <c r="E386">
        <v>0</v>
      </c>
      <c r="F386">
        <v>63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105</v>
      </c>
      <c r="B387">
        <v>7172030015001800</v>
      </c>
      <c r="C387">
        <v>117</v>
      </c>
      <c r="D387">
        <v>0</v>
      </c>
      <c r="E387">
        <v>0</v>
      </c>
      <c r="F387">
        <v>117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105</v>
      </c>
      <c r="B388">
        <v>7172030015001701</v>
      </c>
      <c r="C388">
        <v>85</v>
      </c>
      <c r="D388">
        <v>0</v>
      </c>
      <c r="E388">
        <v>0</v>
      </c>
      <c r="F388">
        <v>85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105</v>
      </c>
      <c r="B389">
        <v>7172030015001300</v>
      </c>
      <c r="C389">
        <v>79</v>
      </c>
      <c r="D389">
        <v>0</v>
      </c>
      <c r="E389">
        <v>14</v>
      </c>
      <c r="F389">
        <v>50</v>
      </c>
      <c r="G389">
        <v>0</v>
      </c>
      <c r="H389">
        <v>0</v>
      </c>
      <c r="I389">
        <v>15</v>
      </c>
      <c r="J389">
        <v>0</v>
      </c>
    </row>
    <row r="390" spans="1:10" x14ac:dyDescent="0.25">
      <c r="A390" t="s">
        <v>105</v>
      </c>
      <c r="B390">
        <v>7172030015001200</v>
      </c>
      <c r="C390">
        <v>63</v>
      </c>
      <c r="D390">
        <v>2</v>
      </c>
      <c r="E390">
        <v>6</v>
      </c>
      <c r="F390">
        <v>17</v>
      </c>
      <c r="G390">
        <v>0</v>
      </c>
      <c r="H390">
        <v>0</v>
      </c>
      <c r="I390">
        <v>38</v>
      </c>
      <c r="J390">
        <v>0</v>
      </c>
    </row>
    <row r="391" spans="1:10" x14ac:dyDescent="0.25">
      <c r="A391" t="s">
        <v>105</v>
      </c>
      <c r="B391">
        <v>7172030015001703</v>
      </c>
      <c r="C391">
        <v>35</v>
      </c>
      <c r="D391">
        <v>0</v>
      </c>
      <c r="E391">
        <v>0</v>
      </c>
      <c r="F391">
        <v>35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7172031001000700</v>
      </c>
      <c r="C392">
        <v>79</v>
      </c>
      <c r="D392">
        <v>0</v>
      </c>
      <c r="E392">
        <v>0</v>
      </c>
      <c r="F392">
        <v>79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7172031001001200</v>
      </c>
      <c r="C393">
        <v>58</v>
      </c>
      <c r="D393">
        <v>0</v>
      </c>
      <c r="E393">
        <v>0</v>
      </c>
      <c r="F393">
        <v>58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7172031001001100</v>
      </c>
      <c r="C394">
        <v>49</v>
      </c>
      <c r="D394">
        <v>0</v>
      </c>
      <c r="E394">
        <v>0</v>
      </c>
      <c r="F394">
        <v>49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7172031001000600</v>
      </c>
      <c r="C395">
        <v>46</v>
      </c>
      <c r="D395">
        <v>0</v>
      </c>
      <c r="E395">
        <v>0</v>
      </c>
      <c r="F395">
        <v>46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7172031001001400</v>
      </c>
      <c r="C396">
        <v>46</v>
      </c>
      <c r="D396">
        <v>2</v>
      </c>
      <c r="E396">
        <v>22</v>
      </c>
      <c r="F396">
        <v>19</v>
      </c>
      <c r="G396">
        <v>2</v>
      </c>
      <c r="H396">
        <v>0</v>
      </c>
      <c r="I396">
        <v>1</v>
      </c>
      <c r="J396">
        <v>0</v>
      </c>
    </row>
    <row r="397" spans="1:10" x14ac:dyDescent="0.25">
      <c r="A397" t="s">
        <v>109</v>
      </c>
      <c r="B397">
        <v>7172031001000800</v>
      </c>
      <c r="C397">
        <v>45</v>
      </c>
      <c r="D397">
        <v>0</v>
      </c>
      <c r="E397">
        <v>0</v>
      </c>
      <c r="F397">
        <v>45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7172031001000500</v>
      </c>
      <c r="C398">
        <v>42</v>
      </c>
      <c r="D398">
        <v>0</v>
      </c>
      <c r="E398">
        <v>0</v>
      </c>
      <c r="F398">
        <v>42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7172031001001300</v>
      </c>
      <c r="C399">
        <v>40</v>
      </c>
      <c r="D399">
        <v>17</v>
      </c>
      <c r="E399">
        <v>11</v>
      </c>
      <c r="F399">
        <v>3</v>
      </c>
      <c r="G399">
        <v>2</v>
      </c>
      <c r="H399">
        <v>0</v>
      </c>
      <c r="I399">
        <v>7</v>
      </c>
      <c r="J399">
        <v>0</v>
      </c>
    </row>
    <row r="400" spans="1:10" x14ac:dyDescent="0.25">
      <c r="A400" t="s">
        <v>109</v>
      </c>
      <c r="B400">
        <v>7172031001000400</v>
      </c>
      <c r="C400">
        <v>38</v>
      </c>
      <c r="D400">
        <v>0</v>
      </c>
      <c r="E400">
        <v>0</v>
      </c>
      <c r="F400">
        <v>38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109</v>
      </c>
      <c r="B401">
        <v>7172031001001000</v>
      </c>
      <c r="C401">
        <v>32</v>
      </c>
      <c r="D401">
        <v>0</v>
      </c>
      <c r="E401">
        <v>0</v>
      </c>
      <c r="F401">
        <v>32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109</v>
      </c>
      <c r="B402">
        <v>7172031001000300</v>
      </c>
      <c r="C402">
        <v>31</v>
      </c>
      <c r="D402">
        <v>0</v>
      </c>
      <c r="E402">
        <v>0</v>
      </c>
      <c r="F402">
        <v>31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109</v>
      </c>
      <c r="B403">
        <v>7172031001000100</v>
      </c>
      <c r="C403">
        <v>26</v>
      </c>
      <c r="D403">
        <v>0</v>
      </c>
      <c r="E403">
        <v>0</v>
      </c>
      <c r="F403">
        <v>26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109</v>
      </c>
      <c r="B404">
        <v>7172031001000200</v>
      </c>
      <c r="C404">
        <v>25</v>
      </c>
      <c r="D404">
        <v>0</v>
      </c>
      <c r="E404">
        <v>0</v>
      </c>
      <c r="F404">
        <v>25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109</v>
      </c>
      <c r="B405">
        <v>7172031001000900</v>
      </c>
      <c r="C405">
        <v>25</v>
      </c>
      <c r="D405">
        <v>0</v>
      </c>
      <c r="E405">
        <v>0</v>
      </c>
      <c r="F405">
        <v>25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7172031005001800</v>
      </c>
      <c r="C406">
        <v>106</v>
      </c>
      <c r="D406">
        <v>0</v>
      </c>
      <c r="E406">
        <v>0</v>
      </c>
      <c r="F406">
        <v>106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7172031002001200</v>
      </c>
      <c r="C407">
        <v>99</v>
      </c>
      <c r="D407">
        <v>0</v>
      </c>
      <c r="E407">
        <v>0</v>
      </c>
      <c r="F407">
        <v>99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7172031005000800</v>
      </c>
      <c r="C408">
        <v>81</v>
      </c>
      <c r="D408">
        <v>0</v>
      </c>
      <c r="E408">
        <v>0</v>
      </c>
      <c r="F408">
        <v>81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113</v>
      </c>
      <c r="B409">
        <v>7172031005001500</v>
      </c>
      <c r="C409">
        <v>77</v>
      </c>
      <c r="D409">
        <v>16</v>
      </c>
      <c r="E409">
        <v>15</v>
      </c>
      <c r="F409">
        <v>4</v>
      </c>
      <c r="G409">
        <v>0</v>
      </c>
      <c r="H409">
        <v>0</v>
      </c>
      <c r="I409">
        <v>42</v>
      </c>
      <c r="J409">
        <v>0</v>
      </c>
    </row>
    <row r="410" spans="1:10" x14ac:dyDescent="0.25">
      <c r="A410" t="s">
        <v>113</v>
      </c>
      <c r="B410">
        <v>7172031005001300</v>
      </c>
      <c r="C410">
        <v>74</v>
      </c>
      <c r="D410">
        <v>0</v>
      </c>
      <c r="E410">
        <v>0</v>
      </c>
      <c r="F410">
        <v>74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113</v>
      </c>
      <c r="B411">
        <v>7172031005001600</v>
      </c>
      <c r="C411">
        <v>60</v>
      </c>
      <c r="D411">
        <v>0</v>
      </c>
      <c r="E411">
        <v>0</v>
      </c>
      <c r="F411">
        <v>60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113</v>
      </c>
      <c r="B412">
        <v>7172031005001400</v>
      </c>
      <c r="C412">
        <v>59</v>
      </c>
      <c r="D412">
        <v>0</v>
      </c>
      <c r="E412">
        <v>0</v>
      </c>
      <c r="F412">
        <v>59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113</v>
      </c>
      <c r="B413">
        <v>7172031003000100</v>
      </c>
      <c r="C413">
        <v>51</v>
      </c>
      <c r="D413">
        <v>0</v>
      </c>
      <c r="E413">
        <v>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7172031003001300</v>
      </c>
      <c r="C414">
        <v>69</v>
      </c>
      <c r="D414">
        <v>22</v>
      </c>
      <c r="E414">
        <v>18</v>
      </c>
      <c r="F414">
        <v>15</v>
      </c>
      <c r="G414">
        <v>1</v>
      </c>
      <c r="H414">
        <v>0</v>
      </c>
      <c r="I414">
        <v>13</v>
      </c>
      <c r="J414">
        <v>0</v>
      </c>
    </row>
    <row r="415" spans="1:10" x14ac:dyDescent="0.25">
      <c r="A415" t="s">
        <v>114</v>
      </c>
      <c r="B415">
        <v>7172031003000500</v>
      </c>
      <c r="C415">
        <v>67</v>
      </c>
      <c r="D415">
        <v>0</v>
      </c>
      <c r="E415">
        <v>0</v>
      </c>
      <c r="F415">
        <v>67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7172031003001600</v>
      </c>
      <c r="C416">
        <v>65</v>
      </c>
      <c r="D416">
        <v>0</v>
      </c>
      <c r="E416">
        <v>0</v>
      </c>
      <c r="F416">
        <v>65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7172031003000800</v>
      </c>
      <c r="C417">
        <v>57</v>
      </c>
      <c r="D417">
        <v>10</v>
      </c>
      <c r="E417">
        <v>0</v>
      </c>
      <c r="F417">
        <v>47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7172031003001000</v>
      </c>
      <c r="C418">
        <v>50</v>
      </c>
      <c r="D418">
        <v>0</v>
      </c>
      <c r="E418">
        <v>0</v>
      </c>
      <c r="F418">
        <v>50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7172031003000600</v>
      </c>
      <c r="C419">
        <v>43</v>
      </c>
      <c r="D419">
        <v>0</v>
      </c>
      <c r="E419">
        <v>0</v>
      </c>
      <c r="F419">
        <v>43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7172031003001500</v>
      </c>
      <c r="C420">
        <v>42</v>
      </c>
      <c r="D420">
        <v>0</v>
      </c>
      <c r="E420">
        <v>0</v>
      </c>
      <c r="F420">
        <v>42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7172031003000700</v>
      </c>
      <c r="C421">
        <v>40</v>
      </c>
      <c r="D421">
        <v>0</v>
      </c>
      <c r="E421">
        <v>0</v>
      </c>
      <c r="F421">
        <v>40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114</v>
      </c>
      <c r="B422">
        <v>7172031003000300</v>
      </c>
      <c r="C422">
        <v>39</v>
      </c>
      <c r="D422">
        <v>0</v>
      </c>
      <c r="E422">
        <v>0</v>
      </c>
      <c r="F422">
        <v>39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114</v>
      </c>
      <c r="B423">
        <v>7172031003000900</v>
      </c>
      <c r="C423">
        <v>38</v>
      </c>
      <c r="D423">
        <v>0</v>
      </c>
      <c r="E423">
        <v>0</v>
      </c>
      <c r="F423">
        <v>38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114</v>
      </c>
      <c r="B424">
        <v>7172031003000400</v>
      </c>
      <c r="C424">
        <v>34</v>
      </c>
      <c r="D424">
        <v>0</v>
      </c>
      <c r="E424">
        <v>0</v>
      </c>
      <c r="F424">
        <v>34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114</v>
      </c>
      <c r="B425">
        <v>7172031003001200</v>
      </c>
      <c r="C425">
        <v>28</v>
      </c>
      <c r="D425">
        <v>0</v>
      </c>
      <c r="E425">
        <v>0</v>
      </c>
      <c r="F425">
        <v>28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114</v>
      </c>
      <c r="B426">
        <v>7172031003001100</v>
      </c>
      <c r="C426">
        <v>23</v>
      </c>
      <c r="D426">
        <v>0</v>
      </c>
      <c r="E426">
        <v>0</v>
      </c>
      <c r="F426">
        <v>23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7172031005000500</v>
      </c>
      <c r="C427">
        <v>73</v>
      </c>
      <c r="D427">
        <v>1</v>
      </c>
      <c r="E427">
        <v>0</v>
      </c>
      <c r="F427">
        <v>72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7172031005001200</v>
      </c>
      <c r="C428">
        <v>73</v>
      </c>
      <c r="D428">
        <v>0</v>
      </c>
      <c r="E428">
        <v>0</v>
      </c>
      <c r="F428">
        <v>73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7172031005000400</v>
      </c>
      <c r="C429">
        <v>71</v>
      </c>
      <c r="D429">
        <v>0</v>
      </c>
      <c r="E429">
        <v>0</v>
      </c>
      <c r="F429">
        <v>71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7172031005000900</v>
      </c>
      <c r="C430">
        <v>60</v>
      </c>
      <c r="D430">
        <v>0</v>
      </c>
      <c r="E430">
        <v>0</v>
      </c>
      <c r="F430">
        <v>60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7172031005000300</v>
      </c>
      <c r="C431">
        <v>52</v>
      </c>
      <c r="D431">
        <v>4</v>
      </c>
      <c r="E431">
        <v>19</v>
      </c>
      <c r="F431">
        <v>11</v>
      </c>
      <c r="G431">
        <v>4</v>
      </c>
      <c r="H431">
        <v>0</v>
      </c>
      <c r="I431">
        <v>14</v>
      </c>
      <c r="J431">
        <v>0</v>
      </c>
    </row>
    <row r="432" spans="1:10" x14ac:dyDescent="0.25">
      <c r="A432" t="s">
        <v>119</v>
      </c>
      <c r="B432">
        <v>7172031005000700</v>
      </c>
      <c r="C432">
        <v>50</v>
      </c>
      <c r="D432">
        <v>0</v>
      </c>
      <c r="E432">
        <v>0</v>
      </c>
      <c r="F432">
        <v>50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7172031005001700</v>
      </c>
      <c r="C433">
        <v>45</v>
      </c>
      <c r="D433">
        <v>0</v>
      </c>
      <c r="E433">
        <v>0</v>
      </c>
      <c r="F433">
        <v>45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119</v>
      </c>
      <c r="B434">
        <v>7172031005000600</v>
      </c>
      <c r="C434">
        <v>42</v>
      </c>
      <c r="D434">
        <v>0</v>
      </c>
      <c r="E434">
        <v>0</v>
      </c>
      <c r="F434">
        <v>42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119</v>
      </c>
      <c r="B435">
        <v>7172031005001000</v>
      </c>
      <c r="C435">
        <v>41</v>
      </c>
      <c r="D435">
        <v>0</v>
      </c>
      <c r="E435">
        <v>0</v>
      </c>
      <c r="F435">
        <v>41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119</v>
      </c>
      <c r="B436">
        <v>7172031005000200</v>
      </c>
      <c r="C436">
        <v>40</v>
      </c>
      <c r="D436">
        <v>0</v>
      </c>
      <c r="E436">
        <v>0</v>
      </c>
      <c r="F436">
        <v>40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119</v>
      </c>
      <c r="B437">
        <v>7172031005001100</v>
      </c>
      <c r="C437">
        <v>31</v>
      </c>
      <c r="D437">
        <v>0</v>
      </c>
      <c r="E437">
        <v>0</v>
      </c>
      <c r="F437">
        <v>31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119</v>
      </c>
      <c r="B438">
        <v>7172031005000100</v>
      </c>
      <c r="C438">
        <v>23</v>
      </c>
      <c r="D438">
        <v>0</v>
      </c>
      <c r="E438">
        <v>0</v>
      </c>
      <c r="F438">
        <v>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121</v>
      </c>
      <c r="B439">
        <v>7172031006001100</v>
      </c>
      <c r="C439">
        <v>192</v>
      </c>
      <c r="D439">
        <v>0</v>
      </c>
      <c r="E439">
        <v>28</v>
      </c>
      <c r="F439">
        <v>124</v>
      </c>
      <c r="G439">
        <v>2</v>
      </c>
      <c r="H439">
        <v>0</v>
      </c>
      <c r="I439">
        <v>38</v>
      </c>
      <c r="J439">
        <v>0</v>
      </c>
    </row>
    <row r="440" spans="1:10" x14ac:dyDescent="0.25">
      <c r="A440" t="s">
        <v>121</v>
      </c>
      <c r="B440">
        <v>7172031006000500</v>
      </c>
      <c r="C440">
        <v>189</v>
      </c>
      <c r="D440">
        <v>0</v>
      </c>
      <c r="E440">
        <v>0</v>
      </c>
      <c r="F440">
        <v>189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121</v>
      </c>
      <c r="B441">
        <v>7172031006000600</v>
      </c>
      <c r="C441">
        <v>103</v>
      </c>
      <c r="D441">
        <v>0</v>
      </c>
      <c r="E441">
        <v>0</v>
      </c>
      <c r="F441">
        <v>103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121</v>
      </c>
      <c r="B442">
        <v>7172031007002600</v>
      </c>
      <c r="C442">
        <v>72</v>
      </c>
      <c r="D442">
        <v>0</v>
      </c>
      <c r="E442">
        <v>0</v>
      </c>
      <c r="F442">
        <v>72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121</v>
      </c>
      <c r="B443">
        <v>7172031007002900</v>
      </c>
      <c r="C443">
        <v>61</v>
      </c>
      <c r="D443">
        <v>0</v>
      </c>
      <c r="E443">
        <v>0</v>
      </c>
      <c r="F443">
        <v>61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7172031007000100</v>
      </c>
      <c r="C444">
        <v>154</v>
      </c>
      <c r="D444">
        <v>0</v>
      </c>
      <c r="E444">
        <v>0</v>
      </c>
      <c r="F444">
        <v>154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7172031007000800</v>
      </c>
      <c r="C445">
        <v>100</v>
      </c>
      <c r="D445">
        <v>0</v>
      </c>
      <c r="E445">
        <v>0</v>
      </c>
      <c r="F445">
        <v>100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125</v>
      </c>
      <c r="B446">
        <v>7172031007000200</v>
      </c>
      <c r="C446">
        <v>99</v>
      </c>
      <c r="D446">
        <v>0</v>
      </c>
      <c r="E446">
        <v>0</v>
      </c>
      <c r="F446">
        <v>99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125</v>
      </c>
      <c r="B447">
        <v>7172031007000500</v>
      </c>
      <c r="C447">
        <v>98</v>
      </c>
      <c r="D447">
        <v>23</v>
      </c>
      <c r="E447">
        <v>12</v>
      </c>
      <c r="F447">
        <v>6</v>
      </c>
      <c r="G447">
        <v>1</v>
      </c>
      <c r="H447">
        <v>0</v>
      </c>
      <c r="I447">
        <v>56</v>
      </c>
      <c r="J447">
        <v>0</v>
      </c>
    </row>
    <row r="448" spans="1:10" x14ac:dyDescent="0.25">
      <c r="A448" t="s">
        <v>125</v>
      </c>
      <c r="B448">
        <v>7172031007002500</v>
      </c>
      <c r="C448">
        <v>66</v>
      </c>
      <c r="D448">
        <v>0</v>
      </c>
      <c r="E448">
        <v>0</v>
      </c>
      <c r="F448">
        <v>66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125</v>
      </c>
      <c r="B449">
        <v>7172031007000400</v>
      </c>
      <c r="C449">
        <v>56</v>
      </c>
      <c r="D449">
        <v>0</v>
      </c>
      <c r="E449">
        <v>0</v>
      </c>
      <c r="F449">
        <v>56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125</v>
      </c>
      <c r="B450">
        <v>7172031008000400</v>
      </c>
      <c r="C450">
        <v>32</v>
      </c>
      <c r="D450">
        <v>0</v>
      </c>
      <c r="E450">
        <v>5</v>
      </c>
      <c r="F450">
        <v>18</v>
      </c>
      <c r="G450">
        <v>0</v>
      </c>
      <c r="H450">
        <v>0</v>
      </c>
      <c r="I450">
        <v>9</v>
      </c>
      <c r="J450">
        <v>0</v>
      </c>
    </row>
    <row r="451" spans="1:10" x14ac:dyDescent="0.25">
      <c r="A451" t="s">
        <v>126</v>
      </c>
      <c r="B451">
        <v>7172031007000600</v>
      </c>
      <c r="C451">
        <v>162</v>
      </c>
      <c r="D451">
        <v>8</v>
      </c>
      <c r="E451">
        <v>12</v>
      </c>
      <c r="F451">
        <v>108</v>
      </c>
      <c r="G451">
        <v>0</v>
      </c>
      <c r="H451">
        <v>0</v>
      </c>
      <c r="I451">
        <v>34</v>
      </c>
      <c r="J451">
        <v>0</v>
      </c>
    </row>
    <row r="452" spans="1:10" x14ac:dyDescent="0.25">
      <c r="A452" t="s">
        <v>126</v>
      </c>
      <c r="B452">
        <v>7172031007001400</v>
      </c>
      <c r="C452">
        <v>117</v>
      </c>
      <c r="D452">
        <v>0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126</v>
      </c>
      <c r="B453">
        <v>7172031007001300</v>
      </c>
      <c r="C453">
        <v>94</v>
      </c>
      <c r="D453">
        <v>0</v>
      </c>
      <c r="E453">
        <v>0</v>
      </c>
      <c r="F453">
        <v>94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126</v>
      </c>
      <c r="B454">
        <v>7172031007000900</v>
      </c>
      <c r="C454">
        <v>92</v>
      </c>
      <c r="D454">
        <v>0</v>
      </c>
      <c r="E454">
        <v>0</v>
      </c>
      <c r="F454">
        <v>92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126</v>
      </c>
      <c r="B455">
        <v>7172031007000700</v>
      </c>
      <c r="C455">
        <v>86</v>
      </c>
      <c r="D455">
        <v>0</v>
      </c>
      <c r="E455">
        <v>0</v>
      </c>
      <c r="F455">
        <v>86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126</v>
      </c>
      <c r="B456">
        <v>7172031007001100</v>
      </c>
      <c r="C456">
        <v>54</v>
      </c>
      <c r="D456">
        <v>0</v>
      </c>
      <c r="E456">
        <v>0</v>
      </c>
      <c r="F456">
        <v>54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7172031007002700</v>
      </c>
      <c r="C457">
        <v>169</v>
      </c>
      <c r="D457">
        <v>20</v>
      </c>
      <c r="E457">
        <v>8</v>
      </c>
      <c r="F457">
        <v>72</v>
      </c>
      <c r="G457">
        <v>51</v>
      </c>
      <c r="H457">
        <v>0</v>
      </c>
      <c r="I457">
        <v>18</v>
      </c>
      <c r="J457">
        <v>0</v>
      </c>
    </row>
    <row r="458" spans="1:10" x14ac:dyDescent="0.25">
      <c r="A458" t="s">
        <v>123</v>
      </c>
      <c r="B458">
        <v>7172031006000800</v>
      </c>
      <c r="C458">
        <v>130</v>
      </c>
      <c r="D458">
        <v>0</v>
      </c>
      <c r="E458">
        <v>0</v>
      </c>
      <c r="F458">
        <v>130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123</v>
      </c>
      <c r="B459">
        <v>7172031007000300</v>
      </c>
      <c r="C459">
        <v>99</v>
      </c>
      <c r="D459">
        <v>0</v>
      </c>
      <c r="E459">
        <v>0</v>
      </c>
      <c r="F459">
        <v>99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123</v>
      </c>
      <c r="B460">
        <v>7172031008000200</v>
      </c>
      <c r="C460">
        <v>89</v>
      </c>
      <c r="D460">
        <v>0</v>
      </c>
      <c r="E460">
        <v>0</v>
      </c>
      <c r="F460">
        <v>89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123</v>
      </c>
      <c r="B461">
        <v>7172031008000100</v>
      </c>
      <c r="C461">
        <v>67</v>
      </c>
      <c r="D461">
        <v>0</v>
      </c>
      <c r="E461">
        <v>0</v>
      </c>
      <c r="F461">
        <v>67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123</v>
      </c>
      <c r="B462">
        <v>7172031007002800</v>
      </c>
      <c r="C462">
        <v>40</v>
      </c>
      <c r="D462">
        <v>0</v>
      </c>
      <c r="E462">
        <v>0</v>
      </c>
      <c r="F462">
        <v>40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7172031007001900</v>
      </c>
      <c r="C463">
        <v>121</v>
      </c>
      <c r="D463">
        <v>0</v>
      </c>
      <c r="E463">
        <v>0</v>
      </c>
      <c r="F463">
        <v>121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128</v>
      </c>
      <c r="B464">
        <v>7172031007002200</v>
      </c>
      <c r="C464">
        <v>120</v>
      </c>
      <c r="D464">
        <v>0</v>
      </c>
      <c r="E464">
        <v>0</v>
      </c>
      <c r="F464">
        <v>120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128</v>
      </c>
      <c r="B465">
        <v>7172031007002100</v>
      </c>
      <c r="C465">
        <v>100</v>
      </c>
      <c r="D465">
        <v>0</v>
      </c>
      <c r="E465">
        <v>0</v>
      </c>
      <c r="F465">
        <v>100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128</v>
      </c>
      <c r="B466">
        <v>7172031007002400</v>
      </c>
      <c r="C466">
        <v>75</v>
      </c>
      <c r="D466">
        <v>0</v>
      </c>
      <c r="E466">
        <v>0</v>
      </c>
      <c r="F466">
        <v>75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128</v>
      </c>
      <c r="B467">
        <v>7172031007001500</v>
      </c>
      <c r="C467">
        <v>73</v>
      </c>
      <c r="D467">
        <v>0</v>
      </c>
      <c r="E467">
        <v>3</v>
      </c>
      <c r="F467">
        <v>42</v>
      </c>
      <c r="G467">
        <v>2</v>
      </c>
      <c r="H467">
        <v>0</v>
      </c>
      <c r="I467">
        <v>26</v>
      </c>
      <c r="J467">
        <v>0</v>
      </c>
    </row>
    <row r="468" spans="1:10" x14ac:dyDescent="0.25">
      <c r="A468" t="s">
        <v>128</v>
      </c>
      <c r="B468">
        <v>7172031007002300</v>
      </c>
      <c r="C468">
        <v>72</v>
      </c>
      <c r="D468">
        <v>0</v>
      </c>
      <c r="E468">
        <v>0</v>
      </c>
      <c r="F468">
        <v>72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134</v>
      </c>
      <c r="B469">
        <v>7172040003001200</v>
      </c>
      <c r="C469">
        <v>154</v>
      </c>
      <c r="D469">
        <v>0</v>
      </c>
      <c r="E469">
        <v>0</v>
      </c>
      <c r="F469">
        <v>154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134</v>
      </c>
      <c r="B470">
        <v>7172040003001100</v>
      </c>
      <c r="C470">
        <v>129</v>
      </c>
      <c r="D470">
        <v>0</v>
      </c>
      <c r="E470">
        <v>0</v>
      </c>
      <c r="F470">
        <v>129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134</v>
      </c>
      <c r="B471">
        <v>7172040003001000</v>
      </c>
      <c r="C471">
        <v>124</v>
      </c>
      <c r="D471">
        <v>0</v>
      </c>
      <c r="E471">
        <v>9</v>
      </c>
      <c r="F471">
        <v>101</v>
      </c>
      <c r="G471">
        <v>2</v>
      </c>
      <c r="H471">
        <v>0</v>
      </c>
      <c r="I471">
        <v>12</v>
      </c>
      <c r="J471">
        <v>0</v>
      </c>
    </row>
    <row r="472" spans="1:10" x14ac:dyDescent="0.25">
      <c r="A472" t="s">
        <v>134</v>
      </c>
      <c r="B472">
        <v>7172040003000900</v>
      </c>
      <c r="C472">
        <v>93</v>
      </c>
      <c r="D472">
        <v>0</v>
      </c>
      <c r="E472">
        <v>0</v>
      </c>
      <c r="F472">
        <v>93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134</v>
      </c>
      <c r="B473">
        <v>7172040003000200</v>
      </c>
      <c r="C473">
        <v>69</v>
      </c>
      <c r="D473">
        <v>0</v>
      </c>
      <c r="E473">
        <v>0</v>
      </c>
      <c r="F473">
        <v>69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7172040007000300</v>
      </c>
      <c r="C474">
        <v>80</v>
      </c>
      <c r="D474">
        <v>0</v>
      </c>
      <c r="E474">
        <v>3</v>
      </c>
      <c r="F474">
        <v>68</v>
      </c>
      <c r="G474">
        <v>0</v>
      </c>
      <c r="H474">
        <v>0</v>
      </c>
      <c r="I474">
        <v>9</v>
      </c>
      <c r="J474">
        <v>0</v>
      </c>
    </row>
    <row r="475" spans="1:10" x14ac:dyDescent="0.25">
      <c r="A475" t="s">
        <v>131</v>
      </c>
      <c r="B475">
        <v>7172040007000200</v>
      </c>
      <c r="C475">
        <v>79</v>
      </c>
      <c r="D475">
        <v>0</v>
      </c>
      <c r="E475">
        <v>0</v>
      </c>
      <c r="F475">
        <v>79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7172040001000900</v>
      </c>
      <c r="C476">
        <v>75</v>
      </c>
      <c r="D476">
        <v>0</v>
      </c>
      <c r="E476">
        <v>0</v>
      </c>
      <c r="F476">
        <v>75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7172040007000100</v>
      </c>
      <c r="C477">
        <v>72</v>
      </c>
      <c r="D477">
        <v>0</v>
      </c>
      <c r="E477">
        <v>0</v>
      </c>
      <c r="F477">
        <v>72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131</v>
      </c>
      <c r="B478">
        <v>7172040001000600</v>
      </c>
      <c r="C478">
        <v>67</v>
      </c>
      <c r="D478">
        <v>0</v>
      </c>
      <c r="E478">
        <v>0</v>
      </c>
      <c r="F478">
        <v>67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131</v>
      </c>
      <c r="B479">
        <v>7172040001000700</v>
      </c>
      <c r="C479">
        <v>57</v>
      </c>
      <c r="D479">
        <v>0</v>
      </c>
      <c r="E479">
        <v>0</v>
      </c>
      <c r="F479">
        <v>57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131</v>
      </c>
      <c r="B480">
        <v>7172040001000500</v>
      </c>
      <c r="C480">
        <v>53</v>
      </c>
      <c r="D480">
        <v>0</v>
      </c>
      <c r="E480">
        <v>0</v>
      </c>
      <c r="F480">
        <v>53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131</v>
      </c>
      <c r="B481">
        <v>7172040007000400</v>
      </c>
      <c r="C481">
        <v>46</v>
      </c>
      <c r="D481">
        <v>0</v>
      </c>
      <c r="E481">
        <v>19</v>
      </c>
      <c r="F481">
        <v>14</v>
      </c>
      <c r="G481">
        <v>8</v>
      </c>
      <c r="H481">
        <v>0</v>
      </c>
      <c r="I481">
        <v>5</v>
      </c>
      <c r="J481">
        <v>0</v>
      </c>
    </row>
    <row r="482" spans="1:10" x14ac:dyDescent="0.25">
      <c r="A482" t="s">
        <v>131</v>
      </c>
      <c r="B482">
        <v>7172040001000800</v>
      </c>
      <c r="C482">
        <v>42</v>
      </c>
      <c r="D482">
        <v>0</v>
      </c>
      <c r="E482">
        <v>0</v>
      </c>
      <c r="F482">
        <v>42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131</v>
      </c>
      <c r="B483">
        <v>7172040001000400</v>
      </c>
      <c r="C483">
        <v>41</v>
      </c>
      <c r="D483">
        <v>0</v>
      </c>
      <c r="E483">
        <v>0</v>
      </c>
      <c r="F483">
        <v>41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7172040005000200</v>
      </c>
      <c r="C484">
        <v>95</v>
      </c>
      <c r="D484">
        <v>0</v>
      </c>
      <c r="E484">
        <v>0</v>
      </c>
      <c r="F484">
        <v>95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7172040005001200</v>
      </c>
      <c r="C485">
        <v>77</v>
      </c>
      <c r="D485">
        <v>0</v>
      </c>
      <c r="E485">
        <v>0</v>
      </c>
      <c r="F485">
        <v>77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7172040005000400</v>
      </c>
      <c r="C486">
        <v>58</v>
      </c>
      <c r="D486">
        <v>0</v>
      </c>
      <c r="E486">
        <v>0</v>
      </c>
      <c r="F486">
        <v>58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7172040005000700</v>
      </c>
      <c r="C487">
        <v>57</v>
      </c>
      <c r="D487">
        <v>0</v>
      </c>
      <c r="E487">
        <v>6</v>
      </c>
      <c r="F487">
        <v>6</v>
      </c>
      <c r="G487">
        <v>1</v>
      </c>
      <c r="H487">
        <v>0</v>
      </c>
      <c r="I487">
        <v>44</v>
      </c>
      <c r="J487">
        <v>0</v>
      </c>
    </row>
    <row r="488" spans="1:10" x14ac:dyDescent="0.25">
      <c r="A488" t="s">
        <v>137</v>
      </c>
      <c r="B488">
        <v>7172040005000100</v>
      </c>
      <c r="C488">
        <v>52</v>
      </c>
      <c r="D488">
        <v>0</v>
      </c>
      <c r="E488">
        <v>0</v>
      </c>
      <c r="F488">
        <v>52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137</v>
      </c>
      <c r="B489">
        <v>7172040005001100</v>
      </c>
      <c r="C489">
        <v>48</v>
      </c>
      <c r="D489">
        <v>0</v>
      </c>
      <c r="E489">
        <v>0</v>
      </c>
      <c r="F489">
        <v>48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137</v>
      </c>
      <c r="B490">
        <v>7172040005000900</v>
      </c>
      <c r="C490">
        <v>44</v>
      </c>
      <c r="D490">
        <v>0</v>
      </c>
      <c r="E490">
        <v>0</v>
      </c>
      <c r="F490">
        <v>42</v>
      </c>
      <c r="G490">
        <v>0</v>
      </c>
      <c r="H490">
        <v>0</v>
      </c>
      <c r="I490">
        <v>2</v>
      </c>
      <c r="J490">
        <v>0</v>
      </c>
    </row>
    <row r="491" spans="1:10" x14ac:dyDescent="0.25">
      <c r="A491" t="s">
        <v>137</v>
      </c>
      <c r="B491">
        <v>7172040005000300</v>
      </c>
      <c r="C491">
        <v>40</v>
      </c>
      <c r="D491">
        <v>0</v>
      </c>
      <c r="E491">
        <v>0</v>
      </c>
      <c r="F491">
        <v>40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137</v>
      </c>
      <c r="B492">
        <v>7172040005000800</v>
      </c>
      <c r="C492">
        <v>39</v>
      </c>
      <c r="D492">
        <v>0</v>
      </c>
      <c r="E492">
        <v>0</v>
      </c>
      <c r="F492">
        <v>38</v>
      </c>
      <c r="G492">
        <v>0</v>
      </c>
      <c r="H492">
        <v>0</v>
      </c>
      <c r="I492">
        <v>1</v>
      </c>
      <c r="J492">
        <v>0</v>
      </c>
    </row>
    <row r="493" spans="1:10" x14ac:dyDescent="0.25">
      <c r="A493" t="s">
        <v>137</v>
      </c>
      <c r="B493">
        <v>7172040005001000</v>
      </c>
      <c r="C493">
        <v>27</v>
      </c>
      <c r="D493">
        <v>0</v>
      </c>
      <c r="E493">
        <v>0</v>
      </c>
      <c r="F493">
        <v>27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137</v>
      </c>
      <c r="B494">
        <v>7172040005000500</v>
      </c>
      <c r="C494">
        <v>24</v>
      </c>
      <c r="D494">
        <v>0</v>
      </c>
      <c r="E494">
        <v>0</v>
      </c>
      <c r="F494">
        <v>24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7172040005002001</v>
      </c>
      <c r="C495">
        <v>126</v>
      </c>
      <c r="D495">
        <v>0</v>
      </c>
      <c r="E495">
        <v>0</v>
      </c>
      <c r="F495">
        <v>126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138</v>
      </c>
      <c r="B496">
        <v>7172040005001800</v>
      </c>
      <c r="C496">
        <v>108</v>
      </c>
      <c r="D496">
        <v>0</v>
      </c>
      <c r="E496">
        <v>0</v>
      </c>
      <c r="F496">
        <v>108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138</v>
      </c>
      <c r="B497">
        <v>7172040005001700</v>
      </c>
      <c r="C497">
        <v>100</v>
      </c>
      <c r="D497">
        <v>0</v>
      </c>
      <c r="E497">
        <v>0</v>
      </c>
      <c r="F497">
        <v>100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138</v>
      </c>
      <c r="B498">
        <v>7172040005001401</v>
      </c>
      <c r="C498">
        <v>72</v>
      </c>
      <c r="D498">
        <v>0</v>
      </c>
      <c r="E498">
        <v>0</v>
      </c>
      <c r="F498">
        <v>72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138</v>
      </c>
      <c r="B499">
        <v>7172040005001402</v>
      </c>
      <c r="C499">
        <v>61</v>
      </c>
      <c r="D499">
        <v>0</v>
      </c>
      <c r="E499">
        <v>0</v>
      </c>
      <c r="F499">
        <v>61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138</v>
      </c>
      <c r="B500">
        <v>7172040005001500</v>
      </c>
      <c r="C500">
        <v>56</v>
      </c>
      <c r="D500">
        <v>0</v>
      </c>
      <c r="E500">
        <v>0</v>
      </c>
      <c r="F500">
        <v>56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138</v>
      </c>
      <c r="B501">
        <v>7172040005001300</v>
      </c>
      <c r="C501">
        <v>55</v>
      </c>
      <c r="D501">
        <v>0</v>
      </c>
      <c r="E501">
        <v>15</v>
      </c>
      <c r="F501">
        <v>26</v>
      </c>
      <c r="G501">
        <v>0</v>
      </c>
      <c r="H501">
        <v>0</v>
      </c>
      <c r="I501">
        <v>14</v>
      </c>
      <c r="J501">
        <v>0</v>
      </c>
    </row>
    <row r="502" spans="1:10" x14ac:dyDescent="0.25">
      <c r="A502" t="s">
        <v>141</v>
      </c>
      <c r="B502">
        <v>7172040013000100</v>
      </c>
      <c r="C502">
        <v>125</v>
      </c>
      <c r="D502">
        <v>0</v>
      </c>
      <c r="E502">
        <v>63</v>
      </c>
      <c r="F502">
        <v>16</v>
      </c>
      <c r="G502">
        <v>2</v>
      </c>
      <c r="H502">
        <v>0</v>
      </c>
      <c r="I502">
        <v>44</v>
      </c>
      <c r="J502">
        <v>0</v>
      </c>
    </row>
    <row r="503" spans="1:10" x14ac:dyDescent="0.25">
      <c r="A503" t="s">
        <v>141</v>
      </c>
      <c r="B503">
        <v>7172040013000200</v>
      </c>
      <c r="C503">
        <v>95</v>
      </c>
      <c r="D503">
        <v>0</v>
      </c>
      <c r="E503">
        <v>0</v>
      </c>
      <c r="F503">
        <v>95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7172040012001200</v>
      </c>
      <c r="C504">
        <v>70</v>
      </c>
      <c r="D504">
        <v>0</v>
      </c>
      <c r="E504">
        <v>0</v>
      </c>
      <c r="F504">
        <v>70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7172040012001300</v>
      </c>
      <c r="C505">
        <v>54</v>
      </c>
      <c r="D505">
        <v>0</v>
      </c>
      <c r="E505">
        <v>0</v>
      </c>
      <c r="F505">
        <v>54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141</v>
      </c>
      <c r="B506">
        <v>7172040012000900</v>
      </c>
      <c r="C506">
        <v>49</v>
      </c>
      <c r="D506">
        <v>0</v>
      </c>
      <c r="E506">
        <v>0</v>
      </c>
      <c r="F506">
        <v>49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141</v>
      </c>
      <c r="B507">
        <v>7172040012001400</v>
      </c>
      <c r="C507">
        <v>45</v>
      </c>
      <c r="D507">
        <v>0</v>
      </c>
      <c r="E507">
        <v>0</v>
      </c>
      <c r="F507">
        <v>45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141</v>
      </c>
      <c r="B508">
        <v>7172040012001100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141</v>
      </c>
      <c r="B509">
        <v>7172040012000700</v>
      </c>
      <c r="C509">
        <v>38</v>
      </c>
      <c r="D509">
        <v>0</v>
      </c>
      <c r="E509">
        <v>0</v>
      </c>
      <c r="F509">
        <v>38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141</v>
      </c>
      <c r="B510">
        <v>7172040012000800</v>
      </c>
      <c r="C510">
        <v>38</v>
      </c>
      <c r="D510">
        <v>0</v>
      </c>
      <c r="E510">
        <v>0</v>
      </c>
      <c r="F510">
        <v>38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141</v>
      </c>
      <c r="B511">
        <v>7172040012001000</v>
      </c>
      <c r="C511">
        <v>34</v>
      </c>
      <c r="D511">
        <v>0</v>
      </c>
      <c r="E511">
        <v>0</v>
      </c>
      <c r="F511">
        <v>34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7172040013000600</v>
      </c>
      <c r="C512">
        <v>98</v>
      </c>
      <c r="D512">
        <v>0</v>
      </c>
      <c r="E512">
        <v>0</v>
      </c>
      <c r="F512">
        <v>98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7172040013000800</v>
      </c>
      <c r="C513">
        <v>75</v>
      </c>
      <c r="D513">
        <v>0</v>
      </c>
      <c r="E513">
        <v>12</v>
      </c>
      <c r="F513">
        <v>25</v>
      </c>
      <c r="G513">
        <v>0</v>
      </c>
      <c r="H513">
        <v>0</v>
      </c>
      <c r="I513">
        <v>38</v>
      </c>
      <c r="J513">
        <v>0</v>
      </c>
    </row>
    <row r="514" spans="1:10" x14ac:dyDescent="0.25">
      <c r="A514" t="s">
        <v>142</v>
      </c>
      <c r="B514">
        <v>7172040013000300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7172040013000400</v>
      </c>
      <c r="C515">
        <v>67</v>
      </c>
      <c r="D515">
        <v>0</v>
      </c>
      <c r="E515">
        <v>0</v>
      </c>
      <c r="F515">
        <v>67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7172040012001500</v>
      </c>
      <c r="C516">
        <v>55</v>
      </c>
      <c r="D516">
        <v>0</v>
      </c>
      <c r="E516">
        <v>0</v>
      </c>
      <c r="F516">
        <v>55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7172040013000500</v>
      </c>
      <c r="C517">
        <v>55</v>
      </c>
      <c r="D517">
        <v>0</v>
      </c>
      <c r="E517">
        <v>0</v>
      </c>
      <c r="F517">
        <v>55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142</v>
      </c>
      <c r="B518">
        <v>7172040013000700</v>
      </c>
      <c r="C518">
        <v>52</v>
      </c>
      <c r="D518">
        <v>0</v>
      </c>
      <c r="E518">
        <v>0</v>
      </c>
      <c r="F518">
        <v>52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142</v>
      </c>
      <c r="B519">
        <v>7172040013000900</v>
      </c>
      <c r="C519">
        <v>52</v>
      </c>
      <c r="D519">
        <v>0</v>
      </c>
      <c r="E519">
        <v>0</v>
      </c>
      <c r="F519">
        <v>52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142</v>
      </c>
      <c r="B520">
        <v>7172040013001000</v>
      </c>
      <c r="C520">
        <v>48</v>
      </c>
      <c r="D520">
        <v>0</v>
      </c>
      <c r="E520">
        <v>0</v>
      </c>
      <c r="F520">
        <v>48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142</v>
      </c>
      <c r="B521">
        <v>7172040013001100</v>
      </c>
      <c r="C521">
        <v>48</v>
      </c>
      <c r="D521">
        <v>0</v>
      </c>
      <c r="E521">
        <v>0</v>
      </c>
      <c r="F521">
        <v>48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142</v>
      </c>
      <c r="B522">
        <v>7172040013001200</v>
      </c>
      <c r="C522">
        <v>41</v>
      </c>
      <c r="D522">
        <v>0</v>
      </c>
      <c r="E522">
        <v>0</v>
      </c>
      <c r="F522">
        <v>41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7172010008001300</v>
      </c>
      <c r="C523">
        <v>134</v>
      </c>
      <c r="D523">
        <v>0</v>
      </c>
      <c r="E523">
        <v>10</v>
      </c>
      <c r="F523">
        <v>124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5</v>
      </c>
      <c r="B524">
        <v>7172010008001400</v>
      </c>
      <c r="C524">
        <v>110</v>
      </c>
      <c r="D524">
        <v>3</v>
      </c>
      <c r="E524">
        <v>5</v>
      </c>
      <c r="F524">
        <v>39</v>
      </c>
      <c r="G524">
        <v>0</v>
      </c>
      <c r="H524">
        <v>0</v>
      </c>
      <c r="I524">
        <v>63</v>
      </c>
      <c r="J524">
        <v>0</v>
      </c>
    </row>
    <row r="525" spans="1:10" x14ac:dyDescent="0.25">
      <c r="A525" t="s">
        <v>5</v>
      </c>
      <c r="B525">
        <v>7172010008001500</v>
      </c>
      <c r="C525">
        <v>98</v>
      </c>
      <c r="D525">
        <v>0</v>
      </c>
      <c r="E525">
        <v>0</v>
      </c>
      <c r="F525">
        <v>98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5</v>
      </c>
      <c r="B526">
        <v>7172010008000100</v>
      </c>
      <c r="C526">
        <v>95</v>
      </c>
      <c r="D526">
        <v>0</v>
      </c>
      <c r="E526">
        <v>0</v>
      </c>
      <c r="F526">
        <v>95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5</v>
      </c>
      <c r="B527">
        <v>7172010008001102</v>
      </c>
      <c r="C527">
        <v>89</v>
      </c>
      <c r="D527">
        <v>0</v>
      </c>
      <c r="E527">
        <v>0</v>
      </c>
      <c r="F527">
        <v>89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5</v>
      </c>
      <c r="B528">
        <v>7172010008001200</v>
      </c>
      <c r="C528">
        <v>61</v>
      </c>
      <c r="D528">
        <v>0</v>
      </c>
      <c r="E528">
        <v>0</v>
      </c>
      <c r="F528">
        <v>61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8</v>
      </c>
      <c r="B529">
        <v>7172010009000300</v>
      </c>
      <c r="C529">
        <v>80</v>
      </c>
      <c r="D529">
        <v>13</v>
      </c>
      <c r="E529">
        <v>1</v>
      </c>
      <c r="F529">
        <v>46</v>
      </c>
      <c r="G529">
        <v>0</v>
      </c>
      <c r="H529">
        <v>0</v>
      </c>
      <c r="I529">
        <v>20</v>
      </c>
      <c r="J529">
        <v>0</v>
      </c>
    </row>
    <row r="530" spans="1:10" x14ac:dyDescent="0.25">
      <c r="A530" t="s">
        <v>8</v>
      </c>
      <c r="B530">
        <v>7172010015002602</v>
      </c>
      <c r="C530">
        <v>65</v>
      </c>
      <c r="D530">
        <v>0</v>
      </c>
      <c r="E530">
        <v>0</v>
      </c>
      <c r="F530">
        <v>65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7172010009000400</v>
      </c>
      <c r="C531">
        <v>63</v>
      </c>
      <c r="D531">
        <v>0</v>
      </c>
      <c r="E531">
        <v>0</v>
      </c>
      <c r="F531">
        <v>63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7172010009000700</v>
      </c>
      <c r="C532">
        <v>59</v>
      </c>
      <c r="D532">
        <v>0</v>
      </c>
      <c r="E532">
        <v>0</v>
      </c>
      <c r="F532">
        <v>59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7172010008001700</v>
      </c>
      <c r="C533">
        <v>55</v>
      </c>
      <c r="D533">
        <v>2</v>
      </c>
      <c r="E533">
        <v>1</v>
      </c>
      <c r="F533">
        <v>26</v>
      </c>
      <c r="G533">
        <v>0</v>
      </c>
      <c r="H533">
        <v>0</v>
      </c>
      <c r="I533">
        <v>26</v>
      </c>
      <c r="J533">
        <v>0</v>
      </c>
    </row>
    <row r="534" spans="1:10" x14ac:dyDescent="0.25">
      <c r="A534" t="s">
        <v>8</v>
      </c>
      <c r="B534">
        <v>7172010008001800</v>
      </c>
      <c r="C534">
        <v>51</v>
      </c>
      <c r="D534">
        <v>37</v>
      </c>
      <c r="E534">
        <v>0</v>
      </c>
      <c r="F534">
        <v>9</v>
      </c>
      <c r="G534">
        <v>0</v>
      </c>
      <c r="H534">
        <v>0</v>
      </c>
      <c r="I534">
        <v>5</v>
      </c>
      <c r="J534">
        <v>0</v>
      </c>
    </row>
    <row r="535" spans="1:10" x14ac:dyDescent="0.25">
      <c r="A535" t="s">
        <v>8</v>
      </c>
      <c r="B535">
        <v>7172010009000100</v>
      </c>
      <c r="C535">
        <v>51</v>
      </c>
      <c r="D535">
        <v>0</v>
      </c>
      <c r="E535">
        <v>0</v>
      </c>
      <c r="F535">
        <v>51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7172010009000600</v>
      </c>
      <c r="C536">
        <v>41</v>
      </c>
      <c r="D536">
        <v>0</v>
      </c>
      <c r="E536">
        <v>0</v>
      </c>
      <c r="F536">
        <v>41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7172010009000200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8</v>
      </c>
      <c r="B538">
        <v>7172010008002000</v>
      </c>
      <c r="C538">
        <v>29</v>
      </c>
      <c r="D538">
        <v>0</v>
      </c>
      <c r="E538">
        <v>0</v>
      </c>
      <c r="F538">
        <v>29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8</v>
      </c>
      <c r="B539">
        <v>7172010009000500</v>
      </c>
      <c r="C539">
        <v>27</v>
      </c>
      <c r="D539">
        <v>0</v>
      </c>
      <c r="E539">
        <v>0</v>
      </c>
      <c r="F539">
        <v>27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8</v>
      </c>
      <c r="B540">
        <v>7172010008002100</v>
      </c>
      <c r="C540">
        <v>21</v>
      </c>
      <c r="D540">
        <v>0</v>
      </c>
      <c r="E540">
        <v>0</v>
      </c>
      <c r="F540">
        <v>21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8</v>
      </c>
      <c r="B541">
        <v>7172010008001600</v>
      </c>
      <c r="C541">
        <v>12</v>
      </c>
      <c r="D541">
        <v>0</v>
      </c>
      <c r="E541">
        <v>0</v>
      </c>
      <c r="F541">
        <v>12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8</v>
      </c>
      <c r="B542">
        <v>7172010008001900</v>
      </c>
      <c r="C542">
        <v>12</v>
      </c>
      <c r="D542">
        <v>0</v>
      </c>
      <c r="E542">
        <v>0</v>
      </c>
      <c r="F542">
        <v>12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7172010009001300</v>
      </c>
      <c r="C543">
        <v>60</v>
      </c>
      <c r="D543">
        <v>0</v>
      </c>
      <c r="E543">
        <v>1</v>
      </c>
      <c r="F543">
        <v>59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7172010009001100</v>
      </c>
      <c r="C544">
        <v>59</v>
      </c>
      <c r="D544">
        <v>0</v>
      </c>
      <c r="E544">
        <v>5</v>
      </c>
      <c r="F544">
        <v>35</v>
      </c>
      <c r="G544">
        <v>0</v>
      </c>
      <c r="H544">
        <v>0</v>
      </c>
      <c r="I544">
        <v>19</v>
      </c>
      <c r="J544">
        <v>0</v>
      </c>
    </row>
    <row r="545" spans="1:10" x14ac:dyDescent="0.25">
      <c r="A545" t="s">
        <v>9</v>
      </c>
      <c r="B545">
        <v>7172010009001200</v>
      </c>
      <c r="C545">
        <v>59</v>
      </c>
      <c r="D545">
        <v>5</v>
      </c>
      <c r="E545">
        <v>5</v>
      </c>
      <c r="F545">
        <v>14</v>
      </c>
      <c r="G545">
        <v>0</v>
      </c>
      <c r="H545">
        <v>0</v>
      </c>
      <c r="I545">
        <v>35</v>
      </c>
      <c r="J545">
        <v>0</v>
      </c>
    </row>
    <row r="546" spans="1:10" x14ac:dyDescent="0.25">
      <c r="A546" t="s">
        <v>9</v>
      </c>
      <c r="B546">
        <v>7172010009001900</v>
      </c>
      <c r="C546">
        <v>54</v>
      </c>
      <c r="D546">
        <v>0</v>
      </c>
      <c r="E546">
        <v>0</v>
      </c>
      <c r="F546">
        <v>54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7172010009001700</v>
      </c>
      <c r="C547">
        <v>51</v>
      </c>
      <c r="D547">
        <v>0</v>
      </c>
      <c r="E547">
        <v>0</v>
      </c>
      <c r="F547">
        <v>51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7172010009001000</v>
      </c>
      <c r="C548">
        <v>48</v>
      </c>
      <c r="D548">
        <v>0</v>
      </c>
      <c r="E548">
        <v>0</v>
      </c>
      <c r="F548">
        <v>48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7172010009001400</v>
      </c>
      <c r="C549">
        <v>45</v>
      </c>
      <c r="D549">
        <v>0</v>
      </c>
      <c r="E549">
        <v>0</v>
      </c>
      <c r="F549">
        <v>45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7172010009001500</v>
      </c>
      <c r="C550">
        <v>44</v>
      </c>
      <c r="D550">
        <v>0</v>
      </c>
      <c r="E550">
        <v>0</v>
      </c>
      <c r="F550">
        <v>44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7172010009001600</v>
      </c>
      <c r="C551">
        <v>42</v>
      </c>
      <c r="D551">
        <v>0</v>
      </c>
      <c r="E551">
        <v>0</v>
      </c>
      <c r="F551">
        <v>42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9</v>
      </c>
      <c r="B552">
        <v>7172010015000900</v>
      </c>
      <c r="C552">
        <v>41</v>
      </c>
      <c r="D552">
        <v>0</v>
      </c>
      <c r="E552">
        <v>0</v>
      </c>
      <c r="F552">
        <v>41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9</v>
      </c>
      <c r="B553">
        <v>7172010009000900</v>
      </c>
      <c r="C553">
        <v>35</v>
      </c>
      <c r="D553">
        <v>0</v>
      </c>
      <c r="E553">
        <v>0</v>
      </c>
      <c r="F553">
        <v>35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9</v>
      </c>
      <c r="B554">
        <v>7172010009002000</v>
      </c>
      <c r="C554">
        <v>33</v>
      </c>
      <c r="D554">
        <v>0</v>
      </c>
      <c r="E554">
        <v>0</v>
      </c>
      <c r="F554">
        <v>33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9</v>
      </c>
      <c r="B555">
        <v>7172010009000800</v>
      </c>
      <c r="C555">
        <v>32</v>
      </c>
      <c r="D555">
        <v>0</v>
      </c>
      <c r="E555">
        <v>0</v>
      </c>
      <c r="F555">
        <v>32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9</v>
      </c>
      <c r="B556">
        <v>7172010009001800</v>
      </c>
      <c r="C556">
        <v>18</v>
      </c>
      <c r="D556">
        <v>0</v>
      </c>
      <c r="E556">
        <v>0</v>
      </c>
      <c r="F556">
        <v>18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7172010010000200</v>
      </c>
      <c r="C557">
        <v>99</v>
      </c>
      <c r="D557">
        <v>0</v>
      </c>
      <c r="E557">
        <v>0</v>
      </c>
      <c r="F557">
        <v>99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7172010009002900</v>
      </c>
      <c r="C558">
        <v>93</v>
      </c>
      <c r="D558">
        <v>0</v>
      </c>
      <c r="E558">
        <v>0</v>
      </c>
      <c r="F558">
        <v>93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11</v>
      </c>
      <c r="B559">
        <v>7172010009003100</v>
      </c>
      <c r="C559">
        <v>90</v>
      </c>
      <c r="D559">
        <v>1</v>
      </c>
      <c r="E559">
        <v>13</v>
      </c>
      <c r="F559">
        <v>36</v>
      </c>
      <c r="G559">
        <v>0</v>
      </c>
      <c r="H559">
        <v>0</v>
      </c>
      <c r="I559">
        <v>40</v>
      </c>
      <c r="J559">
        <v>0</v>
      </c>
    </row>
    <row r="560" spans="1:10" x14ac:dyDescent="0.25">
      <c r="A560" t="s">
        <v>11</v>
      </c>
      <c r="B560">
        <v>7172010010000100</v>
      </c>
      <c r="C560">
        <v>76</v>
      </c>
      <c r="D560">
        <v>0</v>
      </c>
      <c r="E560">
        <v>0</v>
      </c>
      <c r="F560">
        <v>76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11</v>
      </c>
      <c r="B561">
        <v>7172010009003000</v>
      </c>
      <c r="C561">
        <v>75</v>
      </c>
      <c r="D561">
        <v>0</v>
      </c>
      <c r="E561">
        <v>0</v>
      </c>
      <c r="F561">
        <v>75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11</v>
      </c>
      <c r="B562">
        <v>7172010010000500</v>
      </c>
      <c r="C562">
        <v>61</v>
      </c>
      <c r="D562">
        <v>0</v>
      </c>
      <c r="E562">
        <v>0</v>
      </c>
      <c r="F562">
        <v>61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11</v>
      </c>
      <c r="B563">
        <v>7172010010000300</v>
      </c>
      <c r="C563">
        <v>59</v>
      </c>
      <c r="D563">
        <v>0</v>
      </c>
      <c r="E563">
        <v>0</v>
      </c>
      <c r="F563">
        <v>59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11</v>
      </c>
      <c r="B564">
        <v>7172010010000400</v>
      </c>
      <c r="C564">
        <v>38</v>
      </c>
      <c r="D564">
        <v>0</v>
      </c>
      <c r="E564">
        <v>0</v>
      </c>
      <c r="F564">
        <v>38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7172010010000600</v>
      </c>
      <c r="C565">
        <v>86</v>
      </c>
      <c r="D565">
        <v>0</v>
      </c>
      <c r="E565">
        <v>0</v>
      </c>
      <c r="F565">
        <v>86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7172010010001500</v>
      </c>
      <c r="C566">
        <v>75</v>
      </c>
      <c r="D566">
        <v>0</v>
      </c>
      <c r="E566">
        <v>3</v>
      </c>
      <c r="F566">
        <v>31</v>
      </c>
      <c r="G566">
        <v>0</v>
      </c>
      <c r="H566">
        <v>0</v>
      </c>
      <c r="I566">
        <v>41</v>
      </c>
      <c r="J566">
        <v>0</v>
      </c>
    </row>
    <row r="567" spans="1:10" x14ac:dyDescent="0.25">
      <c r="A567" t="s">
        <v>12</v>
      </c>
      <c r="B567">
        <v>7172010010001200</v>
      </c>
      <c r="C567">
        <v>66</v>
      </c>
      <c r="D567">
        <v>0</v>
      </c>
      <c r="E567">
        <v>0</v>
      </c>
      <c r="F567">
        <v>66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7172010010000800</v>
      </c>
      <c r="C568">
        <v>65</v>
      </c>
      <c r="D568">
        <v>0</v>
      </c>
      <c r="E568">
        <v>0</v>
      </c>
      <c r="F568">
        <v>65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7172010010000700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12</v>
      </c>
      <c r="B570">
        <v>7172010010001100</v>
      </c>
      <c r="C570">
        <v>51</v>
      </c>
      <c r="D570">
        <v>0</v>
      </c>
      <c r="E570">
        <v>0</v>
      </c>
      <c r="F570">
        <v>40</v>
      </c>
      <c r="G570">
        <v>0</v>
      </c>
      <c r="H570">
        <v>0</v>
      </c>
      <c r="I570">
        <v>11</v>
      </c>
      <c r="J570">
        <v>0</v>
      </c>
    </row>
    <row r="571" spans="1:10" x14ac:dyDescent="0.25">
      <c r="A571" t="s">
        <v>12</v>
      </c>
      <c r="B571">
        <v>7172010010001300</v>
      </c>
      <c r="C571">
        <v>49</v>
      </c>
      <c r="D571">
        <v>0</v>
      </c>
      <c r="E571">
        <v>0</v>
      </c>
      <c r="F571">
        <v>49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12</v>
      </c>
      <c r="B572">
        <v>7172010010001400</v>
      </c>
      <c r="C572">
        <v>48</v>
      </c>
      <c r="D572">
        <v>0</v>
      </c>
      <c r="E572">
        <v>0</v>
      </c>
      <c r="F572">
        <v>48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12</v>
      </c>
      <c r="B573">
        <v>7172010010001000</v>
      </c>
      <c r="C573">
        <v>32</v>
      </c>
      <c r="D573">
        <v>0</v>
      </c>
      <c r="E573">
        <v>0</v>
      </c>
      <c r="F573">
        <v>32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12</v>
      </c>
      <c r="B574">
        <v>7172010010000900</v>
      </c>
      <c r="C574">
        <v>23</v>
      </c>
      <c r="D574">
        <v>0</v>
      </c>
      <c r="E574">
        <v>0</v>
      </c>
      <c r="F574">
        <v>23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7172010011001900</v>
      </c>
      <c r="C575">
        <v>63</v>
      </c>
      <c r="D575">
        <v>0</v>
      </c>
      <c r="E575">
        <v>0</v>
      </c>
      <c r="F575">
        <v>63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7172010011002000</v>
      </c>
      <c r="C576">
        <v>63</v>
      </c>
      <c r="D576">
        <v>0</v>
      </c>
      <c r="E576">
        <v>0</v>
      </c>
      <c r="F576">
        <v>63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7172010011000700</v>
      </c>
      <c r="C577">
        <v>60</v>
      </c>
      <c r="D577">
        <v>0</v>
      </c>
      <c r="E577">
        <v>1</v>
      </c>
      <c r="F577">
        <v>2</v>
      </c>
      <c r="G577">
        <v>0</v>
      </c>
      <c r="H577">
        <v>0</v>
      </c>
      <c r="I577">
        <v>57</v>
      </c>
      <c r="J577">
        <v>0</v>
      </c>
    </row>
    <row r="578" spans="1:10" x14ac:dyDescent="0.25">
      <c r="A578" t="s">
        <v>14</v>
      </c>
      <c r="B578">
        <v>7172010011001800</v>
      </c>
      <c r="C578">
        <v>52</v>
      </c>
      <c r="D578">
        <v>0</v>
      </c>
      <c r="E578">
        <v>0</v>
      </c>
      <c r="F578">
        <v>52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7172010011000800</v>
      </c>
      <c r="C579">
        <v>43</v>
      </c>
      <c r="D579">
        <v>0</v>
      </c>
      <c r="E579">
        <v>3</v>
      </c>
      <c r="F579">
        <v>32</v>
      </c>
      <c r="G579">
        <v>0</v>
      </c>
      <c r="H579">
        <v>0</v>
      </c>
      <c r="I579">
        <v>8</v>
      </c>
      <c r="J579">
        <v>0</v>
      </c>
    </row>
    <row r="580" spans="1:10" x14ac:dyDescent="0.25">
      <c r="A580" t="s">
        <v>14</v>
      </c>
      <c r="B580">
        <v>7172010011002100</v>
      </c>
      <c r="C580">
        <v>39</v>
      </c>
      <c r="D580">
        <v>0</v>
      </c>
      <c r="E580">
        <v>0</v>
      </c>
      <c r="F580">
        <v>39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7172010011001400</v>
      </c>
      <c r="C581">
        <v>37</v>
      </c>
      <c r="D581">
        <v>0</v>
      </c>
      <c r="E581">
        <v>0</v>
      </c>
      <c r="F581">
        <v>37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7172010011001700</v>
      </c>
      <c r="C582">
        <v>37</v>
      </c>
      <c r="D582">
        <v>0</v>
      </c>
      <c r="E582">
        <v>0</v>
      </c>
      <c r="F582">
        <v>37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7172010011001500</v>
      </c>
      <c r="C583">
        <v>35</v>
      </c>
      <c r="D583">
        <v>0</v>
      </c>
      <c r="E583">
        <v>0</v>
      </c>
      <c r="F583">
        <v>35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7172010011000900</v>
      </c>
      <c r="C584">
        <v>33</v>
      </c>
      <c r="D584">
        <v>0</v>
      </c>
      <c r="E584">
        <v>0</v>
      </c>
      <c r="F584">
        <v>33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14</v>
      </c>
      <c r="B585">
        <v>7172010011001000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14</v>
      </c>
      <c r="B586">
        <v>7172010011001100</v>
      </c>
      <c r="C586">
        <v>31</v>
      </c>
      <c r="D586">
        <v>0</v>
      </c>
      <c r="E586">
        <v>0</v>
      </c>
      <c r="F586">
        <v>31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14</v>
      </c>
      <c r="B587">
        <v>7172010011001600</v>
      </c>
      <c r="C587">
        <v>28</v>
      </c>
      <c r="D587">
        <v>0</v>
      </c>
      <c r="E587">
        <v>0</v>
      </c>
      <c r="F587">
        <v>28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14</v>
      </c>
      <c r="B588">
        <v>7172010011001200</v>
      </c>
      <c r="C588">
        <v>26</v>
      </c>
      <c r="D588">
        <v>0</v>
      </c>
      <c r="E588">
        <v>0</v>
      </c>
      <c r="F588">
        <v>26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14</v>
      </c>
      <c r="B589">
        <v>7172010011001300</v>
      </c>
      <c r="C589">
        <v>23</v>
      </c>
      <c r="D589">
        <v>0</v>
      </c>
      <c r="E589">
        <v>0</v>
      </c>
      <c r="F589">
        <v>23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7172010011002200</v>
      </c>
      <c r="C590">
        <v>79</v>
      </c>
      <c r="D590">
        <v>0</v>
      </c>
      <c r="E590">
        <v>41</v>
      </c>
      <c r="F590">
        <v>36</v>
      </c>
      <c r="G590">
        <v>0</v>
      </c>
      <c r="H590">
        <v>0</v>
      </c>
      <c r="I590">
        <v>2</v>
      </c>
      <c r="J590">
        <v>0</v>
      </c>
    </row>
    <row r="591" spans="1:10" x14ac:dyDescent="0.25">
      <c r="A591" t="s">
        <v>15</v>
      </c>
      <c r="B591">
        <v>7172010012000700</v>
      </c>
      <c r="C591">
        <v>73</v>
      </c>
      <c r="D591">
        <v>12</v>
      </c>
      <c r="E591">
        <v>4</v>
      </c>
      <c r="F591">
        <v>1</v>
      </c>
      <c r="G591">
        <v>0</v>
      </c>
      <c r="H591">
        <v>0</v>
      </c>
      <c r="I591">
        <v>56</v>
      </c>
      <c r="J591">
        <v>0</v>
      </c>
    </row>
    <row r="592" spans="1:10" x14ac:dyDescent="0.25">
      <c r="A592" t="s">
        <v>15</v>
      </c>
      <c r="B592">
        <v>7172010012000300</v>
      </c>
      <c r="C592">
        <v>67</v>
      </c>
      <c r="D592">
        <v>0</v>
      </c>
      <c r="E592">
        <v>0</v>
      </c>
      <c r="F592">
        <v>67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7172010012001100</v>
      </c>
      <c r="C593">
        <v>56</v>
      </c>
      <c r="D593">
        <v>0</v>
      </c>
      <c r="E593">
        <v>0</v>
      </c>
      <c r="F593">
        <v>56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7172010012000500</v>
      </c>
      <c r="C594">
        <v>47</v>
      </c>
      <c r="D594">
        <v>0</v>
      </c>
      <c r="E594">
        <v>0</v>
      </c>
      <c r="F594">
        <v>47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7172010012001000</v>
      </c>
      <c r="C595">
        <v>46</v>
      </c>
      <c r="D595">
        <v>0</v>
      </c>
      <c r="E595">
        <v>0</v>
      </c>
      <c r="F595">
        <v>46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7172010012000600</v>
      </c>
      <c r="C596">
        <v>37</v>
      </c>
      <c r="D596">
        <v>0</v>
      </c>
      <c r="E596">
        <v>0</v>
      </c>
      <c r="F596">
        <v>37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7172010012001200</v>
      </c>
      <c r="C597">
        <v>36</v>
      </c>
      <c r="D597">
        <v>0</v>
      </c>
      <c r="E597">
        <v>0</v>
      </c>
      <c r="F597">
        <v>36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15</v>
      </c>
      <c r="B598">
        <v>7172010012000200</v>
      </c>
      <c r="C598">
        <v>34</v>
      </c>
      <c r="D598">
        <v>0</v>
      </c>
      <c r="E598">
        <v>0</v>
      </c>
      <c r="F598">
        <v>34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15</v>
      </c>
      <c r="B599">
        <v>7172010012000400</v>
      </c>
      <c r="C599">
        <v>32</v>
      </c>
      <c r="D599">
        <v>0</v>
      </c>
      <c r="E599">
        <v>0</v>
      </c>
      <c r="F599">
        <v>32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15</v>
      </c>
      <c r="B600">
        <v>7172010012000900</v>
      </c>
      <c r="C600">
        <v>32</v>
      </c>
      <c r="D600">
        <v>0</v>
      </c>
      <c r="E600">
        <v>0</v>
      </c>
      <c r="F600">
        <v>32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15</v>
      </c>
      <c r="B601">
        <v>7172010012000100</v>
      </c>
      <c r="C601">
        <v>29</v>
      </c>
      <c r="D601">
        <v>0</v>
      </c>
      <c r="E601">
        <v>0</v>
      </c>
      <c r="F601">
        <v>29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15</v>
      </c>
      <c r="B602">
        <v>7172010012000800</v>
      </c>
      <c r="C602">
        <v>23</v>
      </c>
      <c r="D602">
        <v>0</v>
      </c>
      <c r="E602">
        <v>0</v>
      </c>
      <c r="F602">
        <v>23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7172010015003200</v>
      </c>
      <c r="C603">
        <v>161</v>
      </c>
      <c r="D603">
        <v>0</v>
      </c>
      <c r="E603">
        <v>0</v>
      </c>
      <c r="F603">
        <v>161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7172010015003100</v>
      </c>
      <c r="C604">
        <v>133</v>
      </c>
      <c r="D604">
        <v>0</v>
      </c>
      <c r="E604">
        <v>31</v>
      </c>
      <c r="F604">
        <v>57</v>
      </c>
      <c r="G604">
        <v>0</v>
      </c>
      <c r="H604">
        <v>0</v>
      </c>
      <c r="I604">
        <v>45</v>
      </c>
      <c r="J604">
        <v>0</v>
      </c>
    </row>
    <row r="605" spans="1:10" x14ac:dyDescent="0.25">
      <c r="A605" t="s">
        <v>23</v>
      </c>
      <c r="B605">
        <v>7172010015002700</v>
      </c>
      <c r="C605">
        <v>90</v>
      </c>
      <c r="D605">
        <v>0</v>
      </c>
      <c r="E605">
        <v>0</v>
      </c>
      <c r="F605">
        <v>90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23</v>
      </c>
      <c r="B606">
        <v>7172010015003000</v>
      </c>
      <c r="C606">
        <v>59</v>
      </c>
      <c r="D606">
        <v>0</v>
      </c>
      <c r="E606">
        <v>0</v>
      </c>
      <c r="F606">
        <v>59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23</v>
      </c>
      <c r="B607">
        <v>7172010015002900</v>
      </c>
      <c r="C607">
        <v>58</v>
      </c>
      <c r="D607">
        <v>0</v>
      </c>
      <c r="E607">
        <v>0</v>
      </c>
      <c r="F607">
        <v>58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23</v>
      </c>
      <c r="B608">
        <v>7172010015002800</v>
      </c>
      <c r="C608">
        <v>49</v>
      </c>
      <c r="D608">
        <v>0</v>
      </c>
      <c r="E608">
        <v>0</v>
      </c>
      <c r="F608">
        <v>49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23</v>
      </c>
      <c r="B609">
        <v>7172010015001200</v>
      </c>
      <c r="C609">
        <v>31</v>
      </c>
      <c r="D609">
        <v>0</v>
      </c>
      <c r="E609">
        <v>0</v>
      </c>
      <c r="F609">
        <v>31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7172010015001800</v>
      </c>
      <c r="C610">
        <v>147</v>
      </c>
      <c r="D610">
        <v>0</v>
      </c>
      <c r="E610">
        <v>0</v>
      </c>
      <c r="F610">
        <v>147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21</v>
      </c>
      <c r="B611">
        <v>7172010015001600</v>
      </c>
      <c r="C611">
        <v>112</v>
      </c>
      <c r="D611">
        <v>0</v>
      </c>
      <c r="E611">
        <v>0</v>
      </c>
      <c r="F611">
        <v>112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21</v>
      </c>
      <c r="B612">
        <v>7172010015001500</v>
      </c>
      <c r="C612">
        <v>99</v>
      </c>
      <c r="D612">
        <v>5</v>
      </c>
      <c r="E612">
        <v>0</v>
      </c>
      <c r="F612">
        <v>37</v>
      </c>
      <c r="G612">
        <v>1</v>
      </c>
      <c r="H612">
        <v>0</v>
      </c>
      <c r="I612">
        <v>56</v>
      </c>
      <c r="J612">
        <v>0</v>
      </c>
    </row>
    <row r="613" spans="1:10" x14ac:dyDescent="0.25">
      <c r="A613" t="s">
        <v>21</v>
      </c>
      <c r="B613">
        <v>7172010015001900</v>
      </c>
      <c r="C613">
        <v>87</v>
      </c>
      <c r="D613">
        <v>0</v>
      </c>
      <c r="E613">
        <v>0</v>
      </c>
      <c r="F613">
        <v>87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21</v>
      </c>
      <c r="B614">
        <v>7172010015002000</v>
      </c>
      <c r="C614">
        <v>64</v>
      </c>
      <c r="D614">
        <v>0</v>
      </c>
      <c r="E614">
        <v>0</v>
      </c>
      <c r="F614">
        <v>64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21</v>
      </c>
      <c r="B615">
        <v>7172010015001700</v>
      </c>
      <c r="C615">
        <v>54</v>
      </c>
      <c r="D615">
        <v>0</v>
      </c>
      <c r="E615">
        <v>0</v>
      </c>
      <c r="F615">
        <v>54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21</v>
      </c>
      <c r="B616">
        <v>7172010015001000</v>
      </c>
      <c r="C616">
        <v>37</v>
      </c>
      <c r="D616">
        <v>0</v>
      </c>
      <c r="E616">
        <v>0</v>
      </c>
      <c r="F616">
        <v>37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7172010008001000</v>
      </c>
      <c r="C617">
        <v>179</v>
      </c>
      <c r="D617">
        <v>8</v>
      </c>
      <c r="E617">
        <v>13</v>
      </c>
      <c r="F617">
        <v>71</v>
      </c>
      <c r="G617">
        <v>1</v>
      </c>
      <c r="H617">
        <v>0</v>
      </c>
      <c r="I617">
        <v>86</v>
      </c>
      <c r="J617">
        <v>0</v>
      </c>
    </row>
    <row r="618" spans="1:10" x14ac:dyDescent="0.25">
      <c r="A618" t="s">
        <v>7</v>
      </c>
      <c r="B618">
        <v>7172010008001101</v>
      </c>
      <c r="C618">
        <v>164</v>
      </c>
      <c r="D618">
        <v>0</v>
      </c>
      <c r="E618">
        <v>0</v>
      </c>
      <c r="F618">
        <v>164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7</v>
      </c>
      <c r="B619">
        <v>7172010008000800</v>
      </c>
      <c r="C619">
        <v>120</v>
      </c>
      <c r="D619">
        <v>0</v>
      </c>
      <c r="E619">
        <v>0</v>
      </c>
      <c r="F619">
        <v>120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7</v>
      </c>
      <c r="B620">
        <v>7172010008000900</v>
      </c>
      <c r="C620">
        <v>68</v>
      </c>
      <c r="D620">
        <v>0</v>
      </c>
      <c r="E620">
        <v>0</v>
      </c>
      <c r="F620">
        <v>68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7</v>
      </c>
      <c r="B621">
        <v>7172010016000200</v>
      </c>
      <c r="C621">
        <v>51</v>
      </c>
      <c r="D621">
        <v>0</v>
      </c>
      <c r="E621">
        <v>0</v>
      </c>
      <c r="F621">
        <v>51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7</v>
      </c>
      <c r="B622">
        <v>7172010016000100</v>
      </c>
      <c r="C622">
        <v>23</v>
      </c>
      <c r="D622">
        <v>0</v>
      </c>
      <c r="E622">
        <v>0</v>
      </c>
      <c r="F622">
        <v>23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7172010017001200</v>
      </c>
      <c r="C623">
        <v>113</v>
      </c>
      <c r="D623">
        <v>0</v>
      </c>
      <c r="E623">
        <v>6</v>
      </c>
      <c r="F623">
        <v>107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7172010017000800</v>
      </c>
      <c r="C624">
        <v>96</v>
      </c>
      <c r="D624">
        <v>6</v>
      </c>
      <c r="E624">
        <v>0</v>
      </c>
      <c r="F624">
        <v>0</v>
      </c>
      <c r="G624">
        <v>0</v>
      </c>
      <c r="H624">
        <v>0</v>
      </c>
      <c r="I624">
        <v>90</v>
      </c>
      <c r="J624">
        <v>0</v>
      </c>
    </row>
    <row r="625" spans="1:10" x14ac:dyDescent="0.25">
      <c r="A625" t="s">
        <v>237</v>
      </c>
      <c r="B625">
        <v>7172010017001100</v>
      </c>
      <c r="C625">
        <v>80</v>
      </c>
      <c r="D625">
        <v>0</v>
      </c>
      <c r="E625">
        <v>2</v>
      </c>
      <c r="F625">
        <v>78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237</v>
      </c>
      <c r="B626">
        <v>7172010017001400</v>
      </c>
      <c r="C626">
        <v>60</v>
      </c>
      <c r="D626">
        <v>0</v>
      </c>
      <c r="E626">
        <v>0</v>
      </c>
      <c r="F626">
        <v>60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237</v>
      </c>
      <c r="B627">
        <v>7172010017000700</v>
      </c>
      <c r="C627">
        <v>55</v>
      </c>
      <c r="D627">
        <v>0</v>
      </c>
      <c r="E627">
        <v>0</v>
      </c>
      <c r="F627">
        <v>55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237</v>
      </c>
      <c r="B628">
        <v>7172010017000900</v>
      </c>
      <c r="C628">
        <v>55</v>
      </c>
      <c r="D628">
        <v>0</v>
      </c>
      <c r="E628">
        <v>0</v>
      </c>
      <c r="F628">
        <v>55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237</v>
      </c>
      <c r="B629">
        <v>7172010017000500</v>
      </c>
      <c r="C629">
        <v>47</v>
      </c>
      <c r="D629">
        <v>0</v>
      </c>
      <c r="E629">
        <v>0</v>
      </c>
      <c r="F629">
        <v>47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237</v>
      </c>
      <c r="B630">
        <v>7172010017001000</v>
      </c>
      <c r="C630">
        <v>40</v>
      </c>
      <c r="D630">
        <v>0</v>
      </c>
      <c r="E630">
        <v>0</v>
      </c>
      <c r="F630">
        <v>40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237</v>
      </c>
      <c r="B631">
        <v>7172010017000600</v>
      </c>
      <c r="C631">
        <v>38</v>
      </c>
      <c r="D631">
        <v>0</v>
      </c>
      <c r="E631">
        <v>0</v>
      </c>
      <c r="F631">
        <v>38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7172011001000700</v>
      </c>
      <c r="C632">
        <v>142</v>
      </c>
      <c r="D632">
        <v>3</v>
      </c>
      <c r="E632">
        <v>0</v>
      </c>
      <c r="F632">
        <v>74</v>
      </c>
      <c r="G632">
        <v>1</v>
      </c>
      <c r="H632">
        <v>0</v>
      </c>
      <c r="I632">
        <v>64</v>
      </c>
      <c r="J632">
        <v>0</v>
      </c>
    </row>
    <row r="633" spans="1:10" x14ac:dyDescent="0.25">
      <c r="A633" t="s">
        <v>27</v>
      </c>
      <c r="B633">
        <v>7172011002000600</v>
      </c>
      <c r="C633">
        <v>130</v>
      </c>
      <c r="D633">
        <v>0</v>
      </c>
      <c r="E633">
        <v>0</v>
      </c>
      <c r="F633">
        <v>130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27</v>
      </c>
      <c r="B634">
        <v>7172011002000900</v>
      </c>
      <c r="C634">
        <v>102</v>
      </c>
      <c r="D634">
        <v>0</v>
      </c>
      <c r="E634">
        <v>0</v>
      </c>
      <c r="F634">
        <v>102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27</v>
      </c>
      <c r="B635">
        <v>7172011001000900</v>
      </c>
      <c r="C635">
        <v>76</v>
      </c>
      <c r="D635">
        <v>0</v>
      </c>
      <c r="E635">
        <v>0</v>
      </c>
      <c r="F635">
        <v>76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27</v>
      </c>
      <c r="B636">
        <v>7172011001000800</v>
      </c>
      <c r="C636">
        <v>67</v>
      </c>
      <c r="D636">
        <v>0</v>
      </c>
      <c r="E636">
        <v>0</v>
      </c>
      <c r="F636">
        <v>67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27</v>
      </c>
      <c r="B637">
        <v>7172011002001000</v>
      </c>
      <c r="C637">
        <v>47</v>
      </c>
      <c r="D637">
        <v>0</v>
      </c>
      <c r="E637">
        <v>0</v>
      </c>
      <c r="F637">
        <v>47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27</v>
      </c>
      <c r="B638">
        <v>7172011002001100</v>
      </c>
      <c r="C638">
        <v>44</v>
      </c>
      <c r="D638">
        <v>0</v>
      </c>
      <c r="E638">
        <v>0</v>
      </c>
      <c r="F638">
        <v>44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7172011002001500</v>
      </c>
      <c r="C639">
        <v>84</v>
      </c>
      <c r="D639">
        <v>0</v>
      </c>
      <c r="E639">
        <v>0</v>
      </c>
      <c r="F639">
        <v>84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7172011011000500</v>
      </c>
      <c r="C640">
        <v>82</v>
      </c>
      <c r="D640">
        <v>6</v>
      </c>
      <c r="E640">
        <v>11</v>
      </c>
      <c r="F640">
        <v>10</v>
      </c>
      <c r="G640">
        <v>0</v>
      </c>
      <c r="H640">
        <v>0</v>
      </c>
      <c r="I640">
        <v>55</v>
      </c>
      <c r="J640">
        <v>0</v>
      </c>
    </row>
    <row r="641" spans="1:10" x14ac:dyDescent="0.25">
      <c r="A641" t="s">
        <v>29</v>
      </c>
      <c r="B641">
        <v>7172011002001400</v>
      </c>
      <c r="C641">
        <v>77</v>
      </c>
      <c r="D641">
        <v>0</v>
      </c>
      <c r="E641">
        <v>0</v>
      </c>
      <c r="F641">
        <v>77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7172011002001200</v>
      </c>
      <c r="C642">
        <v>74</v>
      </c>
      <c r="D642">
        <v>0</v>
      </c>
      <c r="E642">
        <v>0</v>
      </c>
      <c r="F642">
        <v>74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7172011011000400</v>
      </c>
      <c r="C643">
        <v>71</v>
      </c>
      <c r="D643">
        <v>0</v>
      </c>
      <c r="E643">
        <v>0</v>
      </c>
      <c r="F643">
        <v>71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29</v>
      </c>
      <c r="B644">
        <v>7172011002001600</v>
      </c>
      <c r="C644">
        <v>68</v>
      </c>
      <c r="D644">
        <v>0</v>
      </c>
      <c r="E644">
        <v>0</v>
      </c>
      <c r="F644">
        <v>68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29</v>
      </c>
      <c r="B645">
        <v>7172011002001300</v>
      </c>
      <c r="C645">
        <v>58</v>
      </c>
      <c r="D645">
        <v>0</v>
      </c>
      <c r="E645">
        <v>0</v>
      </c>
      <c r="F645">
        <v>58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29</v>
      </c>
      <c r="B646">
        <v>7172011011000300</v>
      </c>
      <c r="C646">
        <v>50</v>
      </c>
      <c r="D646">
        <v>0</v>
      </c>
      <c r="E646">
        <v>0</v>
      </c>
      <c r="F646">
        <v>50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29</v>
      </c>
      <c r="B647">
        <v>7172011011000200</v>
      </c>
      <c r="C647">
        <v>38</v>
      </c>
      <c r="D647">
        <v>0</v>
      </c>
      <c r="E647">
        <v>0</v>
      </c>
      <c r="F647">
        <v>38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29</v>
      </c>
      <c r="B648">
        <v>7172011011000100</v>
      </c>
      <c r="C648">
        <v>27</v>
      </c>
      <c r="D648">
        <v>0</v>
      </c>
      <c r="E648">
        <v>0</v>
      </c>
      <c r="F648">
        <v>27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30</v>
      </c>
      <c r="B649">
        <v>7172011003001803</v>
      </c>
      <c r="C649">
        <v>125</v>
      </c>
      <c r="D649">
        <v>0</v>
      </c>
      <c r="E649">
        <v>11</v>
      </c>
      <c r="F649">
        <v>67</v>
      </c>
      <c r="G649">
        <v>0</v>
      </c>
      <c r="H649">
        <v>0</v>
      </c>
      <c r="I649">
        <v>47</v>
      </c>
      <c r="J649">
        <v>0</v>
      </c>
    </row>
    <row r="650" spans="1:10" x14ac:dyDescent="0.25">
      <c r="A650" t="s">
        <v>30</v>
      </c>
      <c r="B650">
        <v>7172011003000100</v>
      </c>
      <c r="C650">
        <v>121</v>
      </c>
      <c r="D650">
        <v>0</v>
      </c>
      <c r="E650">
        <v>0</v>
      </c>
      <c r="F650">
        <v>121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30</v>
      </c>
      <c r="B651">
        <v>7172011003000700</v>
      </c>
      <c r="C651">
        <v>118</v>
      </c>
      <c r="D651">
        <v>0</v>
      </c>
      <c r="E651">
        <v>0</v>
      </c>
      <c r="F651">
        <v>118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30</v>
      </c>
      <c r="B652">
        <v>7172011003000400</v>
      </c>
      <c r="C652">
        <v>112</v>
      </c>
      <c r="D652">
        <v>0</v>
      </c>
      <c r="E652">
        <v>0</v>
      </c>
      <c r="F652">
        <v>112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30</v>
      </c>
      <c r="B653">
        <v>7172011003000202</v>
      </c>
      <c r="C653">
        <v>90</v>
      </c>
      <c r="D653">
        <v>0</v>
      </c>
      <c r="E653">
        <v>0</v>
      </c>
      <c r="F653">
        <v>90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32</v>
      </c>
      <c r="B654">
        <v>7172011003000600</v>
      </c>
      <c r="C654">
        <v>181</v>
      </c>
      <c r="D654">
        <v>0</v>
      </c>
      <c r="E654">
        <v>0</v>
      </c>
      <c r="F654">
        <v>181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32</v>
      </c>
      <c r="B655">
        <v>7172011003000300</v>
      </c>
      <c r="C655">
        <v>165</v>
      </c>
      <c r="D655">
        <v>3</v>
      </c>
      <c r="E655">
        <v>4</v>
      </c>
      <c r="F655">
        <v>132</v>
      </c>
      <c r="G655">
        <v>0</v>
      </c>
      <c r="H655">
        <v>0</v>
      </c>
      <c r="I655">
        <v>26</v>
      </c>
      <c r="J655">
        <v>0</v>
      </c>
    </row>
    <row r="656" spans="1:10" x14ac:dyDescent="0.25">
      <c r="A656" t="s">
        <v>32</v>
      </c>
      <c r="B656">
        <v>7172011003000500</v>
      </c>
      <c r="C656">
        <v>126</v>
      </c>
      <c r="D656">
        <v>0</v>
      </c>
      <c r="E656">
        <v>0</v>
      </c>
      <c r="F656">
        <v>126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32</v>
      </c>
      <c r="B657">
        <v>7172011003001001</v>
      </c>
      <c r="C657">
        <v>103</v>
      </c>
      <c r="D657">
        <v>0</v>
      </c>
      <c r="E657">
        <v>0</v>
      </c>
      <c r="F657">
        <v>103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7172011003003300</v>
      </c>
      <c r="C658">
        <v>124</v>
      </c>
      <c r="D658">
        <v>0</v>
      </c>
      <c r="E658">
        <v>0</v>
      </c>
      <c r="F658">
        <v>124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7172011003003200</v>
      </c>
      <c r="C659">
        <v>116</v>
      </c>
      <c r="D659">
        <v>0</v>
      </c>
      <c r="E659">
        <v>0</v>
      </c>
      <c r="F659">
        <v>116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33</v>
      </c>
      <c r="B660">
        <v>7172011014001702</v>
      </c>
      <c r="C660">
        <v>100</v>
      </c>
      <c r="D660">
        <v>63</v>
      </c>
      <c r="E660">
        <v>7</v>
      </c>
      <c r="F660">
        <v>20</v>
      </c>
      <c r="G660">
        <v>0</v>
      </c>
      <c r="H660">
        <v>0</v>
      </c>
      <c r="I660">
        <v>10</v>
      </c>
      <c r="J660">
        <v>0</v>
      </c>
    </row>
    <row r="661" spans="1:10" x14ac:dyDescent="0.25">
      <c r="A661" t="s">
        <v>33</v>
      </c>
      <c r="B661">
        <v>7172011003003503</v>
      </c>
      <c r="C661">
        <v>93</v>
      </c>
      <c r="D661">
        <v>0</v>
      </c>
      <c r="E661">
        <v>1</v>
      </c>
      <c r="F661">
        <v>92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33</v>
      </c>
      <c r="B662">
        <v>7172011003000800</v>
      </c>
      <c r="C662">
        <v>88</v>
      </c>
      <c r="D662">
        <v>0</v>
      </c>
      <c r="E662">
        <v>0</v>
      </c>
      <c r="F662">
        <v>88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33</v>
      </c>
      <c r="B663">
        <v>7172011003003400</v>
      </c>
      <c r="C663">
        <v>67</v>
      </c>
      <c r="D663">
        <v>0</v>
      </c>
      <c r="E663">
        <v>0</v>
      </c>
      <c r="F663">
        <v>67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33</v>
      </c>
      <c r="B664">
        <v>7172011003003502</v>
      </c>
      <c r="C664">
        <v>32</v>
      </c>
      <c r="D664">
        <v>0</v>
      </c>
      <c r="E664">
        <v>0</v>
      </c>
      <c r="F664">
        <v>32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7172011003000900</v>
      </c>
      <c r="C665">
        <v>144</v>
      </c>
      <c r="D665">
        <v>0</v>
      </c>
      <c r="E665">
        <v>0</v>
      </c>
      <c r="F665">
        <v>144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34</v>
      </c>
      <c r="B666">
        <v>7172011003001600</v>
      </c>
      <c r="C666">
        <v>115</v>
      </c>
      <c r="D666">
        <v>0</v>
      </c>
      <c r="E666">
        <v>7</v>
      </c>
      <c r="F666">
        <v>53</v>
      </c>
      <c r="G666">
        <v>0</v>
      </c>
      <c r="H666">
        <v>0</v>
      </c>
      <c r="I666">
        <v>55</v>
      </c>
      <c r="J666">
        <v>0</v>
      </c>
    </row>
    <row r="667" spans="1:10" x14ac:dyDescent="0.25">
      <c r="A667" t="s">
        <v>34</v>
      </c>
      <c r="B667">
        <v>7172011003001200</v>
      </c>
      <c r="C667">
        <v>95</v>
      </c>
      <c r="D667">
        <v>0</v>
      </c>
      <c r="E667">
        <v>0</v>
      </c>
      <c r="F667">
        <v>95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34</v>
      </c>
      <c r="B668">
        <v>7172011003001500</v>
      </c>
      <c r="C668">
        <v>87</v>
      </c>
      <c r="D668">
        <v>0</v>
      </c>
      <c r="E668">
        <v>0</v>
      </c>
      <c r="F668">
        <v>87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34</v>
      </c>
      <c r="B669">
        <v>7172011003001400</v>
      </c>
      <c r="C669">
        <v>78</v>
      </c>
      <c r="D669">
        <v>0</v>
      </c>
      <c r="E669">
        <v>0</v>
      </c>
      <c r="F669">
        <v>78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34</v>
      </c>
      <c r="B670">
        <v>7172011014000800</v>
      </c>
      <c r="C670">
        <v>67</v>
      </c>
      <c r="D670">
        <v>0</v>
      </c>
      <c r="E670">
        <v>0</v>
      </c>
      <c r="F670">
        <v>67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40</v>
      </c>
      <c r="B671">
        <v>7172011004000900</v>
      </c>
      <c r="C671">
        <v>150</v>
      </c>
      <c r="D671">
        <v>0</v>
      </c>
      <c r="E671">
        <v>0</v>
      </c>
      <c r="F671">
        <v>150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40</v>
      </c>
      <c r="B672">
        <v>7172011004001200</v>
      </c>
      <c r="C672">
        <v>145</v>
      </c>
      <c r="D672">
        <v>0</v>
      </c>
      <c r="E672">
        <v>0</v>
      </c>
      <c r="F672">
        <v>145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40</v>
      </c>
      <c r="B673">
        <v>7172011004000700</v>
      </c>
      <c r="C673">
        <v>119</v>
      </c>
      <c r="D673">
        <v>8</v>
      </c>
      <c r="E673">
        <v>38</v>
      </c>
      <c r="F673">
        <v>66</v>
      </c>
      <c r="G673">
        <v>4</v>
      </c>
      <c r="H673">
        <v>0</v>
      </c>
      <c r="I673">
        <v>3</v>
      </c>
      <c r="J673">
        <v>0</v>
      </c>
    </row>
    <row r="674" spans="1:10" x14ac:dyDescent="0.25">
      <c r="A674" t="s">
        <v>40</v>
      </c>
      <c r="B674">
        <v>7172011004001000</v>
      </c>
      <c r="C674">
        <v>100</v>
      </c>
      <c r="D674">
        <v>0</v>
      </c>
      <c r="E674">
        <v>0</v>
      </c>
      <c r="F674">
        <v>100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40</v>
      </c>
      <c r="B675">
        <v>7172011004001100</v>
      </c>
      <c r="C675">
        <v>59</v>
      </c>
      <c r="D675">
        <v>0</v>
      </c>
      <c r="E675">
        <v>0</v>
      </c>
      <c r="F675">
        <v>59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7172011011001600</v>
      </c>
      <c r="C676">
        <v>143</v>
      </c>
      <c r="D676">
        <v>0</v>
      </c>
      <c r="E676">
        <v>0</v>
      </c>
      <c r="F676">
        <v>143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7172011011001500</v>
      </c>
      <c r="C677">
        <v>91</v>
      </c>
      <c r="D677">
        <v>0</v>
      </c>
      <c r="E677">
        <v>0</v>
      </c>
      <c r="F677">
        <v>91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7172011011000900</v>
      </c>
      <c r="C678">
        <v>60</v>
      </c>
      <c r="D678">
        <v>15</v>
      </c>
      <c r="E678">
        <v>0</v>
      </c>
      <c r="F678">
        <v>17</v>
      </c>
      <c r="G678">
        <v>1</v>
      </c>
      <c r="H678">
        <v>0</v>
      </c>
      <c r="I678">
        <v>27</v>
      </c>
      <c r="J678">
        <v>0</v>
      </c>
    </row>
    <row r="679" spans="1:10" x14ac:dyDescent="0.25">
      <c r="A679" t="s">
        <v>43</v>
      </c>
      <c r="B679">
        <v>7172011011000600</v>
      </c>
      <c r="C679">
        <v>53</v>
      </c>
      <c r="D679">
        <v>0</v>
      </c>
      <c r="E679">
        <v>0</v>
      </c>
      <c r="F679">
        <v>45</v>
      </c>
      <c r="G679">
        <v>0</v>
      </c>
      <c r="H679">
        <v>0</v>
      </c>
      <c r="I679">
        <v>8</v>
      </c>
      <c r="J679">
        <v>0</v>
      </c>
    </row>
    <row r="680" spans="1:10" x14ac:dyDescent="0.25">
      <c r="A680" t="s">
        <v>43</v>
      </c>
      <c r="B680">
        <v>7172011011001400</v>
      </c>
      <c r="C680">
        <v>49</v>
      </c>
      <c r="D680">
        <v>0</v>
      </c>
      <c r="E680">
        <v>0</v>
      </c>
      <c r="F680">
        <v>49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7172011011000800</v>
      </c>
      <c r="C681">
        <v>44</v>
      </c>
      <c r="D681">
        <v>0</v>
      </c>
      <c r="E681">
        <v>0</v>
      </c>
      <c r="F681">
        <v>44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7172011011001100</v>
      </c>
      <c r="C682">
        <v>44</v>
      </c>
      <c r="D682">
        <v>0</v>
      </c>
      <c r="E682">
        <v>0</v>
      </c>
      <c r="F682">
        <v>44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7172011011001300</v>
      </c>
      <c r="C683">
        <v>44</v>
      </c>
      <c r="D683">
        <v>0</v>
      </c>
      <c r="E683">
        <v>0</v>
      </c>
      <c r="F683">
        <v>44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43</v>
      </c>
      <c r="B684">
        <v>7172011011001200</v>
      </c>
      <c r="C684">
        <v>41</v>
      </c>
      <c r="D684">
        <v>0</v>
      </c>
      <c r="E684">
        <v>0</v>
      </c>
      <c r="F684">
        <v>41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43</v>
      </c>
      <c r="B685">
        <v>7172011011001000</v>
      </c>
      <c r="C685">
        <v>30</v>
      </c>
      <c r="D685">
        <v>0</v>
      </c>
      <c r="E685">
        <v>0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43</v>
      </c>
      <c r="B686">
        <v>7172011011000700</v>
      </c>
      <c r="C686">
        <v>20</v>
      </c>
      <c r="D686">
        <v>0</v>
      </c>
      <c r="E686">
        <v>0</v>
      </c>
      <c r="F686">
        <v>20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43</v>
      </c>
      <c r="B687">
        <v>7172011011100200</v>
      </c>
      <c r="C687">
        <v>2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43</v>
      </c>
      <c r="B688">
        <v>7172011011200100</v>
      </c>
      <c r="C688">
        <v>1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47</v>
      </c>
      <c r="B689">
        <v>7172011014000300</v>
      </c>
      <c r="C689">
        <v>162</v>
      </c>
      <c r="D689">
        <v>0</v>
      </c>
      <c r="E689">
        <v>0</v>
      </c>
      <c r="F689">
        <v>162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47</v>
      </c>
      <c r="B690">
        <v>7172011014000600</v>
      </c>
      <c r="C690">
        <v>160</v>
      </c>
      <c r="D690">
        <v>0</v>
      </c>
      <c r="E690">
        <v>0</v>
      </c>
      <c r="F690">
        <v>125</v>
      </c>
      <c r="G690">
        <v>0</v>
      </c>
      <c r="H690">
        <v>0</v>
      </c>
      <c r="I690">
        <v>35</v>
      </c>
      <c r="J690">
        <v>0</v>
      </c>
    </row>
    <row r="691" spans="1:10" x14ac:dyDescent="0.25">
      <c r="A691" t="s">
        <v>47</v>
      </c>
      <c r="B691">
        <v>7172011014000200</v>
      </c>
      <c r="C691">
        <v>115</v>
      </c>
      <c r="D691">
        <v>0</v>
      </c>
      <c r="E691">
        <v>0</v>
      </c>
      <c r="F691">
        <v>115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47</v>
      </c>
      <c r="B692">
        <v>7172011014000100</v>
      </c>
      <c r="C692">
        <v>109</v>
      </c>
      <c r="D692">
        <v>0</v>
      </c>
      <c r="E692">
        <v>0</v>
      </c>
      <c r="F692">
        <v>109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47</v>
      </c>
      <c r="B693">
        <v>7172011014000400</v>
      </c>
      <c r="C693">
        <v>76</v>
      </c>
      <c r="D693">
        <v>0</v>
      </c>
      <c r="E693">
        <v>0</v>
      </c>
      <c r="F693">
        <v>76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7172011014001200</v>
      </c>
      <c r="C694">
        <v>185</v>
      </c>
      <c r="D694">
        <v>0</v>
      </c>
      <c r="E694">
        <v>35</v>
      </c>
      <c r="F694">
        <v>94</v>
      </c>
      <c r="G694">
        <v>0</v>
      </c>
      <c r="H694">
        <v>0</v>
      </c>
      <c r="I694">
        <v>56</v>
      </c>
      <c r="J694">
        <v>0</v>
      </c>
    </row>
    <row r="695" spans="1:10" x14ac:dyDescent="0.25">
      <c r="A695" t="s">
        <v>48</v>
      </c>
      <c r="B695">
        <v>7172011014000700</v>
      </c>
      <c r="C695">
        <v>123</v>
      </c>
      <c r="D695">
        <v>0</v>
      </c>
      <c r="E695">
        <v>0</v>
      </c>
      <c r="F695">
        <v>123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48</v>
      </c>
      <c r="B696">
        <v>7172011014001100</v>
      </c>
      <c r="C696">
        <v>108</v>
      </c>
      <c r="D696">
        <v>0</v>
      </c>
      <c r="E696">
        <v>0</v>
      </c>
      <c r="F696">
        <v>108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48</v>
      </c>
      <c r="B697">
        <v>7172011014000900</v>
      </c>
      <c r="C697">
        <v>81</v>
      </c>
      <c r="D697">
        <v>0</v>
      </c>
      <c r="E697">
        <v>0</v>
      </c>
      <c r="F697">
        <v>81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48</v>
      </c>
      <c r="B698">
        <v>7172011014000500</v>
      </c>
      <c r="C698">
        <v>66</v>
      </c>
      <c r="D698">
        <v>0</v>
      </c>
      <c r="E698">
        <v>0</v>
      </c>
      <c r="F698">
        <v>66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48</v>
      </c>
      <c r="B699">
        <v>7172011014001000</v>
      </c>
      <c r="C699">
        <v>62</v>
      </c>
      <c r="D699">
        <v>0</v>
      </c>
      <c r="E699">
        <v>0</v>
      </c>
      <c r="F699">
        <v>62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51</v>
      </c>
      <c r="B700">
        <v>7172012001000500</v>
      </c>
      <c r="C700">
        <v>170</v>
      </c>
      <c r="D700">
        <v>0</v>
      </c>
      <c r="E700">
        <v>23</v>
      </c>
      <c r="F700">
        <v>86</v>
      </c>
      <c r="G700">
        <v>1</v>
      </c>
      <c r="H700">
        <v>0</v>
      </c>
      <c r="I700">
        <v>60</v>
      </c>
      <c r="J700">
        <v>0</v>
      </c>
    </row>
    <row r="701" spans="1:10" x14ac:dyDescent="0.25">
      <c r="A701" t="s">
        <v>51</v>
      </c>
      <c r="B701">
        <v>7172012001000601</v>
      </c>
      <c r="C701">
        <v>142</v>
      </c>
      <c r="D701">
        <v>0</v>
      </c>
      <c r="E701">
        <v>0</v>
      </c>
      <c r="F701">
        <v>142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51</v>
      </c>
      <c r="B702">
        <v>7172012001001001</v>
      </c>
      <c r="C702">
        <v>120</v>
      </c>
      <c r="D702">
        <v>0</v>
      </c>
      <c r="E702">
        <v>0</v>
      </c>
      <c r="F702">
        <v>120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52</v>
      </c>
      <c r="B703">
        <v>7172012001000700</v>
      </c>
      <c r="C703">
        <v>260</v>
      </c>
      <c r="D703">
        <v>2</v>
      </c>
      <c r="E703">
        <v>21</v>
      </c>
      <c r="F703">
        <v>169</v>
      </c>
      <c r="G703">
        <v>0</v>
      </c>
      <c r="H703">
        <v>0</v>
      </c>
      <c r="I703">
        <v>68</v>
      </c>
      <c r="J703">
        <v>0</v>
      </c>
    </row>
    <row r="704" spans="1:10" x14ac:dyDescent="0.25">
      <c r="A704" t="s">
        <v>52</v>
      </c>
      <c r="B704">
        <v>7172012001000602</v>
      </c>
      <c r="C704">
        <v>188</v>
      </c>
      <c r="D704">
        <v>0</v>
      </c>
      <c r="E704">
        <v>0</v>
      </c>
      <c r="F704">
        <v>188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7172012002000500</v>
      </c>
      <c r="C705">
        <v>128</v>
      </c>
      <c r="D705">
        <v>0</v>
      </c>
      <c r="E705">
        <v>0</v>
      </c>
      <c r="F705">
        <v>128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49</v>
      </c>
      <c r="B706">
        <v>7172012002000101</v>
      </c>
      <c r="C706">
        <v>124</v>
      </c>
      <c r="D706">
        <v>0</v>
      </c>
      <c r="E706">
        <v>0</v>
      </c>
      <c r="F706">
        <v>124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49</v>
      </c>
      <c r="B707">
        <v>7172012001000100</v>
      </c>
      <c r="C707">
        <v>114</v>
      </c>
      <c r="D707">
        <v>0</v>
      </c>
      <c r="E707">
        <v>0</v>
      </c>
      <c r="F707">
        <v>98</v>
      </c>
      <c r="G707">
        <v>0</v>
      </c>
      <c r="H707">
        <v>0</v>
      </c>
      <c r="I707">
        <v>16</v>
      </c>
      <c r="J707">
        <v>0</v>
      </c>
    </row>
    <row r="708" spans="1:10" x14ac:dyDescent="0.25">
      <c r="A708" t="s">
        <v>49</v>
      </c>
      <c r="B708">
        <v>7172012001001100</v>
      </c>
      <c r="C708">
        <v>87</v>
      </c>
      <c r="D708">
        <v>0</v>
      </c>
      <c r="E708">
        <v>0</v>
      </c>
      <c r="F708">
        <v>87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49</v>
      </c>
      <c r="B709">
        <v>7172012001001002</v>
      </c>
      <c r="C709">
        <v>81</v>
      </c>
      <c r="D709">
        <v>0</v>
      </c>
      <c r="E709">
        <v>0</v>
      </c>
      <c r="F709">
        <v>81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49</v>
      </c>
      <c r="B710">
        <v>7172012002000102</v>
      </c>
      <c r="C710">
        <v>74</v>
      </c>
      <c r="D710">
        <v>0</v>
      </c>
      <c r="E710">
        <v>0</v>
      </c>
      <c r="F710">
        <v>74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53</v>
      </c>
      <c r="B711">
        <v>7172012002000200</v>
      </c>
      <c r="C711">
        <v>159</v>
      </c>
      <c r="D711">
        <v>0</v>
      </c>
      <c r="E711">
        <v>3</v>
      </c>
      <c r="F711">
        <v>116</v>
      </c>
      <c r="G711">
        <v>1</v>
      </c>
      <c r="H711">
        <v>0</v>
      </c>
      <c r="I711">
        <v>39</v>
      </c>
      <c r="J711">
        <v>0</v>
      </c>
    </row>
    <row r="712" spans="1:10" x14ac:dyDescent="0.25">
      <c r="A712" t="s">
        <v>53</v>
      </c>
      <c r="B712">
        <v>7172012002000900</v>
      </c>
      <c r="C712">
        <v>118</v>
      </c>
      <c r="D712">
        <v>0</v>
      </c>
      <c r="E712">
        <v>0</v>
      </c>
      <c r="F712">
        <v>118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53</v>
      </c>
      <c r="B713">
        <v>7172012002001000</v>
      </c>
      <c r="C713">
        <v>111</v>
      </c>
      <c r="D713">
        <v>0</v>
      </c>
      <c r="E713">
        <v>0</v>
      </c>
      <c r="F713">
        <v>111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53</v>
      </c>
      <c r="B714">
        <v>7172012002001600</v>
      </c>
      <c r="C714">
        <v>101</v>
      </c>
      <c r="D714">
        <v>0</v>
      </c>
      <c r="E714">
        <v>0</v>
      </c>
      <c r="F714">
        <v>101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53</v>
      </c>
      <c r="B715">
        <v>7172012002001100</v>
      </c>
      <c r="C715">
        <v>80</v>
      </c>
      <c r="D715">
        <v>0</v>
      </c>
      <c r="E715">
        <v>0</v>
      </c>
      <c r="F715">
        <v>80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7172012004000300</v>
      </c>
      <c r="C716">
        <v>109</v>
      </c>
      <c r="D716">
        <v>0</v>
      </c>
      <c r="E716">
        <v>0</v>
      </c>
      <c r="F716">
        <v>109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7172012004000100</v>
      </c>
      <c r="C717">
        <v>100</v>
      </c>
      <c r="D717">
        <v>0</v>
      </c>
      <c r="E717">
        <v>0</v>
      </c>
      <c r="F717">
        <v>100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58</v>
      </c>
      <c r="B718">
        <v>7172012003000400</v>
      </c>
      <c r="C718">
        <v>99</v>
      </c>
      <c r="D718">
        <v>0</v>
      </c>
      <c r="E718">
        <v>0</v>
      </c>
      <c r="F718">
        <v>99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58</v>
      </c>
      <c r="B719">
        <v>7172012003000300</v>
      </c>
      <c r="C719">
        <v>71</v>
      </c>
      <c r="D719">
        <v>0</v>
      </c>
      <c r="E719">
        <v>23</v>
      </c>
      <c r="F719">
        <v>30</v>
      </c>
      <c r="G719">
        <v>0</v>
      </c>
      <c r="H719">
        <v>0</v>
      </c>
      <c r="I719">
        <v>18</v>
      </c>
      <c r="J719">
        <v>0</v>
      </c>
    </row>
    <row r="720" spans="1:10" x14ac:dyDescent="0.25">
      <c r="A720" t="s">
        <v>58</v>
      </c>
      <c r="B720">
        <v>7172012003000700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58</v>
      </c>
      <c r="B721">
        <v>7172012004000200</v>
      </c>
      <c r="C721">
        <v>65</v>
      </c>
      <c r="D721">
        <v>0</v>
      </c>
      <c r="E721">
        <v>0</v>
      </c>
      <c r="F721">
        <v>65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58</v>
      </c>
      <c r="B722">
        <v>7172012003000200</v>
      </c>
      <c r="C722">
        <v>54</v>
      </c>
      <c r="D722">
        <v>0</v>
      </c>
      <c r="E722">
        <v>6</v>
      </c>
      <c r="F722">
        <v>20</v>
      </c>
      <c r="G722">
        <v>16</v>
      </c>
      <c r="H722">
        <v>0</v>
      </c>
      <c r="I722">
        <v>12</v>
      </c>
      <c r="J722">
        <v>0</v>
      </c>
    </row>
    <row r="723" spans="1:10" x14ac:dyDescent="0.25">
      <c r="A723" t="s">
        <v>57</v>
      </c>
      <c r="B723">
        <v>7172012003001100</v>
      </c>
      <c r="C723">
        <v>121</v>
      </c>
      <c r="D723">
        <v>0</v>
      </c>
      <c r="E723">
        <v>10</v>
      </c>
      <c r="F723">
        <v>36</v>
      </c>
      <c r="G723">
        <v>0</v>
      </c>
      <c r="H723">
        <v>0</v>
      </c>
      <c r="I723">
        <v>75</v>
      </c>
      <c r="J723">
        <v>0</v>
      </c>
    </row>
    <row r="724" spans="1:10" x14ac:dyDescent="0.25">
      <c r="A724" t="s">
        <v>57</v>
      </c>
      <c r="B724">
        <v>7172012003000800</v>
      </c>
      <c r="C724">
        <v>118</v>
      </c>
      <c r="D724">
        <v>0</v>
      </c>
      <c r="E724">
        <v>0</v>
      </c>
      <c r="F724">
        <v>118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57</v>
      </c>
      <c r="B725">
        <v>7172012003001200</v>
      </c>
      <c r="C725">
        <v>84</v>
      </c>
      <c r="D725">
        <v>0</v>
      </c>
      <c r="E725">
        <v>0</v>
      </c>
      <c r="F725">
        <v>84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57</v>
      </c>
      <c r="B726">
        <v>7172012003000600</v>
      </c>
      <c r="C726">
        <v>76</v>
      </c>
      <c r="D726">
        <v>0</v>
      </c>
      <c r="E726">
        <v>0</v>
      </c>
      <c r="F726">
        <v>76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57</v>
      </c>
      <c r="B727">
        <v>7172012003001000</v>
      </c>
      <c r="C727">
        <v>64</v>
      </c>
      <c r="D727">
        <v>0</v>
      </c>
      <c r="E727">
        <v>0</v>
      </c>
      <c r="F727">
        <v>64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57</v>
      </c>
      <c r="B728">
        <v>7172012003000900</v>
      </c>
      <c r="C728">
        <v>60</v>
      </c>
      <c r="D728">
        <v>0</v>
      </c>
      <c r="E728">
        <v>0</v>
      </c>
      <c r="F728">
        <v>60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57</v>
      </c>
      <c r="B729">
        <v>7172012003000100</v>
      </c>
      <c r="C729">
        <v>52</v>
      </c>
      <c r="D729">
        <v>0</v>
      </c>
      <c r="E729">
        <v>0</v>
      </c>
      <c r="F729">
        <v>52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57</v>
      </c>
      <c r="B730">
        <v>7172012003000500</v>
      </c>
      <c r="C730">
        <v>44</v>
      </c>
      <c r="D730">
        <v>0</v>
      </c>
      <c r="E730">
        <v>0</v>
      </c>
      <c r="F730">
        <v>44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7172012004000500</v>
      </c>
      <c r="C731">
        <v>164</v>
      </c>
      <c r="D731">
        <v>1</v>
      </c>
      <c r="E731">
        <v>21</v>
      </c>
      <c r="F731">
        <v>66</v>
      </c>
      <c r="G731">
        <v>0</v>
      </c>
      <c r="H731">
        <v>0</v>
      </c>
      <c r="I731">
        <v>76</v>
      </c>
      <c r="J731">
        <v>0</v>
      </c>
    </row>
    <row r="732" spans="1:10" x14ac:dyDescent="0.25">
      <c r="A732" t="s">
        <v>238</v>
      </c>
      <c r="B732">
        <v>7172012004000600</v>
      </c>
      <c r="C732">
        <v>116</v>
      </c>
      <c r="D732">
        <v>0</v>
      </c>
      <c r="E732">
        <v>0</v>
      </c>
      <c r="F732">
        <v>116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238</v>
      </c>
      <c r="B733">
        <v>7172012004001001</v>
      </c>
      <c r="C733">
        <v>90</v>
      </c>
      <c r="D733">
        <v>0</v>
      </c>
      <c r="E733">
        <v>0</v>
      </c>
      <c r="F733">
        <v>90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238</v>
      </c>
      <c r="B734">
        <v>7172012004000700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238</v>
      </c>
      <c r="B735">
        <v>7172012004000400</v>
      </c>
      <c r="C735">
        <v>81</v>
      </c>
      <c r="D735">
        <v>0</v>
      </c>
      <c r="E735">
        <v>0</v>
      </c>
      <c r="F735">
        <v>81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238</v>
      </c>
      <c r="B736">
        <v>7172012004000800</v>
      </c>
      <c r="C736">
        <v>62</v>
      </c>
      <c r="D736">
        <v>0</v>
      </c>
      <c r="E736">
        <v>0</v>
      </c>
      <c r="F736">
        <v>62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61</v>
      </c>
      <c r="B737">
        <v>7172012004001201</v>
      </c>
      <c r="C737">
        <v>236</v>
      </c>
      <c r="D737">
        <v>0</v>
      </c>
      <c r="E737">
        <v>0</v>
      </c>
      <c r="F737">
        <v>236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61</v>
      </c>
      <c r="B738">
        <v>7172012004001100</v>
      </c>
      <c r="C738">
        <v>170</v>
      </c>
      <c r="D738">
        <v>0</v>
      </c>
      <c r="E738">
        <v>10</v>
      </c>
      <c r="F738">
        <v>102</v>
      </c>
      <c r="G738">
        <v>0</v>
      </c>
      <c r="H738">
        <v>0</v>
      </c>
      <c r="I738">
        <v>58</v>
      </c>
      <c r="J738">
        <v>0</v>
      </c>
    </row>
    <row r="739" spans="1:10" x14ac:dyDescent="0.25">
      <c r="A739" t="s">
        <v>61</v>
      </c>
      <c r="B739">
        <v>7172012004001202</v>
      </c>
      <c r="C739">
        <v>85</v>
      </c>
      <c r="D739">
        <v>0</v>
      </c>
      <c r="E739">
        <v>0</v>
      </c>
      <c r="F739">
        <v>85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61</v>
      </c>
      <c r="B740">
        <v>7172012004001003</v>
      </c>
      <c r="C740">
        <v>82</v>
      </c>
      <c r="D740">
        <v>0</v>
      </c>
      <c r="E740">
        <v>0</v>
      </c>
      <c r="F740">
        <v>82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61</v>
      </c>
      <c r="B741">
        <v>7172012004001002</v>
      </c>
      <c r="C741">
        <v>30</v>
      </c>
      <c r="D741">
        <v>0</v>
      </c>
      <c r="E741">
        <v>0</v>
      </c>
      <c r="F741">
        <v>30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7172012007000100</v>
      </c>
      <c r="C742">
        <v>136</v>
      </c>
      <c r="D742">
        <v>0</v>
      </c>
      <c r="E742">
        <v>0</v>
      </c>
      <c r="F742">
        <v>136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7172012005001900</v>
      </c>
      <c r="C743">
        <v>90</v>
      </c>
      <c r="D743">
        <v>0</v>
      </c>
      <c r="E743">
        <v>0</v>
      </c>
      <c r="F743">
        <v>90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7172012005000400</v>
      </c>
      <c r="C744">
        <v>53</v>
      </c>
      <c r="D744">
        <v>0</v>
      </c>
      <c r="E744">
        <v>0</v>
      </c>
      <c r="F744">
        <v>29</v>
      </c>
      <c r="G744">
        <v>0</v>
      </c>
      <c r="H744">
        <v>0</v>
      </c>
      <c r="I744">
        <v>24</v>
      </c>
      <c r="J744">
        <v>0</v>
      </c>
    </row>
    <row r="745" spans="1:10" x14ac:dyDescent="0.25">
      <c r="A745" t="s">
        <v>66</v>
      </c>
      <c r="B745">
        <v>7172012005000500</v>
      </c>
      <c r="C745">
        <v>48</v>
      </c>
      <c r="D745">
        <v>0</v>
      </c>
      <c r="E745">
        <v>1</v>
      </c>
      <c r="F745">
        <v>32</v>
      </c>
      <c r="G745">
        <v>0</v>
      </c>
      <c r="H745">
        <v>0</v>
      </c>
      <c r="I745">
        <v>15</v>
      </c>
      <c r="J745">
        <v>0</v>
      </c>
    </row>
    <row r="746" spans="1:10" x14ac:dyDescent="0.25">
      <c r="A746" t="s">
        <v>66</v>
      </c>
      <c r="B746">
        <v>7172012005002300</v>
      </c>
      <c r="C746">
        <v>45</v>
      </c>
      <c r="D746">
        <v>0</v>
      </c>
      <c r="E746">
        <v>0</v>
      </c>
      <c r="F746">
        <v>45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7172012005000600</v>
      </c>
      <c r="C747">
        <v>43</v>
      </c>
      <c r="D747">
        <v>0</v>
      </c>
      <c r="E747">
        <v>0</v>
      </c>
      <c r="F747">
        <v>43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66</v>
      </c>
      <c r="B748">
        <v>7172012005002200</v>
      </c>
      <c r="C748">
        <v>41</v>
      </c>
      <c r="D748">
        <v>0</v>
      </c>
      <c r="E748">
        <v>0</v>
      </c>
      <c r="F748">
        <v>41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66</v>
      </c>
      <c r="B749">
        <v>7172012005000300</v>
      </c>
      <c r="C749">
        <v>40</v>
      </c>
      <c r="D749">
        <v>0</v>
      </c>
      <c r="E749">
        <v>0</v>
      </c>
      <c r="F749">
        <v>4</v>
      </c>
      <c r="G749">
        <v>9</v>
      </c>
      <c r="H749">
        <v>0</v>
      </c>
      <c r="I749">
        <v>27</v>
      </c>
      <c r="J749">
        <v>0</v>
      </c>
    </row>
    <row r="750" spans="1:10" x14ac:dyDescent="0.25">
      <c r="A750" t="s">
        <v>66</v>
      </c>
      <c r="B750">
        <v>7172012005002400</v>
      </c>
      <c r="C750">
        <v>40</v>
      </c>
      <c r="D750">
        <v>0</v>
      </c>
      <c r="E750">
        <v>0</v>
      </c>
      <c r="F750">
        <v>40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66</v>
      </c>
      <c r="B751">
        <v>7172012005002100</v>
      </c>
      <c r="C751">
        <v>29</v>
      </c>
      <c r="D751">
        <v>0</v>
      </c>
      <c r="E751">
        <v>0</v>
      </c>
      <c r="F751">
        <v>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66</v>
      </c>
      <c r="B752">
        <v>7172012005002000</v>
      </c>
      <c r="C752">
        <v>25</v>
      </c>
      <c r="D752">
        <v>0</v>
      </c>
      <c r="E752">
        <v>0</v>
      </c>
      <c r="F752">
        <v>25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7172012007001700</v>
      </c>
      <c r="C753">
        <v>116</v>
      </c>
      <c r="D753">
        <v>0</v>
      </c>
      <c r="E753">
        <v>0</v>
      </c>
      <c r="F753">
        <v>116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7172012007002000</v>
      </c>
      <c r="C754">
        <v>115</v>
      </c>
      <c r="D754">
        <v>0</v>
      </c>
      <c r="E754">
        <v>18</v>
      </c>
      <c r="F754">
        <v>32</v>
      </c>
      <c r="G754">
        <v>1</v>
      </c>
      <c r="H754">
        <v>0</v>
      </c>
      <c r="I754">
        <v>64</v>
      </c>
      <c r="J754">
        <v>0</v>
      </c>
    </row>
    <row r="755" spans="1:10" x14ac:dyDescent="0.25">
      <c r="A755" t="s">
        <v>68</v>
      </c>
      <c r="B755">
        <v>7172012007001800</v>
      </c>
      <c r="C755">
        <v>94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68</v>
      </c>
      <c r="B756">
        <v>7172012006000100</v>
      </c>
      <c r="C756">
        <v>92</v>
      </c>
      <c r="D756">
        <v>0</v>
      </c>
      <c r="E756">
        <v>0</v>
      </c>
      <c r="F756">
        <v>92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68</v>
      </c>
      <c r="B757">
        <v>7172012007002100</v>
      </c>
      <c r="C757">
        <v>60</v>
      </c>
      <c r="D757">
        <v>0</v>
      </c>
      <c r="E757">
        <v>0</v>
      </c>
      <c r="F757">
        <v>59</v>
      </c>
      <c r="G757">
        <v>0</v>
      </c>
      <c r="H757">
        <v>0</v>
      </c>
      <c r="I757">
        <v>1</v>
      </c>
      <c r="J757">
        <v>0</v>
      </c>
    </row>
    <row r="758" spans="1:10" x14ac:dyDescent="0.25">
      <c r="A758" t="s">
        <v>68</v>
      </c>
      <c r="B758">
        <v>7172012006000400</v>
      </c>
      <c r="C758">
        <v>56</v>
      </c>
      <c r="D758">
        <v>0</v>
      </c>
      <c r="E758">
        <v>0</v>
      </c>
      <c r="F758">
        <v>56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68</v>
      </c>
      <c r="B759">
        <v>7172012006000300</v>
      </c>
      <c r="C759">
        <v>47</v>
      </c>
      <c r="D759">
        <v>0</v>
      </c>
      <c r="E759">
        <v>0</v>
      </c>
      <c r="F759">
        <v>47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68</v>
      </c>
      <c r="B760">
        <v>7172012006000200</v>
      </c>
      <c r="C760">
        <v>39</v>
      </c>
      <c r="D760">
        <v>0</v>
      </c>
      <c r="E760">
        <v>0</v>
      </c>
      <c r="F760">
        <v>39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7172012006000700</v>
      </c>
      <c r="C761">
        <v>135</v>
      </c>
      <c r="D761">
        <v>0</v>
      </c>
      <c r="E761">
        <v>0</v>
      </c>
      <c r="F761">
        <v>135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69</v>
      </c>
      <c r="B762">
        <v>7172012006000901</v>
      </c>
      <c r="C762">
        <v>130</v>
      </c>
      <c r="D762">
        <v>0</v>
      </c>
      <c r="E762">
        <v>0</v>
      </c>
      <c r="F762">
        <v>130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69</v>
      </c>
      <c r="B763">
        <v>7172012006000801</v>
      </c>
      <c r="C763">
        <v>108</v>
      </c>
      <c r="D763">
        <v>0</v>
      </c>
      <c r="E763">
        <v>0</v>
      </c>
      <c r="F763">
        <v>108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69</v>
      </c>
      <c r="B764">
        <v>7172012006000600</v>
      </c>
      <c r="C764">
        <v>80</v>
      </c>
      <c r="D764">
        <v>0</v>
      </c>
      <c r="E764">
        <v>0</v>
      </c>
      <c r="F764">
        <v>80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69</v>
      </c>
      <c r="B765">
        <v>7172012006000802</v>
      </c>
      <c r="C765">
        <v>73</v>
      </c>
      <c r="D765">
        <v>0</v>
      </c>
      <c r="E765">
        <v>18</v>
      </c>
      <c r="F765">
        <v>52</v>
      </c>
      <c r="G765">
        <v>0</v>
      </c>
      <c r="H765">
        <v>0</v>
      </c>
      <c r="I765">
        <v>3</v>
      </c>
      <c r="J765">
        <v>0</v>
      </c>
    </row>
    <row r="766" spans="1:10" x14ac:dyDescent="0.25">
      <c r="A766" t="s">
        <v>69</v>
      </c>
      <c r="B766">
        <v>7172012006000500</v>
      </c>
      <c r="C766">
        <v>72</v>
      </c>
      <c r="D766">
        <v>0</v>
      </c>
      <c r="E766">
        <v>13</v>
      </c>
      <c r="F766">
        <v>24</v>
      </c>
      <c r="G766">
        <v>0</v>
      </c>
      <c r="H766">
        <v>0</v>
      </c>
      <c r="I766">
        <v>35</v>
      </c>
      <c r="J766">
        <v>0</v>
      </c>
    </row>
    <row r="767" spans="1:10" x14ac:dyDescent="0.25">
      <c r="A767" t="s">
        <v>55</v>
      </c>
      <c r="B767">
        <v>7172012006001800</v>
      </c>
      <c r="C767">
        <v>147</v>
      </c>
      <c r="D767">
        <v>0</v>
      </c>
      <c r="E767">
        <v>0</v>
      </c>
      <c r="F767">
        <v>96</v>
      </c>
      <c r="G767">
        <v>0</v>
      </c>
      <c r="H767">
        <v>0</v>
      </c>
      <c r="I767">
        <v>51</v>
      </c>
      <c r="J767">
        <v>0</v>
      </c>
    </row>
    <row r="768" spans="1:10" x14ac:dyDescent="0.25">
      <c r="A768" t="s">
        <v>55</v>
      </c>
      <c r="B768">
        <v>7172012006001700</v>
      </c>
      <c r="C768">
        <v>140</v>
      </c>
      <c r="D768">
        <v>0</v>
      </c>
      <c r="E768">
        <v>0</v>
      </c>
      <c r="F768">
        <v>140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55</v>
      </c>
      <c r="B769">
        <v>7172012006001900</v>
      </c>
      <c r="C769">
        <v>125</v>
      </c>
      <c r="D769">
        <v>0</v>
      </c>
      <c r="E769">
        <v>0</v>
      </c>
      <c r="F769">
        <v>125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55</v>
      </c>
      <c r="B770">
        <v>7172012006001400</v>
      </c>
      <c r="C770">
        <v>95</v>
      </c>
      <c r="D770">
        <v>0</v>
      </c>
      <c r="E770">
        <v>0</v>
      </c>
      <c r="F770">
        <v>95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55</v>
      </c>
      <c r="B771">
        <v>7172012002001200</v>
      </c>
      <c r="C771">
        <v>52</v>
      </c>
      <c r="D771">
        <v>0</v>
      </c>
      <c r="E771">
        <v>0</v>
      </c>
      <c r="F771">
        <v>52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7172012007001300</v>
      </c>
      <c r="C772">
        <v>135</v>
      </c>
      <c r="D772">
        <v>0</v>
      </c>
      <c r="E772">
        <v>0</v>
      </c>
      <c r="F772">
        <v>135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73</v>
      </c>
      <c r="B773">
        <v>7172012007001400</v>
      </c>
      <c r="C773">
        <v>95</v>
      </c>
      <c r="D773">
        <v>0</v>
      </c>
      <c r="E773">
        <v>0</v>
      </c>
      <c r="F773">
        <v>95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73</v>
      </c>
      <c r="B774">
        <v>7172012007001500</v>
      </c>
      <c r="C774">
        <v>93</v>
      </c>
      <c r="D774">
        <v>0</v>
      </c>
      <c r="E774">
        <v>12</v>
      </c>
      <c r="F774">
        <v>40</v>
      </c>
      <c r="G774">
        <v>0</v>
      </c>
      <c r="H774">
        <v>0</v>
      </c>
      <c r="I774">
        <v>41</v>
      </c>
      <c r="J774">
        <v>0</v>
      </c>
    </row>
    <row r="775" spans="1:10" x14ac:dyDescent="0.25">
      <c r="A775" t="s">
        <v>73</v>
      </c>
      <c r="B775">
        <v>7172012007001200</v>
      </c>
      <c r="C775">
        <v>85</v>
      </c>
      <c r="D775">
        <v>0</v>
      </c>
      <c r="E775">
        <v>0</v>
      </c>
      <c r="F775">
        <v>85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73</v>
      </c>
      <c r="B776">
        <v>7172012007001600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73</v>
      </c>
      <c r="B777">
        <v>7172012007001900</v>
      </c>
      <c r="C777">
        <v>78</v>
      </c>
      <c r="D777">
        <v>0</v>
      </c>
      <c r="E777">
        <v>0</v>
      </c>
      <c r="F777">
        <v>78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77</v>
      </c>
      <c r="B778">
        <v>7172021003000200</v>
      </c>
      <c r="C778">
        <v>105</v>
      </c>
      <c r="D778">
        <v>20</v>
      </c>
      <c r="E778">
        <v>17</v>
      </c>
      <c r="F778">
        <v>56</v>
      </c>
      <c r="G778">
        <v>0</v>
      </c>
      <c r="H778">
        <v>0</v>
      </c>
      <c r="I778">
        <v>12</v>
      </c>
      <c r="J778">
        <v>0</v>
      </c>
    </row>
    <row r="779" spans="1:10" x14ac:dyDescent="0.25">
      <c r="A779" t="s">
        <v>77</v>
      </c>
      <c r="B779">
        <v>7172021003000400</v>
      </c>
      <c r="C779">
        <v>100</v>
      </c>
      <c r="D779">
        <v>0</v>
      </c>
      <c r="E779">
        <v>0</v>
      </c>
      <c r="F779">
        <v>100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77</v>
      </c>
      <c r="B780">
        <v>7172021003000500</v>
      </c>
      <c r="C780">
        <v>94</v>
      </c>
      <c r="D780">
        <v>0</v>
      </c>
      <c r="E780">
        <v>0</v>
      </c>
      <c r="F780">
        <v>94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77</v>
      </c>
      <c r="B781">
        <v>7172021003000600</v>
      </c>
      <c r="C781">
        <v>81</v>
      </c>
      <c r="D781">
        <v>0</v>
      </c>
      <c r="E781">
        <v>0</v>
      </c>
      <c r="F781">
        <v>81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77</v>
      </c>
      <c r="B782">
        <v>7172021003000700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7172021006001200</v>
      </c>
      <c r="C783">
        <v>88</v>
      </c>
      <c r="D783">
        <v>0</v>
      </c>
      <c r="E783">
        <v>0</v>
      </c>
      <c r="F783">
        <v>83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t="s">
        <v>80</v>
      </c>
      <c r="B784">
        <v>7172021006001400</v>
      </c>
      <c r="C784">
        <v>70</v>
      </c>
      <c r="D784">
        <v>0</v>
      </c>
      <c r="E784">
        <v>0</v>
      </c>
      <c r="F784">
        <v>70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80</v>
      </c>
      <c r="B785">
        <v>7172021006001500</v>
      </c>
      <c r="C785">
        <v>66</v>
      </c>
      <c r="D785">
        <v>0</v>
      </c>
      <c r="E785">
        <v>0</v>
      </c>
      <c r="F785">
        <v>66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80</v>
      </c>
      <c r="B786">
        <v>7172021006001000</v>
      </c>
      <c r="C786">
        <v>58</v>
      </c>
      <c r="D786">
        <v>0</v>
      </c>
      <c r="E786">
        <v>0</v>
      </c>
      <c r="F786">
        <v>58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80</v>
      </c>
      <c r="B787">
        <v>7172021006000900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80</v>
      </c>
      <c r="B788">
        <v>7172021006001300</v>
      </c>
      <c r="C788">
        <v>44</v>
      </c>
      <c r="D788">
        <v>0</v>
      </c>
      <c r="E788">
        <v>1</v>
      </c>
      <c r="F788">
        <v>14</v>
      </c>
      <c r="G788">
        <v>0</v>
      </c>
      <c r="H788">
        <v>0</v>
      </c>
      <c r="I788">
        <v>29</v>
      </c>
      <c r="J788">
        <v>0</v>
      </c>
    </row>
    <row r="789" spans="1:10" x14ac:dyDescent="0.25">
      <c r="A789" t="s">
        <v>80</v>
      </c>
      <c r="B789">
        <v>7172021006000800</v>
      </c>
      <c r="C789">
        <v>43</v>
      </c>
      <c r="D789">
        <v>0</v>
      </c>
      <c r="E789">
        <v>0</v>
      </c>
      <c r="F789">
        <v>43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80</v>
      </c>
      <c r="B790">
        <v>7172021006001100</v>
      </c>
      <c r="C790">
        <v>40</v>
      </c>
      <c r="D790">
        <v>0</v>
      </c>
      <c r="E790">
        <v>0</v>
      </c>
      <c r="F790">
        <v>40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7172021006002200</v>
      </c>
      <c r="C791">
        <v>78</v>
      </c>
      <c r="D791">
        <v>0</v>
      </c>
      <c r="E791">
        <v>0</v>
      </c>
      <c r="F791">
        <v>78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7172021006001600</v>
      </c>
      <c r="C792">
        <v>67</v>
      </c>
      <c r="D792">
        <v>0</v>
      </c>
      <c r="E792">
        <v>0</v>
      </c>
      <c r="F792">
        <v>46</v>
      </c>
      <c r="G792">
        <v>0</v>
      </c>
      <c r="H792">
        <v>0</v>
      </c>
      <c r="I792">
        <v>21</v>
      </c>
      <c r="J792">
        <v>0</v>
      </c>
    </row>
    <row r="793" spans="1:10" x14ac:dyDescent="0.25">
      <c r="A793" t="s">
        <v>239</v>
      </c>
      <c r="B793">
        <v>7172021006001800</v>
      </c>
      <c r="C793">
        <v>56</v>
      </c>
      <c r="D793">
        <v>0</v>
      </c>
      <c r="E793">
        <v>0</v>
      </c>
      <c r="F793">
        <v>56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7172021007000400</v>
      </c>
      <c r="C794">
        <v>55</v>
      </c>
      <c r="D794">
        <v>0</v>
      </c>
      <c r="E794">
        <v>0</v>
      </c>
      <c r="F794">
        <v>55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7172021007000100</v>
      </c>
      <c r="C795">
        <v>46</v>
      </c>
      <c r="D795">
        <v>0</v>
      </c>
      <c r="E795">
        <v>0</v>
      </c>
      <c r="F795">
        <v>46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239</v>
      </c>
      <c r="B796">
        <v>7172021007000500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239</v>
      </c>
      <c r="B797">
        <v>7172021006001700</v>
      </c>
      <c r="C797">
        <v>40</v>
      </c>
      <c r="D797">
        <v>0</v>
      </c>
      <c r="E797">
        <v>3</v>
      </c>
      <c r="F797">
        <v>23</v>
      </c>
      <c r="G797">
        <v>0</v>
      </c>
      <c r="H797">
        <v>0</v>
      </c>
      <c r="I797">
        <v>14</v>
      </c>
      <c r="J797">
        <v>0</v>
      </c>
    </row>
    <row r="798" spans="1:10" x14ac:dyDescent="0.25">
      <c r="A798" t="s">
        <v>239</v>
      </c>
      <c r="B798">
        <v>7172021007000200</v>
      </c>
      <c r="C798">
        <v>38</v>
      </c>
      <c r="D798">
        <v>0</v>
      </c>
      <c r="E798">
        <v>0</v>
      </c>
      <c r="F798">
        <v>38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239</v>
      </c>
      <c r="B799">
        <v>7172021007000300</v>
      </c>
      <c r="C799">
        <v>36</v>
      </c>
      <c r="D799">
        <v>0</v>
      </c>
      <c r="E799">
        <v>0</v>
      </c>
      <c r="F799">
        <v>36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239</v>
      </c>
      <c r="B800">
        <v>7172021007000600</v>
      </c>
      <c r="C800">
        <v>31</v>
      </c>
      <c r="D800">
        <v>0</v>
      </c>
      <c r="E800">
        <v>0</v>
      </c>
      <c r="F800">
        <v>31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82</v>
      </c>
      <c r="B801">
        <v>7172022001000400</v>
      </c>
      <c r="C801">
        <v>91</v>
      </c>
      <c r="D801">
        <v>0</v>
      </c>
      <c r="E801">
        <v>0</v>
      </c>
      <c r="F801">
        <v>91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82</v>
      </c>
      <c r="B802">
        <v>7172022001000300</v>
      </c>
      <c r="C802">
        <v>90</v>
      </c>
      <c r="D802">
        <v>0</v>
      </c>
      <c r="E802">
        <v>0</v>
      </c>
      <c r="F802">
        <v>90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82</v>
      </c>
      <c r="B803">
        <v>7172022001000200</v>
      </c>
      <c r="C803">
        <v>84</v>
      </c>
      <c r="D803">
        <v>0</v>
      </c>
      <c r="E803">
        <v>0</v>
      </c>
      <c r="F803">
        <v>84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82</v>
      </c>
      <c r="B804">
        <v>7172022001000100</v>
      </c>
      <c r="C804">
        <v>80</v>
      </c>
      <c r="D804">
        <v>0</v>
      </c>
      <c r="E804">
        <v>0</v>
      </c>
      <c r="F804">
        <v>48</v>
      </c>
      <c r="G804">
        <v>0</v>
      </c>
      <c r="H804">
        <v>0</v>
      </c>
      <c r="I804">
        <v>32</v>
      </c>
      <c r="J804">
        <v>0</v>
      </c>
    </row>
    <row r="805" spans="1:10" x14ac:dyDescent="0.25">
      <c r="A805" t="s">
        <v>82</v>
      </c>
      <c r="B805">
        <v>7172022001000500</v>
      </c>
      <c r="C805">
        <v>78</v>
      </c>
      <c r="D805">
        <v>0</v>
      </c>
      <c r="E805">
        <v>0</v>
      </c>
      <c r="F805">
        <v>78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7172022002000100</v>
      </c>
      <c r="C806">
        <v>83</v>
      </c>
      <c r="D806">
        <v>0</v>
      </c>
      <c r="E806">
        <v>2</v>
      </c>
      <c r="F806">
        <v>55</v>
      </c>
      <c r="G806">
        <v>0</v>
      </c>
      <c r="H806">
        <v>0</v>
      </c>
      <c r="I806">
        <v>26</v>
      </c>
      <c r="J806">
        <v>0</v>
      </c>
    </row>
    <row r="807" spans="1:10" x14ac:dyDescent="0.25">
      <c r="A807" t="s">
        <v>84</v>
      </c>
      <c r="B807">
        <v>7172022006000200</v>
      </c>
      <c r="C807">
        <v>59</v>
      </c>
      <c r="D807">
        <v>0</v>
      </c>
      <c r="E807">
        <v>0</v>
      </c>
      <c r="F807">
        <v>59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7172022002000200</v>
      </c>
      <c r="C808">
        <v>55</v>
      </c>
      <c r="D808">
        <v>0</v>
      </c>
      <c r="E808">
        <v>0</v>
      </c>
      <c r="F808">
        <v>55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7172022006000100</v>
      </c>
      <c r="C809">
        <v>49</v>
      </c>
      <c r="D809">
        <v>0</v>
      </c>
      <c r="E809">
        <v>0</v>
      </c>
      <c r="F809">
        <v>49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84</v>
      </c>
      <c r="B810">
        <v>7172022006000600</v>
      </c>
      <c r="C810">
        <v>44</v>
      </c>
      <c r="D810">
        <v>0</v>
      </c>
      <c r="E810">
        <v>0</v>
      </c>
      <c r="F810">
        <v>44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84</v>
      </c>
      <c r="B811">
        <v>7172022006000400</v>
      </c>
      <c r="C811">
        <v>43</v>
      </c>
      <c r="D811">
        <v>0</v>
      </c>
      <c r="E811">
        <v>0</v>
      </c>
      <c r="F811">
        <v>43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84</v>
      </c>
      <c r="B812">
        <v>7172022006000500</v>
      </c>
      <c r="C812">
        <v>41</v>
      </c>
      <c r="D812">
        <v>0</v>
      </c>
      <c r="E812">
        <v>0</v>
      </c>
      <c r="F812">
        <v>41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84</v>
      </c>
      <c r="B813">
        <v>7172022006000300</v>
      </c>
      <c r="C813">
        <v>38</v>
      </c>
      <c r="D813">
        <v>0</v>
      </c>
      <c r="E813">
        <v>0</v>
      </c>
      <c r="F813">
        <v>38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84</v>
      </c>
      <c r="B814">
        <v>7172022002000300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7172022009000500</v>
      </c>
      <c r="C815">
        <v>67</v>
      </c>
      <c r="D815">
        <v>0</v>
      </c>
      <c r="E815">
        <v>0</v>
      </c>
      <c r="F815">
        <v>67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7172022010000700</v>
      </c>
      <c r="C816">
        <v>58</v>
      </c>
      <c r="D816">
        <v>0</v>
      </c>
      <c r="E816">
        <v>0</v>
      </c>
      <c r="F816">
        <v>58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7172022003000100</v>
      </c>
      <c r="C817">
        <v>54</v>
      </c>
      <c r="D817">
        <v>0</v>
      </c>
      <c r="E817">
        <v>1</v>
      </c>
      <c r="F817">
        <v>17</v>
      </c>
      <c r="G817">
        <v>0</v>
      </c>
      <c r="H817">
        <v>0</v>
      </c>
      <c r="I817">
        <v>36</v>
      </c>
      <c r="J817">
        <v>0</v>
      </c>
    </row>
    <row r="818" spans="1:10" x14ac:dyDescent="0.25">
      <c r="A818" t="s">
        <v>86</v>
      </c>
      <c r="B818">
        <v>7172022010000300</v>
      </c>
      <c r="C818">
        <v>46</v>
      </c>
      <c r="D818">
        <v>0</v>
      </c>
      <c r="E818">
        <v>0</v>
      </c>
      <c r="F818">
        <v>46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86</v>
      </c>
      <c r="B819">
        <v>7172022010000500</v>
      </c>
      <c r="C819">
        <v>45</v>
      </c>
      <c r="D819">
        <v>0</v>
      </c>
      <c r="E819">
        <v>0</v>
      </c>
      <c r="F819">
        <v>45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86</v>
      </c>
      <c r="B820">
        <v>7172022010000100</v>
      </c>
      <c r="C820">
        <v>44</v>
      </c>
      <c r="D820">
        <v>0</v>
      </c>
      <c r="E820">
        <v>0</v>
      </c>
      <c r="F820">
        <v>44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86</v>
      </c>
      <c r="B821">
        <v>7172022010000400</v>
      </c>
      <c r="C821">
        <v>38</v>
      </c>
      <c r="D821">
        <v>0</v>
      </c>
      <c r="E821">
        <v>0</v>
      </c>
      <c r="F821">
        <v>38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86</v>
      </c>
      <c r="B822">
        <v>7172022010000600</v>
      </c>
      <c r="C822">
        <v>38</v>
      </c>
      <c r="D822">
        <v>0</v>
      </c>
      <c r="E822">
        <v>0</v>
      </c>
      <c r="F822">
        <v>38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86</v>
      </c>
      <c r="B823">
        <v>7172022010000200</v>
      </c>
      <c r="C823">
        <v>33</v>
      </c>
      <c r="D823">
        <v>0</v>
      </c>
      <c r="E823">
        <v>0</v>
      </c>
      <c r="F823">
        <v>33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7172022005000200</v>
      </c>
      <c r="C824">
        <v>51</v>
      </c>
      <c r="D824">
        <v>0</v>
      </c>
      <c r="E824">
        <v>0</v>
      </c>
      <c r="F824">
        <v>51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7172022005000300</v>
      </c>
      <c r="C825">
        <v>49</v>
      </c>
      <c r="D825">
        <v>0</v>
      </c>
      <c r="E825">
        <v>0</v>
      </c>
      <c r="F825">
        <v>49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7172022004000100</v>
      </c>
      <c r="C826">
        <v>46</v>
      </c>
      <c r="D826">
        <v>0</v>
      </c>
      <c r="E826">
        <v>1</v>
      </c>
      <c r="F826">
        <v>4</v>
      </c>
      <c r="G826">
        <v>0</v>
      </c>
      <c r="H826">
        <v>0</v>
      </c>
      <c r="I826">
        <v>41</v>
      </c>
      <c r="J826">
        <v>0</v>
      </c>
    </row>
    <row r="827" spans="1:10" x14ac:dyDescent="0.25">
      <c r="A827" t="s">
        <v>87</v>
      </c>
      <c r="B827">
        <v>7172022004000200</v>
      </c>
      <c r="C827">
        <v>41</v>
      </c>
      <c r="D827">
        <v>0</v>
      </c>
      <c r="E827">
        <v>0</v>
      </c>
      <c r="F827">
        <v>41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87</v>
      </c>
      <c r="B828">
        <v>7172022005000100</v>
      </c>
      <c r="C828">
        <v>40</v>
      </c>
      <c r="D828">
        <v>0</v>
      </c>
      <c r="E828">
        <v>0</v>
      </c>
      <c r="F828">
        <v>40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87</v>
      </c>
      <c r="B829">
        <v>7172022005000400</v>
      </c>
      <c r="C829">
        <v>40</v>
      </c>
      <c r="D829">
        <v>0</v>
      </c>
      <c r="E829">
        <v>0</v>
      </c>
      <c r="F829">
        <v>40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87</v>
      </c>
      <c r="B830">
        <v>7172022004000400</v>
      </c>
      <c r="C830">
        <v>38</v>
      </c>
      <c r="D830">
        <v>0</v>
      </c>
      <c r="E830">
        <v>0</v>
      </c>
      <c r="F830">
        <v>38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87</v>
      </c>
      <c r="B831">
        <v>7172022004000300</v>
      </c>
      <c r="C831">
        <v>35</v>
      </c>
      <c r="D831">
        <v>0</v>
      </c>
      <c r="E831">
        <v>0</v>
      </c>
      <c r="F831">
        <v>35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87</v>
      </c>
      <c r="B832">
        <v>7172022004000600</v>
      </c>
      <c r="C832">
        <v>27</v>
      </c>
      <c r="D832">
        <v>0</v>
      </c>
      <c r="E832">
        <v>0</v>
      </c>
      <c r="F832">
        <v>27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87</v>
      </c>
      <c r="B833">
        <v>7172022004000500</v>
      </c>
      <c r="C833">
        <v>24</v>
      </c>
      <c r="D833">
        <v>0</v>
      </c>
      <c r="E833">
        <v>0</v>
      </c>
      <c r="F833">
        <v>24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7172022007000300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240</v>
      </c>
      <c r="B835">
        <v>7172022008000100</v>
      </c>
      <c r="C835">
        <v>66</v>
      </c>
      <c r="D835">
        <v>0</v>
      </c>
      <c r="E835">
        <v>0</v>
      </c>
      <c r="F835">
        <v>38</v>
      </c>
      <c r="G835">
        <v>0</v>
      </c>
      <c r="H835">
        <v>0</v>
      </c>
      <c r="I835">
        <v>28</v>
      </c>
      <c r="J835">
        <v>0</v>
      </c>
    </row>
    <row r="836" spans="1:10" x14ac:dyDescent="0.25">
      <c r="A836" t="s">
        <v>240</v>
      </c>
      <c r="B836">
        <v>7172022007000400</v>
      </c>
      <c r="C836">
        <v>62</v>
      </c>
      <c r="D836">
        <v>0</v>
      </c>
      <c r="E836">
        <v>0</v>
      </c>
      <c r="F836">
        <v>62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240</v>
      </c>
      <c r="B837">
        <v>7172022007000100</v>
      </c>
      <c r="C837">
        <v>59</v>
      </c>
      <c r="D837">
        <v>0</v>
      </c>
      <c r="E837">
        <v>0</v>
      </c>
      <c r="F837">
        <v>59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240</v>
      </c>
      <c r="B838">
        <v>7172022007000200</v>
      </c>
      <c r="C838">
        <v>56</v>
      </c>
      <c r="D838">
        <v>0</v>
      </c>
      <c r="E838">
        <v>0</v>
      </c>
      <c r="F838">
        <v>56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240</v>
      </c>
      <c r="B839">
        <v>7172022008000300</v>
      </c>
      <c r="C839">
        <v>56</v>
      </c>
      <c r="D839">
        <v>0</v>
      </c>
      <c r="E839">
        <v>0</v>
      </c>
      <c r="F839">
        <v>55</v>
      </c>
      <c r="G839">
        <v>0</v>
      </c>
      <c r="H839">
        <v>0</v>
      </c>
      <c r="I839">
        <v>1</v>
      </c>
      <c r="J839">
        <v>0</v>
      </c>
    </row>
    <row r="840" spans="1:10" x14ac:dyDescent="0.25">
      <c r="A840" t="s">
        <v>240</v>
      </c>
      <c r="B840">
        <v>7172022008000200</v>
      </c>
      <c r="C840">
        <v>48</v>
      </c>
      <c r="D840">
        <v>0</v>
      </c>
      <c r="E840">
        <v>0</v>
      </c>
      <c r="F840">
        <v>23</v>
      </c>
      <c r="G840">
        <v>0</v>
      </c>
      <c r="H840">
        <v>0</v>
      </c>
      <c r="I840">
        <v>25</v>
      </c>
      <c r="J840">
        <v>0</v>
      </c>
    </row>
    <row r="841" spans="1:10" x14ac:dyDescent="0.25">
      <c r="A841" t="s">
        <v>94</v>
      </c>
      <c r="B841">
        <v>7172030007001900</v>
      </c>
      <c r="C841">
        <v>84</v>
      </c>
      <c r="D841">
        <v>0</v>
      </c>
      <c r="E841">
        <v>0</v>
      </c>
      <c r="F841">
        <v>84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7172030007001800</v>
      </c>
      <c r="C842">
        <v>79</v>
      </c>
      <c r="D842">
        <v>0</v>
      </c>
      <c r="E842">
        <v>0</v>
      </c>
      <c r="F842">
        <v>79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7172030007001500</v>
      </c>
      <c r="C843">
        <v>77</v>
      </c>
      <c r="D843">
        <v>0</v>
      </c>
      <c r="E843">
        <v>0</v>
      </c>
      <c r="F843">
        <v>77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7172030007001700</v>
      </c>
      <c r="C844">
        <v>76</v>
      </c>
      <c r="D844">
        <v>0</v>
      </c>
      <c r="E844">
        <v>0</v>
      </c>
      <c r="F844">
        <v>76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94</v>
      </c>
      <c r="B845">
        <v>7172030007001100</v>
      </c>
      <c r="C845">
        <v>57</v>
      </c>
      <c r="D845">
        <v>0</v>
      </c>
      <c r="E845">
        <v>4</v>
      </c>
      <c r="F845">
        <v>21</v>
      </c>
      <c r="G845">
        <v>0</v>
      </c>
      <c r="H845">
        <v>0</v>
      </c>
      <c r="I845">
        <v>32</v>
      </c>
      <c r="J845">
        <v>0</v>
      </c>
    </row>
    <row r="846" spans="1:10" x14ac:dyDescent="0.25">
      <c r="A846" t="s">
        <v>94</v>
      </c>
      <c r="B846">
        <v>7172030007001600</v>
      </c>
      <c r="C846">
        <v>53</v>
      </c>
      <c r="D846">
        <v>0</v>
      </c>
      <c r="E846">
        <v>0</v>
      </c>
      <c r="F846">
        <v>53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94</v>
      </c>
      <c r="B847">
        <v>7172030007001200</v>
      </c>
      <c r="C847">
        <v>48</v>
      </c>
      <c r="D847">
        <v>0</v>
      </c>
      <c r="E847">
        <v>5</v>
      </c>
      <c r="F847">
        <v>42</v>
      </c>
      <c r="G847">
        <v>0</v>
      </c>
      <c r="H847">
        <v>0</v>
      </c>
      <c r="I847">
        <v>1</v>
      </c>
      <c r="J847">
        <v>0</v>
      </c>
    </row>
    <row r="848" spans="1:10" x14ac:dyDescent="0.25">
      <c r="A848" t="s">
        <v>94</v>
      </c>
      <c r="B848">
        <v>7172030007001400</v>
      </c>
      <c r="C848">
        <v>37</v>
      </c>
      <c r="D848">
        <v>0</v>
      </c>
      <c r="E848">
        <v>0</v>
      </c>
      <c r="F848">
        <v>37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94</v>
      </c>
      <c r="B849">
        <v>7172030007001300</v>
      </c>
      <c r="C849">
        <v>36</v>
      </c>
      <c r="D849">
        <v>0</v>
      </c>
      <c r="E849">
        <v>0</v>
      </c>
      <c r="F849">
        <v>36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7172030009000100</v>
      </c>
      <c r="C850">
        <v>104</v>
      </c>
      <c r="D850">
        <v>0</v>
      </c>
      <c r="E850">
        <v>0</v>
      </c>
      <c r="F850">
        <v>104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7172030017000500</v>
      </c>
      <c r="C851">
        <v>84</v>
      </c>
      <c r="D851">
        <v>0</v>
      </c>
      <c r="E851">
        <v>35</v>
      </c>
      <c r="F851">
        <v>30</v>
      </c>
      <c r="G851">
        <v>0</v>
      </c>
      <c r="H851">
        <v>0</v>
      </c>
      <c r="I851">
        <v>19</v>
      </c>
      <c r="J851">
        <v>0</v>
      </c>
    </row>
    <row r="852" spans="1:10" x14ac:dyDescent="0.25">
      <c r="A852" t="s">
        <v>96</v>
      </c>
      <c r="B852">
        <v>7172030009000200</v>
      </c>
      <c r="C852">
        <v>59</v>
      </c>
      <c r="D852">
        <v>0</v>
      </c>
      <c r="E852">
        <v>0</v>
      </c>
      <c r="F852">
        <v>59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7172030009000500</v>
      </c>
      <c r="C853">
        <v>56</v>
      </c>
      <c r="D853">
        <v>0</v>
      </c>
      <c r="E853">
        <v>0</v>
      </c>
      <c r="F853">
        <v>56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7172030009000300</v>
      </c>
      <c r="C854">
        <v>45</v>
      </c>
      <c r="D854">
        <v>0</v>
      </c>
      <c r="E854">
        <v>0</v>
      </c>
      <c r="F854">
        <v>45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7172030009000600</v>
      </c>
      <c r="C855">
        <v>43</v>
      </c>
      <c r="D855">
        <v>0</v>
      </c>
      <c r="E855">
        <v>0</v>
      </c>
      <c r="F855">
        <v>43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7172030009000400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7172030009000800</v>
      </c>
      <c r="C857">
        <v>35</v>
      </c>
      <c r="D857">
        <v>0</v>
      </c>
      <c r="E857">
        <v>0</v>
      </c>
      <c r="F857">
        <v>35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96</v>
      </c>
      <c r="B858">
        <v>7172030017000100</v>
      </c>
      <c r="C858">
        <v>33</v>
      </c>
      <c r="D858">
        <v>0</v>
      </c>
      <c r="E858">
        <v>0</v>
      </c>
      <c r="F858">
        <v>33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96</v>
      </c>
      <c r="B859">
        <v>7172030017000300</v>
      </c>
      <c r="C859">
        <v>32</v>
      </c>
      <c r="D859">
        <v>0</v>
      </c>
      <c r="E859">
        <v>0</v>
      </c>
      <c r="F859">
        <v>32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96</v>
      </c>
      <c r="B860">
        <v>7172030017000200</v>
      </c>
      <c r="C860">
        <v>24</v>
      </c>
      <c r="D860">
        <v>0</v>
      </c>
      <c r="E860">
        <v>0</v>
      </c>
      <c r="F860">
        <v>24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96</v>
      </c>
      <c r="B861">
        <v>7172030009000700</v>
      </c>
      <c r="C861">
        <v>22</v>
      </c>
      <c r="D861">
        <v>0</v>
      </c>
      <c r="E861">
        <v>0</v>
      </c>
      <c r="F861">
        <v>22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96</v>
      </c>
      <c r="B862">
        <v>7172030009200100</v>
      </c>
      <c r="C862">
        <v>1</v>
      </c>
      <c r="D862">
        <v>0</v>
      </c>
      <c r="E862">
        <v>0</v>
      </c>
      <c r="F862">
        <v>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7172030012001400</v>
      </c>
      <c r="C863">
        <v>108</v>
      </c>
      <c r="D863">
        <v>0</v>
      </c>
      <c r="E863">
        <v>0</v>
      </c>
      <c r="F863">
        <v>108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7172030012000800</v>
      </c>
      <c r="C864">
        <v>99</v>
      </c>
      <c r="D864">
        <v>0</v>
      </c>
      <c r="E864">
        <v>0</v>
      </c>
      <c r="F864">
        <v>99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98</v>
      </c>
      <c r="B865">
        <v>7172030012000600</v>
      </c>
      <c r="C865">
        <v>81</v>
      </c>
      <c r="D865">
        <v>0</v>
      </c>
      <c r="E865">
        <v>0</v>
      </c>
      <c r="F865">
        <v>81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98</v>
      </c>
      <c r="B866">
        <v>7172030012001100</v>
      </c>
      <c r="C866">
        <v>81</v>
      </c>
      <c r="D866">
        <v>0</v>
      </c>
      <c r="E866">
        <v>8</v>
      </c>
      <c r="F866">
        <v>69</v>
      </c>
      <c r="G866">
        <v>0</v>
      </c>
      <c r="H866">
        <v>0</v>
      </c>
      <c r="I866">
        <v>4</v>
      </c>
      <c r="J866">
        <v>0</v>
      </c>
    </row>
    <row r="867" spans="1:10" x14ac:dyDescent="0.25">
      <c r="A867" t="s">
        <v>98</v>
      </c>
      <c r="B867">
        <v>7172030012001000</v>
      </c>
      <c r="C867">
        <v>75</v>
      </c>
      <c r="D867">
        <v>0</v>
      </c>
      <c r="E867">
        <v>0</v>
      </c>
      <c r="F867">
        <v>75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98</v>
      </c>
      <c r="B868">
        <v>7172030012001300</v>
      </c>
      <c r="C868">
        <v>61</v>
      </c>
      <c r="D868">
        <v>0</v>
      </c>
      <c r="E868">
        <v>0</v>
      </c>
      <c r="F868">
        <v>61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98</v>
      </c>
      <c r="B869">
        <v>7172030012001500</v>
      </c>
      <c r="C869">
        <v>50</v>
      </c>
      <c r="D869">
        <v>5</v>
      </c>
      <c r="E869">
        <v>2</v>
      </c>
      <c r="F869">
        <v>9</v>
      </c>
      <c r="G869">
        <v>0</v>
      </c>
      <c r="H869">
        <v>0</v>
      </c>
      <c r="I869">
        <v>34</v>
      </c>
      <c r="J869">
        <v>0</v>
      </c>
    </row>
    <row r="870" spans="1:10" x14ac:dyDescent="0.25">
      <c r="A870" t="s">
        <v>241</v>
      </c>
      <c r="B870">
        <v>7172030013001000</v>
      </c>
      <c r="C870">
        <v>111</v>
      </c>
      <c r="D870">
        <v>0</v>
      </c>
      <c r="E870">
        <v>0</v>
      </c>
      <c r="F870">
        <v>111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7172030013000200</v>
      </c>
      <c r="C871">
        <v>83</v>
      </c>
      <c r="D871">
        <v>0</v>
      </c>
      <c r="E871">
        <v>14</v>
      </c>
      <c r="F871">
        <v>58</v>
      </c>
      <c r="G871">
        <v>0</v>
      </c>
      <c r="H871">
        <v>0</v>
      </c>
      <c r="I871">
        <v>11</v>
      </c>
      <c r="J871">
        <v>0</v>
      </c>
    </row>
    <row r="872" spans="1:10" x14ac:dyDescent="0.25">
      <c r="A872" t="s">
        <v>241</v>
      </c>
      <c r="B872">
        <v>7172030013001200</v>
      </c>
      <c r="C872">
        <v>76</v>
      </c>
      <c r="D872">
        <v>0</v>
      </c>
      <c r="E872">
        <v>0</v>
      </c>
      <c r="F872">
        <v>76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7172030013000600</v>
      </c>
      <c r="C873">
        <v>63</v>
      </c>
      <c r="D873">
        <v>0</v>
      </c>
      <c r="E873">
        <v>0</v>
      </c>
      <c r="F873">
        <v>63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241</v>
      </c>
      <c r="B874">
        <v>7172030013000400</v>
      </c>
      <c r="C874">
        <v>55</v>
      </c>
      <c r="D874">
        <v>0</v>
      </c>
      <c r="E874">
        <v>0</v>
      </c>
      <c r="F874">
        <v>55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241</v>
      </c>
      <c r="B875">
        <v>7172030013000500</v>
      </c>
      <c r="C875">
        <v>53</v>
      </c>
      <c r="D875">
        <v>0</v>
      </c>
      <c r="E875">
        <v>0</v>
      </c>
      <c r="F875">
        <v>53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241</v>
      </c>
      <c r="B876">
        <v>7172030013000900</v>
      </c>
      <c r="C876">
        <v>53</v>
      </c>
      <c r="D876">
        <v>0</v>
      </c>
      <c r="E876">
        <v>0</v>
      </c>
      <c r="F876">
        <v>53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241</v>
      </c>
      <c r="B877">
        <v>7172030013000800</v>
      </c>
      <c r="C877">
        <v>42</v>
      </c>
      <c r="D877">
        <v>0</v>
      </c>
      <c r="E877">
        <v>0</v>
      </c>
      <c r="F877">
        <v>42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241</v>
      </c>
      <c r="B878">
        <v>7172030013000700</v>
      </c>
      <c r="C878">
        <v>34</v>
      </c>
      <c r="D878">
        <v>0</v>
      </c>
      <c r="E878">
        <v>0</v>
      </c>
      <c r="F878">
        <v>34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7172030013001300</v>
      </c>
      <c r="C879">
        <v>131</v>
      </c>
      <c r="D879">
        <v>34</v>
      </c>
      <c r="E879">
        <v>0</v>
      </c>
      <c r="F879">
        <v>23</v>
      </c>
      <c r="G879">
        <v>0</v>
      </c>
      <c r="H879">
        <v>0</v>
      </c>
      <c r="I879">
        <v>74</v>
      </c>
      <c r="J879">
        <v>0</v>
      </c>
    </row>
    <row r="880" spans="1:10" x14ac:dyDescent="0.25">
      <c r="A880" t="s">
        <v>242</v>
      </c>
      <c r="B880">
        <v>7172030013001500</v>
      </c>
      <c r="C880">
        <v>121</v>
      </c>
      <c r="D880">
        <v>0</v>
      </c>
      <c r="E880">
        <v>0</v>
      </c>
      <c r="F880">
        <v>121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242</v>
      </c>
      <c r="B881">
        <v>7172030013001600</v>
      </c>
      <c r="C881">
        <v>94</v>
      </c>
      <c r="D881">
        <v>0</v>
      </c>
      <c r="E881">
        <v>0</v>
      </c>
      <c r="F881">
        <v>92</v>
      </c>
      <c r="G881">
        <v>0</v>
      </c>
      <c r="H881">
        <v>0</v>
      </c>
      <c r="I881">
        <v>2</v>
      </c>
      <c r="J881">
        <v>0</v>
      </c>
    </row>
    <row r="882" spans="1:10" x14ac:dyDescent="0.25">
      <c r="A882" t="s">
        <v>242</v>
      </c>
      <c r="B882">
        <v>7172030013001400</v>
      </c>
      <c r="C882">
        <v>69</v>
      </c>
      <c r="D882">
        <v>0</v>
      </c>
      <c r="E882">
        <v>0</v>
      </c>
      <c r="F882">
        <v>69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242</v>
      </c>
      <c r="B883">
        <v>7172030014000100</v>
      </c>
      <c r="C883">
        <v>69</v>
      </c>
      <c r="D883">
        <v>0</v>
      </c>
      <c r="E883">
        <v>0</v>
      </c>
      <c r="F883">
        <v>69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242</v>
      </c>
      <c r="B884">
        <v>7172030013001100</v>
      </c>
      <c r="C884">
        <v>58</v>
      </c>
      <c r="D884">
        <v>0</v>
      </c>
      <c r="E884">
        <v>0</v>
      </c>
      <c r="F884">
        <v>58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242</v>
      </c>
      <c r="B885">
        <v>7172030014000200</v>
      </c>
      <c r="C885">
        <v>47</v>
      </c>
      <c r="D885">
        <v>0</v>
      </c>
      <c r="E885">
        <v>0</v>
      </c>
      <c r="F885">
        <v>46</v>
      </c>
      <c r="G885">
        <v>0</v>
      </c>
      <c r="H885">
        <v>0</v>
      </c>
      <c r="I885">
        <v>1</v>
      </c>
      <c r="J885">
        <v>0</v>
      </c>
    </row>
    <row r="886" spans="1:10" x14ac:dyDescent="0.25">
      <c r="A886" t="s">
        <v>102</v>
      </c>
      <c r="B886">
        <v>7172030014000900</v>
      </c>
      <c r="C886">
        <v>105</v>
      </c>
      <c r="D886">
        <v>0</v>
      </c>
      <c r="E886">
        <v>0</v>
      </c>
      <c r="F886">
        <v>105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7172030014000500</v>
      </c>
      <c r="C887">
        <v>99</v>
      </c>
      <c r="D887">
        <v>0</v>
      </c>
      <c r="E887">
        <v>0</v>
      </c>
      <c r="F887">
        <v>99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102</v>
      </c>
      <c r="B888">
        <v>7172030014000600</v>
      </c>
      <c r="C888">
        <v>93</v>
      </c>
      <c r="D888">
        <v>0</v>
      </c>
      <c r="E888">
        <v>0</v>
      </c>
      <c r="F888">
        <v>93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102</v>
      </c>
      <c r="B889">
        <v>7172030014000700</v>
      </c>
      <c r="C889">
        <v>90</v>
      </c>
      <c r="D889">
        <v>0</v>
      </c>
      <c r="E889">
        <v>0</v>
      </c>
      <c r="F889">
        <v>90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102</v>
      </c>
      <c r="B890">
        <v>7172030014000300</v>
      </c>
      <c r="C890">
        <v>81</v>
      </c>
      <c r="D890">
        <v>1</v>
      </c>
      <c r="E890">
        <v>2</v>
      </c>
      <c r="F890">
        <v>64</v>
      </c>
      <c r="G890">
        <v>0</v>
      </c>
      <c r="H890">
        <v>0</v>
      </c>
      <c r="I890">
        <v>14</v>
      </c>
      <c r="J890">
        <v>0</v>
      </c>
    </row>
    <row r="891" spans="1:10" x14ac:dyDescent="0.25">
      <c r="A891" t="s">
        <v>102</v>
      </c>
      <c r="B891">
        <v>7172030014000800</v>
      </c>
      <c r="C891">
        <v>67</v>
      </c>
      <c r="D891">
        <v>0</v>
      </c>
      <c r="E891">
        <v>0</v>
      </c>
      <c r="F891">
        <v>67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102</v>
      </c>
      <c r="B892">
        <v>7172030014000400</v>
      </c>
      <c r="C892">
        <v>48</v>
      </c>
      <c r="D892">
        <v>0</v>
      </c>
      <c r="E892">
        <v>0</v>
      </c>
      <c r="F892">
        <v>48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106</v>
      </c>
      <c r="B893">
        <v>7172030015001702</v>
      </c>
      <c r="C893">
        <v>203</v>
      </c>
      <c r="D893">
        <v>0</v>
      </c>
      <c r="E893">
        <v>1</v>
      </c>
      <c r="F893">
        <v>202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106</v>
      </c>
      <c r="B894">
        <v>7172030015001500</v>
      </c>
      <c r="C894">
        <v>172</v>
      </c>
      <c r="D894">
        <v>0</v>
      </c>
      <c r="E894">
        <v>6</v>
      </c>
      <c r="F894">
        <v>121</v>
      </c>
      <c r="G894">
        <v>0</v>
      </c>
      <c r="H894">
        <v>0</v>
      </c>
      <c r="I894">
        <v>45</v>
      </c>
      <c r="J894">
        <v>0</v>
      </c>
    </row>
    <row r="895" spans="1:10" x14ac:dyDescent="0.25">
      <c r="A895" t="s">
        <v>106</v>
      </c>
      <c r="B895">
        <v>7172030015001600</v>
      </c>
      <c r="C895">
        <v>82</v>
      </c>
      <c r="D895">
        <v>0</v>
      </c>
      <c r="E895">
        <v>0</v>
      </c>
      <c r="F895">
        <v>82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106</v>
      </c>
      <c r="B896">
        <v>7172030015001400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7172030017000400</v>
      </c>
      <c r="C897">
        <v>114</v>
      </c>
      <c r="D897">
        <v>2</v>
      </c>
      <c r="E897">
        <v>5</v>
      </c>
      <c r="F897">
        <v>105</v>
      </c>
      <c r="G897">
        <v>1</v>
      </c>
      <c r="H897">
        <v>0</v>
      </c>
      <c r="I897">
        <v>1</v>
      </c>
      <c r="J897">
        <v>0</v>
      </c>
    </row>
    <row r="898" spans="1:10" x14ac:dyDescent="0.25">
      <c r="A898" t="s">
        <v>107</v>
      </c>
      <c r="B898">
        <v>7172030017000700</v>
      </c>
      <c r="C898">
        <v>97</v>
      </c>
      <c r="D898">
        <v>0</v>
      </c>
      <c r="E898">
        <v>5</v>
      </c>
      <c r="F898">
        <v>76</v>
      </c>
      <c r="G898">
        <v>1</v>
      </c>
      <c r="H898">
        <v>0</v>
      </c>
      <c r="I898">
        <v>15</v>
      </c>
      <c r="J898">
        <v>0</v>
      </c>
    </row>
    <row r="899" spans="1:10" x14ac:dyDescent="0.25">
      <c r="A899" t="s">
        <v>107</v>
      </c>
      <c r="B899">
        <v>7172030017000600</v>
      </c>
      <c r="C899">
        <v>83</v>
      </c>
      <c r="D899">
        <v>0</v>
      </c>
      <c r="E899">
        <v>7</v>
      </c>
      <c r="F899">
        <v>76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7172030017001000</v>
      </c>
      <c r="C900">
        <v>56</v>
      </c>
      <c r="D900">
        <v>0</v>
      </c>
      <c r="E900">
        <v>0</v>
      </c>
      <c r="F900">
        <v>56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7172030017000900</v>
      </c>
      <c r="C901">
        <v>48</v>
      </c>
      <c r="D901">
        <v>0</v>
      </c>
      <c r="E901">
        <v>0</v>
      </c>
      <c r="F901">
        <v>48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107</v>
      </c>
      <c r="B902">
        <v>7172030017001300</v>
      </c>
      <c r="C902">
        <v>41</v>
      </c>
      <c r="D902">
        <v>11</v>
      </c>
      <c r="E902">
        <v>13</v>
      </c>
      <c r="F902">
        <v>7</v>
      </c>
      <c r="G902">
        <v>2</v>
      </c>
      <c r="H902">
        <v>0</v>
      </c>
      <c r="I902">
        <v>8</v>
      </c>
      <c r="J902">
        <v>0</v>
      </c>
    </row>
    <row r="903" spans="1:10" x14ac:dyDescent="0.25">
      <c r="A903" t="s">
        <v>107</v>
      </c>
      <c r="B903">
        <v>7172030017001100</v>
      </c>
      <c r="C903">
        <v>38</v>
      </c>
      <c r="D903">
        <v>0</v>
      </c>
      <c r="E903">
        <v>2</v>
      </c>
      <c r="F903">
        <v>36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107</v>
      </c>
      <c r="B904">
        <v>7172030017001200</v>
      </c>
      <c r="C904">
        <v>36</v>
      </c>
      <c r="D904">
        <v>0</v>
      </c>
      <c r="E904">
        <v>0</v>
      </c>
      <c r="F904">
        <v>36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107</v>
      </c>
      <c r="B905">
        <v>7172030017000800</v>
      </c>
      <c r="C905">
        <v>34</v>
      </c>
      <c r="D905">
        <v>0</v>
      </c>
      <c r="E905">
        <v>0</v>
      </c>
      <c r="F905">
        <v>34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107</v>
      </c>
      <c r="B906">
        <v>7172030017001500</v>
      </c>
      <c r="C906">
        <v>34</v>
      </c>
      <c r="D906">
        <v>0</v>
      </c>
      <c r="E906">
        <v>0</v>
      </c>
      <c r="F906">
        <v>34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7172030017002001</v>
      </c>
      <c r="C907">
        <v>105</v>
      </c>
      <c r="D907">
        <v>0</v>
      </c>
      <c r="E907">
        <v>0</v>
      </c>
      <c r="F907">
        <v>105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108</v>
      </c>
      <c r="B908">
        <v>7172030017001900</v>
      </c>
      <c r="C908">
        <v>100</v>
      </c>
      <c r="D908">
        <v>0</v>
      </c>
      <c r="E908">
        <v>0</v>
      </c>
      <c r="F908">
        <v>100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108</v>
      </c>
      <c r="B909">
        <v>7172030017001800</v>
      </c>
      <c r="C909">
        <v>92</v>
      </c>
      <c r="D909">
        <v>0</v>
      </c>
      <c r="E909">
        <v>0</v>
      </c>
      <c r="F909">
        <v>92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108</v>
      </c>
      <c r="B910">
        <v>7172030017001700</v>
      </c>
      <c r="C910">
        <v>90</v>
      </c>
      <c r="D910">
        <v>0</v>
      </c>
      <c r="E910">
        <v>0</v>
      </c>
      <c r="F910">
        <v>90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108</v>
      </c>
      <c r="B911">
        <v>7172030017002002</v>
      </c>
      <c r="C911">
        <v>80</v>
      </c>
      <c r="D911">
        <v>0</v>
      </c>
      <c r="E911">
        <v>0</v>
      </c>
      <c r="F911">
        <v>80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108</v>
      </c>
      <c r="B912">
        <v>7172030017001400</v>
      </c>
      <c r="C912">
        <v>70</v>
      </c>
      <c r="D912">
        <v>1</v>
      </c>
      <c r="E912">
        <v>25</v>
      </c>
      <c r="F912">
        <v>23</v>
      </c>
      <c r="G912">
        <v>0</v>
      </c>
      <c r="H912">
        <v>0</v>
      </c>
      <c r="I912">
        <v>21</v>
      </c>
      <c r="J912">
        <v>0</v>
      </c>
    </row>
    <row r="913" spans="1:10" x14ac:dyDescent="0.25">
      <c r="A913" t="s">
        <v>108</v>
      </c>
      <c r="B913">
        <v>7172030017001600</v>
      </c>
      <c r="C913">
        <v>51</v>
      </c>
      <c r="D913">
        <v>0</v>
      </c>
      <c r="E913">
        <v>0</v>
      </c>
      <c r="F913">
        <v>51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110</v>
      </c>
      <c r="B914">
        <v>7172031002000100</v>
      </c>
      <c r="C914">
        <v>201</v>
      </c>
      <c r="D914">
        <v>0</v>
      </c>
      <c r="E914">
        <v>0</v>
      </c>
      <c r="F914">
        <v>201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110</v>
      </c>
      <c r="B915">
        <v>7172031002000200</v>
      </c>
      <c r="C915">
        <v>177</v>
      </c>
      <c r="D915">
        <v>0</v>
      </c>
      <c r="E915">
        <v>0</v>
      </c>
      <c r="F915">
        <v>177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110</v>
      </c>
      <c r="B916">
        <v>7172031002000300</v>
      </c>
      <c r="C916">
        <v>127</v>
      </c>
      <c r="D916">
        <v>0</v>
      </c>
      <c r="E916">
        <v>0</v>
      </c>
      <c r="F916">
        <v>127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110</v>
      </c>
      <c r="B917">
        <v>7172031001001500</v>
      </c>
      <c r="C917">
        <v>90</v>
      </c>
      <c r="D917">
        <v>4</v>
      </c>
      <c r="E917">
        <v>18</v>
      </c>
      <c r="F917">
        <v>29</v>
      </c>
      <c r="G917">
        <v>4</v>
      </c>
      <c r="H917">
        <v>0</v>
      </c>
      <c r="I917">
        <v>35</v>
      </c>
      <c r="J917">
        <v>0</v>
      </c>
    </row>
    <row r="918" spans="1:10" x14ac:dyDescent="0.25">
      <c r="A918" t="s">
        <v>111</v>
      </c>
      <c r="B918">
        <v>7172031002000500</v>
      </c>
      <c r="C918">
        <v>119</v>
      </c>
      <c r="D918">
        <v>0</v>
      </c>
      <c r="E918">
        <v>0</v>
      </c>
      <c r="F918">
        <v>119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7172031002000400</v>
      </c>
      <c r="C919">
        <v>102</v>
      </c>
      <c r="D919">
        <v>9</v>
      </c>
      <c r="E919">
        <v>11</v>
      </c>
      <c r="F919">
        <v>45</v>
      </c>
      <c r="G919">
        <v>10</v>
      </c>
      <c r="H919">
        <v>0</v>
      </c>
      <c r="I919">
        <v>27</v>
      </c>
      <c r="J919">
        <v>0</v>
      </c>
    </row>
    <row r="920" spans="1:10" x14ac:dyDescent="0.25">
      <c r="A920" t="s">
        <v>111</v>
      </c>
      <c r="B920">
        <v>7172031002001101</v>
      </c>
      <c r="C920">
        <v>85</v>
      </c>
      <c r="D920">
        <v>0</v>
      </c>
      <c r="E920">
        <v>0</v>
      </c>
      <c r="F920">
        <v>85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111</v>
      </c>
      <c r="B921">
        <v>7172031002000700</v>
      </c>
      <c r="C921">
        <v>64</v>
      </c>
      <c r="D921">
        <v>0</v>
      </c>
      <c r="E921">
        <v>0</v>
      </c>
      <c r="F921">
        <v>64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111</v>
      </c>
      <c r="B922">
        <v>7172031002001500</v>
      </c>
      <c r="C922">
        <v>59</v>
      </c>
      <c r="D922">
        <v>0</v>
      </c>
      <c r="E922">
        <v>0</v>
      </c>
      <c r="F922">
        <v>59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111</v>
      </c>
      <c r="B923">
        <v>7172031003000200</v>
      </c>
      <c r="C923">
        <v>56</v>
      </c>
      <c r="D923">
        <v>0</v>
      </c>
      <c r="E923">
        <v>0</v>
      </c>
      <c r="F923">
        <v>56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111</v>
      </c>
      <c r="B924">
        <v>7172031002001400</v>
      </c>
      <c r="C924">
        <v>55</v>
      </c>
      <c r="D924">
        <v>0</v>
      </c>
      <c r="E924">
        <v>0</v>
      </c>
      <c r="F924">
        <v>55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111</v>
      </c>
      <c r="B925">
        <v>7172031002000600</v>
      </c>
      <c r="C925">
        <v>49</v>
      </c>
      <c r="D925">
        <v>0</v>
      </c>
      <c r="E925">
        <v>0</v>
      </c>
      <c r="F925">
        <v>49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7172031002001102</v>
      </c>
      <c r="C926">
        <v>162</v>
      </c>
      <c r="D926">
        <v>5</v>
      </c>
      <c r="E926">
        <v>29</v>
      </c>
      <c r="F926">
        <v>101</v>
      </c>
      <c r="G926">
        <v>4</v>
      </c>
      <c r="H926">
        <v>0</v>
      </c>
      <c r="I926">
        <v>23</v>
      </c>
      <c r="J926">
        <v>0</v>
      </c>
    </row>
    <row r="927" spans="1:10" x14ac:dyDescent="0.25">
      <c r="A927" t="s">
        <v>112</v>
      </c>
      <c r="B927">
        <v>7172031002001000</v>
      </c>
      <c r="C927">
        <v>112</v>
      </c>
      <c r="D927">
        <v>0</v>
      </c>
      <c r="E927">
        <v>0</v>
      </c>
      <c r="F927">
        <v>112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112</v>
      </c>
      <c r="B928">
        <v>7172031008001400</v>
      </c>
      <c r="C928">
        <v>77</v>
      </c>
      <c r="D928">
        <v>0</v>
      </c>
      <c r="E928">
        <v>0</v>
      </c>
      <c r="F928">
        <v>77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112</v>
      </c>
      <c r="B929">
        <v>7172031002000800</v>
      </c>
      <c r="C929">
        <v>76</v>
      </c>
      <c r="D929">
        <v>0</v>
      </c>
      <c r="E929">
        <v>0</v>
      </c>
      <c r="F929">
        <v>76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112</v>
      </c>
      <c r="B930">
        <v>7172031002001300</v>
      </c>
      <c r="C930">
        <v>58</v>
      </c>
      <c r="D930">
        <v>0</v>
      </c>
      <c r="E930">
        <v>0</v>
      </c>
      <c r="F930">
        <v>58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112</v>
      </c>
      <c r="B931">
        <v>7172031008000800</v>
      </c>
      <c r="C931">
        <v>53</v>
      </c>
      <c r="D931">
        <v>0</v>
      </c>
      <c r="E931">
        <v>0</v>
      </c>
      <c r="F931">
        <v>53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112</v>
      </c>
      <c r="B932">
        <v>7172031002000900</v>
      </c>
      <c r="C932">
        <v>47</v>
      </c>
      <c r="D932">
        <v>0</v>
      </c>
      <c r="E932">
        <v>0</v>
      </c>
      <c r="F932">
        <v>47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112</v>
      </c>
      <c r="B933">
        <v>7172031008001500</v>
      </c>
      <c r="C933">
        <v>28</v>
      </c>
      <c r="D933">
        <v>8</v>
      </c>
      <c r="E933">
        <v>9</v>
      </c>
      <c r="F933">
        <v>5</v>
      </c>
      <c r="G933">
        <v>0</v>
      </c>
      <c r="H933">
        <v>0</v>
      </c>
      <c r="I933">
        <v>6</v>
      </c>
      <c r="J933">
        <v>0</v>
      </c>
    </row>
    <row r="934" spans="1:10" x14ac:dyDescent="0.25">
      <c r="A934" t="s">
        <v>115</v>
      </c>
      <c r="B934">
        <v>7172031003002000</v>
      </c>
      <c r="C934">
        <v>184</v>
      </c>
      <c r="D934">
        <v>14</v>
      </c>
      <c r="E934">
        <v>16</v>
      </c>
      <c r="F934">
        <v>108</v>
      </c>
      <c r="G934">
        <v>6</v>
      </c>
      <c r="H934">
        <v>0</v>
      </c>
      <c r="I934">
        <v>40</v>
      </c>
      <c r="J934">
        <v>0</v>
      </c>
    </row>
    <row r="935" spans="1:10" x14ac:dyDescent="0.25">
      <c r="A935" t="s">
        <v>115</v>
      </c>
      <c r="B935">
        <v>7172031003001700</v>
      </c>
      <c r="C935">
        <v>135</v>
      </c>
      <c r="D935">
        <v>0</v>
      </c>
      <c r="E935">
        <v>0</v>
      </c>
      <c r="F935">
        <v>135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115</v>
      </c>
      <c r="B936">
        <v>7172031003002100</v>
      </c>
      <c r="C936">
        <v>134</v>
      </c>
      <c r="D936">
        <v>0</v>
      </c>
      <c r="E936">
        <v>0</v>
      </c>
      <c r="F936">
        <v>134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115</v>
      </c>
      <c r="B937">
        <v>7172031003001900</v>
      </c>
      <c r="C937">
        <v>62</v>
      </c>
      <c r="D937">
        <v>0</v>
      </c>
      <c r="E937">
        <v>1</v>
      </c>
      <c r="F937">
        <v>61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115</v>
      </c>
      <c r="B938">
        <v>7172031003001400</v>
      </c>
      <c r="C938">
        <v>56</v>
      </c>
      <c r="D938">
        <v>0</v>
      </c>
      <c r="E938">
        <v>0</v>
      </c>
      <c r="F938">
        <v>56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7172031003001800</v>
      </c>
      <c r="C939">
        <v>143</v>
      </c>
      <c r="D939">
        <v>95</v>
      </c>
      <c r="E939">
        <v>0</v>
      </c>
      <c r="F939">
        <v>14</v>
      </c>
      <c r="G939">
        <v>3</v>
      </c>
      <c r="H939">
        <v>0</v>
      </c>
      <c r="I939">
        <v>31</v>
      </c>
      <c r="J939">
        <v>0</v>
      </c>
    </row>
    <row r="940" spans="1:10" x14ac:dyDescent="0.25">
      <c r="A940" t="s">
        <v>243</v>
      </c>
      <c r="B940">
        <v>7172031003002700</v>
      </c>
      <c r="C940">
        <v>98</v>
      </c>
      <c r="D940">
        <v>1</v>
      </c>
      <c r="E940">
        <v>0</v>
      </c>
      <c r="F940">
        <v>97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243</v>
      </c>
      <c r="B941">
        <v>7172031003002500</v>
      </c>
      <c r="C941">
        <v>82</v>
      </c>
      <c r="D941">
        <v>0</v>
      </c>
      <c r="E941">
        <v>0</v>
      </c>
      <c r="F941">
        <v>82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243</v>
      </c>
      <c r="B942">
        <v>7172031003002300</v>
      </c>
      <c r="C942">
        <v>77</v>
      </c>
      <c r="D942">
        <v>0</v>
      </c>
      <c r="E942">
        <v>0</v>
      </c>
      <c r="F942">
        <v>77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243</v>
      </c>
      <c r="B943">
        <v>7172031003002600</v>
      </c>
      <c r="C943">
        <v>68</v>
      </c>
      <c r="D943">
        <v>0</v>
      </c>
      <c r="E943">
        <v>0</v>
      </c>
      <c r="F943">
        <v>68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243</v>
      </c>
      <c r="B944">
        <v>7172031003002200</v>
      </c>
      <c r="C944">
        <v>60</v>
      </c>
      <c r="D944">
        <v>0</v>
      </c>
      <c r="E944">
        <v>0</v>
      </c>
      <c r="F944">
        <v>60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243</v>
      </c>
      <c r="B945">
        <v>7172031003002400</v>
      </c>
      <c r="C945">
        <v>54</v>
      </c>
      <c r="D945">
        <v>0</v>
      </c>
      <c r="E945">
        <v>0</v>
      </c>
      <c r="F945">
        <v>54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7172031004000800</v>
      </c>
      <c r="C946">
        <v>123</v>
      </c>
      <c r="D946">
        <v>0</v>
      </c>
      <c r="E946">
        <v>0</v>
      </c>
      <c r="F946">
        <v>123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7172031004000900</v>
      </c>
      <c r="C947">
        <v>74</v>
      </c>
      <c r="D947">
        <v>18</v>
      </c>
      <c r="E947">
        <v>33</v>
      </c>
      <c r="F947">
        <v>12</v>
      </c>
      <c r="G947">
        <v>2</v>
      </c>
      <c r="H947">
        <v>0</v>
      </c>
      <c r="I947">
        <v>9</v>
      </c>
      <c r="J947">
        <v>0</v>
      </c>
    </row>
    <row r="948" spans="1:10" x14ac:dyDescent="0.25">
      <c r="A948" t="s">
        <v>117</v>
      </c>
      <c r="B948">
        <v>7172031004000200</v>
      </c>
      <c r="C948">
        <v>54</v>
      </c>
      <c r="D948">
        <v>0</v>
      </c>
      <c r="E948">
        <v>0</v>
      </c>
      <c r="F948">
        <v>54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7172031004000100</v>
      </c>
      <c r="C949">
        <v>51</v>
      </c>
      <c r="D949">
        <v>0</v>
      </c>
      <c r="E949">
        <v>0</v>
      </c>
      <c r="F949">
        <v>51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7172031004000300</v>
      </c>
      <c r="C950">
        <v>51</v>
      </c>
      <c r="D950">
        <v>0</v>
      </c>
      <c r="E950">
        <v>0</v>
      </c>
      <c r="F950">
        <v>51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7172031004001100</v>
      </c>
      <c r="C951">
        <v>48</v>
      </c>
      <c r="D951">
        <v>0</v>
      </c>
      <c r="E951">
        <v>0</v>
      </c>
      <c r="F951">
        <v>48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117</v>
      </c>
      <c r="B952">
        <v>7172031004000700</v>
      </c>
      <c r="C952">
        <v>45</v>
      </c>
      <c r="D952">
        <v>0</v>
      </c>
      <c r="E952">
        <v>0</v>
      </c>
      <c r="F952">
        <v>45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117</v>
      </c>
      <c r="B953">
        <v>7172031004001000</v>
      </c>
      <c r="C953">
        <v>41</v>
      </c>
      <c r="D953">
        <v>0</v>
      </c>
      <c r="E953">
        <v>0</v>
      </c>
      <c r="F953">
        <v>41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117</v>
      </c>
      <c r="B954">
        <v>7172031004000600</v>
      </c>
      <c r="C954">
        <v>36</v>
      </c>
      <c r="D954">
        <v>0</v>
      </c>
      <c r="E954">
        <v>0</v>
      </c>
      <c r="F954">
        <v>36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117</v>
      </c>
      <c r="B955">
        <v>7172031004000500</v>
      </c>
      <c r="C955">
        <v>34</v>
      </c>
      <c r="D955">
        <v>0</v>
      </c>
      <c r="E955">
        <v>0</v>
      </c>
      <c r="F955">
        <v>34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117</v>
      </c>
      <c r="B956">
        <v>7172031004000400</v>
      </c>
      <c r="C956">
        <v>28</v>
      </c>
      <c r="D956">
        <v>0</v>
      </c>
      <c r="E956">
        <v>0</v>
      </c>
      <c r="F956">
        <v>28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120</v>
      </c>
      <c r="B957">
        <v>7172031006000101</v>
      </c>
      <c r="C957">
        <v>197</v>
      </c>
      <c r="D957">
        <v>3</v>
      </c>
      <c r="E957">
        <v>17</v>
      </c>
      <c r="F957">
        <v>135</v>
      </c>
      <c r="G957">
        <v>30</v>
      </c>
      <c r="H957">
        <v>0</v>
      </c>
      <c r="I957">
        <v>12</v>
      </c>
      <c r="J957">
        <v>0</v>
      </c>
    </row>
    <row r="958" spans="1:10" x14ac:dyDescent="0.25">
      <c r="A958" t="s">
        <v>120</v>
      </c>
      <c r="B958">
        <v>7172031006000300</v>
      </c>
      <c r="C958">
        <v>133</v>
      </c>
      <c r="D958">
        <v>0</v>
      </c>
      <c r="E958">
        <v>0</v>
      </c>
      <c r="F958">
        <v>133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120</v>
      </c>
      <c r="B959">
        <v>7172031006000400</v>
      </c>
      <c r="C959">
        <v>123</v>
      </c>
      <c r="D959">
        <v>0</v>
      </c>
      <c r="E959">
        <v>0</v>
      </c>
      <c r="F959">
        <v>123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120</v>
      </c>
      <c r="B960">
        <v>7172031006000200</v>
      </c>
      <c r="C960">
        <v>117</v>
      </c>
      <c r="D960">
        <v>0</v>
      </c>
      <c r="E960">
        <v>0</v>
      </c>
      <c r="F960">
        <v>117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120</v>
      </c>
      <c r="B961">
        <v>7172031006000102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122</v>
      </c>
      <c r="B962">
        <v>7172031006000900</v>
      </c>
      <c r="C962">
        <v>155</v>
      </c>
      <c r="D962">
        <v>0</v>
      </c>
      <c r="E962">
        <v>0</v>
      </c>
      <c r="F962">
        <v>155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122</v>
      </c>
      <c r="B963">
        <v>7172031006001200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122</v>
      </c>
      <c r="B964">
        <v>7172031006001300</v>
      </c>
      <c r="C964">
        <v>110</v>
      </c>
      <c r="D964">
        <v>3</v>
      </c>
      <c r="E964">
        <v>27</v>
      </c>
      <c r="F964">
        <v>57</v>
      </c>
      <c r="G964">
        <v>2</v>
      </c>
      <c r="H964">
        <v>0</v>
      </c>
      <c r="I964">
        <v>21</v>
      </c>
      <c r="J964">
        <v>0</v>
      </c>
    </row>
    <row r="965" spans="1:10" x14ac:dyDescent="0.25">
      <c r="A965" t="s">
        <v>122</v>
      </c>
      <c r="B965">
        <v>7172031006001000</v>
      </c>
      <c r="C965">
        <v>105</v>
      </c>
      <c r="D965">
        <v>0</v>
      </c>
      <c r="E965">
        <v>0</v>
      </c>
      <c r="F965">
        <v>105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122</v>
      </c>
      <c r="B966">
        <v>7172031006000700</v>
      </c>
      <c r="C966">
        <v>72</v>
      </c>
      <c r="D966">
        <v>0</v>
      </c>
      <c r="E966">
        <v>0</v>
      </c>
      <c r="F966">
        <v>72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124</v>
      </c>
      <c r="B967">
        <v>7172031006001400</v>
      </c>
      <c r="C967">
        <v>175</v>
      </c>
      <c r="D967">
        <v>25</v>
      </c>
      <c r="E967">
        <v>96</v>
      </c>
      <c r="F967">
        <v>21</v>
      </c>
      <c r="G967">
        <v>0</v>
      </c>
      <c r="H967">
        <v>0</v>
      </c>
      <c r="I967">
        <v>33</v>
      </c>
      <c r="J967">
        <v>0</v>
      </c>
    </row>
    <row r="968" spans="1:10" x14ac:dyDescent="0.25">
      <c r="A968" t="s">
        <v>124</v>
      </c>
      <c r="B968">
        <v>7172031006001500</v>
      </c>
      <c r="C968">
        <v>136</v>
      </c>
      <c r="D968">
        <v>0</v>
      </c>
      <c r="E968">
        <v>0</v>
      </c>
      <c r="F968">
        <v>136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124</v>
      </c>
      <c r="B969">
        <v>7172031006001700</v>
      </c>
      <c r="C969">
        <v>121</v>
      </c>
      <c r="D969">
        <v>0</v>
      </c>
      <c r="E969">
        <v>0</v>
      </c>
      <c r="F969">
        <v>121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124</v>
      </c>
      <c r="B970">
        <v>7172031006001800</v>
      </c>
      <c r="C970">
        <v>91</v>
      </c>
      <c r="D970">
        <v>0</v>
      </c>
      <c r="E970">
        <v>0</v>
      </c>
      <c r="F970">
        <v>91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124</v>
      </c>
      <c r="B971">
        <v>7172031006001600</v>
      </c>
      <c r="C971">
        <v>76</v>
      </c>
      <c r="D971">
        <v>0</v>
      </c>
      <c r="E971">
        <v>0</v>
      </c>
      <c r="F971">
        <v>76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7172031007001600</v>
      </c>
      <c r="C972">
        <v>124</v>
      </c>
      <c r="D972">
        <v>0</v>
      </c>
      <c r="E972">
        <v>0</v>
      </c>
      <c r="F972">
        <v>124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127</v>
      </c>
      <c r="B973">
        <v>7172031007001800</v>
      </c>
      <c r="C973">
        <v>117</v>
      </c>
      <c r="D973">
        <v>0</v>
      </c>
      <c r="E973">
        <v>0</v>
      </c>
      <c r="F973">
        <v>117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127</v>
      </c>
      <c r="B974">
        <v>7172031007001000</v>
      </c>
      <c r="C974">
        <v>100</v>
      </c>
      <c r="D974">
        <v>3</v>
      </c>
      <c r="E974">
        <v>13</v>
      </c>
      <c r="F974">
        <v>28</v>
      </c>
      <c r="G974">
        <v>3</v>
      </c>
      <c r="H974">
        <v>0</v>
      </c>
      <c r="I974">
        <v>53</v>
      </c>
      <c r="J974">
        <v>0</v>
      </c>
    </row>
    <row r="975" spans="1:10" x14ac:dyDescent="0.25">
      <c r="A975" t="s">
        <v>127</v>
      </c>
      <c r="B975">
        <v>7172031007001200</v>
      </c>
      <c r="C975">
        <v>85</v>
      </c>
      <c r="D975">
        <v>0</v>
      </c>
      <c r="E975">
        <v>0</v>
      </c>
      <c r="F975">
        <v>85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127</v>
      </c>
      <c r="B976">
        <v>7172031007002000</v>
      </c>
      <c r="C976">
        <v>79</v>
      </c>
      <c r="D976">
        <v>0</v>
      </c>
      <c r="E976">
        <v>0</v>
      </c>
      <c r="F976">
        <v>79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127</v>
      </c>
      <c r="B977">
        <v>7172031007001700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7172031008001000</v>
      </c>
      <c r="C978">
        <v>86</v>
      </c>
      <c r="D978">
        <v>0</v>
      </c>
      <c r="E978">
        <v>0</v>
      </c>
      <c r="F978">
        <v>86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7172031008000900</v>
      </c>
      <c r="C979">
        <v>85</v>
      </c>
      <c r="D979">
        <v>0</v>
      </c>
      <c r="E979">
        <v>0</v>
      </c>
      <c r="F979">
        <v>82</v>
      </c>
      <c r="G979">
        <v>1</v>
      </c>
      <c r="H979">
        <v>0</v>
      </c>
      <c r="I979">
        <v>2</v>
      </c>
      <c r="J979">
        <v>0</v>
      </c>
    </row>
    <row r="980" spans="1:10" x14ac:dyDescent="0.25">
      <c r="A980" t="s">
        <v>129</v>
      </c>
      <c r="B980">
        <v>7172031008001200</v>
      </c>
      <c r="C980">
        <v>81</v>
      </c>
      <c r="D980">
        <v>0</v>
      </c>
      <c r="E980">
        <v>0</v>
      </c>
      <c r="F980">
        <v>81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7172031008000300</v>
      </c>
      <c r="C981">
        <v>75</v>
      </c>
      <c r="D981">
        <v>0</v>
      </c>
      <c r="E981">
        <v>0</v>
      </c>
      <c r="F981">
        <v>74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129</v>
      </c>
      <c r="B982">
        <v>7172031008001300</v>
      </c>
      <c r="C982">
        <v>73</v>
      </c>
      <c r="D982">
        <v>0</v>
      </c>
      <c r="E982">
        <v>0</v>
      </c>
      <c r="F982">
        <v>73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129</v>
      </c>
      <c r="B983">
        <v>7172031008001100</v>
      </c>
      <c r="C983">
        <v>57</v>
      </c>
      <c r="D983">
        <v>0</v>
      </c>
      <c r="E983">
        <v>0</v>
      </c>
      <c r="F983">
        <v>57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129</v>
      </c>
      <c r="B984">
        <v>7172031008000600</v>
      </c>
      <c r="C984">
        <v>45</v>
      </c>
      <c r="D984">
        <v>0</v>
      </c>
      <c r="E984">
        <v>13</v>
      </c>
      <c r="F984">
        <v>12</v>
      </c>
      <c r="G984">
        <v>0</v>
      </c>
      <c r="H984">
        <v>0</v>
      </c>
      <c r="I984">
        <v>20</v>
      </c>
      <c r="J984">
        <v>0</v>
      </c>
    </row>
    <row r="985" spans="1:10" x14ac:dyDescent="0.25">
      <c r="A985" t="s">
        <v>129</v>
      </c>
      <c r="B985">
        <v>7172031008000500</v>
      </c>
      <c r="C985">
        <v>39</v>
      </c>
      <c r="D985">
        <v>0</v>
      </c>
      <c r="E985">
        <v>0</v>
      </c>
      <c r="F985">
        <v>39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129</v>
      </c>
      <c r="B986">
        <v>7172031008000700</v>
      </c>
      <c r="C986">
        <v>25</v>
      </c>
      <c r="D986">
        <v>14</v>
      </c>
      <c r="E986">
        <v>0</v>
      </c>
      <c r="F986">
        <v>0</v>
      </c>
      <c r="G986">
        <v>0</v>
      </c>
      <c r="H986">
        <v>0</v>
      </c>
      <c r="I986">
        <v>11</v>
      </c>
      <c r="J986">
        <v>0</v>
      </c>
    </row>
    <row r="987" spans="1:10" x14ac:dyDescent="0.25">
      <c r="A987" t="s">
        <v>129</v>
      </c>
      <c r="B987">
        <v>7172031008500100</v>
      </c>
      <c r="C987">
        <v>14</v>
      </c>
      <c r="D987">
        <v>0</v>
      </c>
      <c r="E987">
        <v>0</v>
      </c>
      <c r="F987">
        <v>14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7172040009000200</v>
      </c>
      <c r="C988">
        <v>85</v>
      </c>
      <c r="D988">
        <v>0</v>
      </c>
      <c r="E988">
        <v>0</v>
      </c>
      <c r="F988">
        <v>85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7172040009000500</v>
      </c>
      <c r="C989">
        <v>80</v>
      </c>
      <c r="D989">
        <v>0</v>
      </c>
      <c r="E989">
        <v>3</v>
      </c>
      <c r="F989">
        <v>73</v>
      </c>
      <c r="G989">
        <v>0</v>
      </c>
      <c r="H989">
        <v>0</v>
      </c>
      <c r="I989">
        <v>4</v>
      </c>
      <c r="J989">
        <v>0</v>
      </c>
    </row>
    <row r="990" spans="1:10" x14ac:dyDescent="0.25">
      <c r="A990" t="s">
        <v>130</v>
      </c>
      <c r="B990">
        <v>7172040009000600</v>
      </c>
      <c r="C990">
        <v>74</v>
      </c>
      <c r="D990">
        <v>0</v>
      </c>
      <c r="E990">
        <v>23</v>
      </c>
      <c r="F990">
        <v>32</v>
      </c>
      <c r="G990">
        <v>1</v>
      </c>
      <c r="H990">
        <v>0</v>
      </c>
      <c r="I990">
        <v>18</v>
      </c>
      <c r="J990">
        <v>0</v>
      </c>
    </row>
    <row r="991" spans="1:10" x14ac:dyDescent="0.25">
      <c r="A991" t="s">
        <v>130</v>
      </c>
      <c r="B991">
        <v>7172040001000200</v>
      </c>
      <c r="C991">
        <v>72</v>
      </c>
      <c r="D991">
        <v>0</v>
      </c>
      <c r="E991">
        <v>0</v>
      </c>
      <c r="F991">
        <v>72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130</v>
      </c>
      <c r="B992">
        <v>7172040009000100</v>
      </c>
      <c r="C992">
        <v>68</v>
      </c>
      <c r="D992">
        <v>0</v>
      </c>
      <c r="E992">
        <v>0</v>
      </c>
      <c r="F992">
        <v>68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130</v>
      </c>
      <c r="B993">
        <v>7172040009000300</v>
      </c>
      <c r="C993">
        <v>62</v>
      </c>
      <c r="D993">
        <v>0</v>
      </c>
      <c r="E993">
        <v>0</v>
      </c>
      <c r="F993">
        <v>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130</v>
      </c>
      <c r="B994">
        <v>7172040001000100</v>
      </c>
      <c r="C994">
        <v>59</v>
      </c>
      <c r="D994">
        <v>0</v>
      </c>
      <c r="E994">
        <v>0</v>
      </c>
      <c r="F994">
        <v>59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130</v>
      </c>
      <c r="B995">
        <v>7172040009000400</v>
      </c>
      <c r="C995">
        <v>56</v>
      </c>
      <c r="D995">
        <v>0</v>
      </c>
      <c r="E995">
        <v>0</v>
      </c>
      <c r="F995">
        <v>56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130</v>
      </c>
      <c r="B996">
        <v>7172040001000300</v>
      </c>
      <c r="C996">
        <v>38</v>
      </c>
      <c r="D996">
        <v>0</v>
      </c>
      <c r="E996">
        <v>0</v>
      </c>
      <c r="F996">
        <v>38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132</v>
      </c>
      <c r="B997">
        <v>7172040003000601</v>
      </c>
      <c r="C997">
        <v>179</v>
      </c>
      <c r="D997">
        <v>41</v>
      </c>
      <c r="E997">
        <v>13</v>
      </c>
      <c r="F997">
        <v>106</v>
      </c>
      <c r="G997">
        <v>2</v>
      </c>
      <c r="H997">
        <v>1</v>
      </c>
      <c r="I997">
        <v>16</v>
      </c>
      <c r="J997">
        <v>0</v>
      </c>
    </row>
    <row r="998" spans="1:10" x14ac:dyDescent="0.25">
      <c r="A998" t="s">
        <v>132</v>
      </c>
      <c r="B998">
        <v>7172040003000500</v>
      </c>
      <c r="C998">
        <v>162</v>
      </c>
      <c r="D998">
        <v>0</v>
      </c>
      <c r="E998">
        <v>0</v>
      </c>
      <c r="F998">
        <v>162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132</v>
      </c>
      <c r="B999">
        <v>7172040003000101</v>
      </c>
      <c r="C999">
        <v>96</v>
      </c>
      <c r="D999">
        <v>0</v>
      </c>
      <c r="E999">
        <v>0</v>
      </c>
      <c r="F999">
        <v>96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132</v>
      </c>
      <c r="B1000">
        <v>7172040005001900</v>
      </c>
      <c r="C1000">
        <v>84</v>
      </c>
      <c r="D1000">
        <v>0</v>
      </c>
      <c r="E1000">
        <v>0</v>
      </c>
      <c r="F1000">
        <v>84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132</v>
      </c>
      <c r="B1001">
        <v>7172040005002002</v>
      </c>
      <c r="C1001">
        <v>40</v>
      </c>
      <c r="D1001">
        <v>0</v>
      </c>
      <c r="E1001">
        <v>0</v>
      </c>
      <c r="F1001">
        <v>40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7172040003000300</v>
      </c>
      <c r="C1002">
        <v>150</v>
      </c>
      <c r="D1002">
        <v>0</v>
      </c>
      <c r="E1002">
        <v>0</v>
      </c>
      <c r="F1002">
        <v>150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7172040003000102</v>
      </c>
      <c r="C1003">
        <v>119</v>
      </c>
      <c r="D1003">
        <v>0</v>
      </c>
      <c r="E1003">
        <v>0</v>
      </c>
      <c r="F1003">
        <v>119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133</v>
      </c>
      <c r="B1004">
        <v>7172040003000602</v>
      </c>
      <c r="C1004">
        <v>80</v>
      </c>
      <c r="D1004">
        <v>0</v>
      </c>
      <c r="E1004">
        <v>1</v>
      </c>
      <c r="F1004">
        <v>45</v>
      </c>
      <c r="G1004">
        <v>0</v>
      </c>
      <c r="H1004">
        <v>0</v>
      </c>
      <c r="I1004">
        <v>33</v>
      </c>
      <c r="J1004">
        <v>1</v>
      </c>
    </row>
    <row r="1005" spans="1:10" x14ac:dyDescent="0.25">
      <c r="A1005" t="s">
        <v>133</v>
      </c>
      <c r="B1005">
        <v>7172040003000400</v>
      </c>
      <c r="C1005">
        <v>72</v>
      </c>
      <c r="D1005">
        <v>0</v>
      </c>
      <c r="E1005">
        <v>0</v>
      </c>
      <c r="F1005">
        <v>71</v>
      </c>
      <c r="G1005">
        <v>0</v>
      </c>
      <c r="H1005">
        <v>0</v>
      </c>
      <c r="I1005">
        <v>1</v>
      </c>
      <c r="J1005">
        <v>0</v>
      </c>
    </row>
    <row r="1006" spans="1:10" x14ac:dyDescent="0.25">
      <c r="A1006" t="s">
        <v>133</v>
      </c>
      <c r="B1006">
        <v>7172040003000700</v>
      </c>
      <c r="C1006">
        <v>69</v>
      </c>
      <c r="D1006">
        <v>0</v>
      </c>
      <c r="E1006">
        <v>0</v>
      </c>
      <c r="F1006">
        <v>69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133</v>
      </c>
      <c r="B1007">
        <v>7172040005000600</v>
      </c>
      <c r="C1007">
        <v>42</v>
      </c>
      <c r="D1007">
        <v>0</v>
      </c>
      <c r="E1007">
        <v>0</v>
      </c>
      <c r="F1007">
        <v>42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133</v>
      </c>
      <c r="B1008">
        <v>7172040005001600</v>
      </c>
      <c r="C1008">
        <v>32</v>
      </c>
      <c r="D1008">
        <v>0</v>
      </c>
      <c r="E1008">
        <v>0</v>
      </c>
      <c r="F1008">
        <v>32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135</v>
      </c>
      <c r="B1009">
        <v>7172040003001501</v>
      </c>
      <c r="C1009">
        <v>182</v>
      </c>
      <c r="D1009">
        <v>0</v>
      </c>
      <c r="E1009">
        <v>0</v>
      </c>
      <c r="F1009">
        <v>182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135</v>
      </c>
      <c r="B1010">
        <v>7172040003001301</v>
      </c>
      <c r="C1010">
        <v>136</v>
      </c>
      <c r="D1010">
        <v>0</v>
      </c>
      <c r="E1010">
        <v>0</v>
      </c>
      <c r="F1010">
        <v>136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135</v>
      </c>
      <c r="B1011">
        <v>7172040003001400</v>
      </c>
      <c r="C1011">
        <v>91</v>
      </c>
      <c r="D1011">
        <v>0</v>
      </c>
      <c r="E1011">
        <v>0</v>
      </c>
      <c r="F1011">
        <v>91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135</v>
      </c>
      <c r="B1012">
        <v>7172040003001302</v>
      </c>
      <c r="C1012">
        <v>52</v>
      </c>
      <c r="D1012">
        <v>0</v>
      </c>
      <c r="E1012">
        <v>0</v>
      </c>
      <c r="F1012">
        <v>52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135</v>
      </c>
      <c r="B1013">
        <v>7172040003000800</v>
      </c>
      <c r="C1013">
        <v>49</v>
      </c>
      <c r="D1013">
        <v>3</v>
      </c>
      <c r="E1013">
        <v>3</v>
      </c>
      <c r="F1013">
        <v>35</v>
      </c>
      <c r="G1013">
        <v>0</v>
      </c>
      <c r="H1013">
        <v>0</v>
      </c>
      <c r="I1013">
        <v>8</v>
      </c>
      <c r="J1013">
        <v>0</v>
      </c>
    </row>
    <row r="1014" spans="1:10" x14ac:dyDescent="0.25">
      <c r="A1014" t="s">
        <v>135</v>
      </c>
      <c r="B1014">
        <v>7172040003001502</v>
      </c>
      <c r="C1014">
        <v>28</v>
      </c>
      <c r="D1014">
        <v>0</v>
      </c>
      <c r="E1014">
        <v>0</v>
      </c>
      <c r="F1014">
        <v>28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136</v>
      </c>
      <c r="B1015">
        <v>7172040004000600</v>
      </c>
      <c r="C1015">
        <v>132</v>
      </c>
      <c r="D1015">
        <v>0</v>
      </c>
      <c r="E1015">
        <v>0</v>
      </c>
      <c r="F1015">
        <v>132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136</v>
      </c>
      <c r="B1016">
        <v>7172040004000500</v>
      </c>
      <c r="C1016">
        <v>90</v>
      </c>
      <c r="D1016">
        <v>0</v>
      </c>
      <c r="E1016">
        <v>1</v>
      </c>
      <c r="F1016">
        <v>89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136</v>
      </c>
      <c r="B1017">
        <v>7172040004000200</v>
      </c>
      <c r="C1017">
        <v>64</v>
      </c>
      <c r="D1017">
        <v>0</v>
      </c>
      <c r="E1017">
        <v>0</v>
      </c>
      <c r="F1017">
        <v>64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136</v>
      </c>
      <c r="B1018">
        <v>7172040004000100</v>
      </c>
      <c r="C1018">
        <v>54</v>
      </c>
      <c r="D1018">
        <v>0</v>
      </c>
      <c r="E1018">
        <v>0</v>
      </c>
      <c r="F1018">
        <v>54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136</v>
      </c>
      <c r="B1019">
        <v>7172040008000200</v>
      </c>
      <c r="C1019">
        <v>48</v>
      </c>
      <c r="D1019">
        <v>0</v>
      </c>
      <c r="E1019">
        <v>1</v>
      </c>
      <c r="F1019">
        <v>47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136</v>
      </c>
      <c r="B1020">
        <v>7172040004000300</v>
      </c>
      <c r="C1020">
        <v>47</v>
      </c>
      <c r="D1020">
        <v>0</v>
      </c>
      <c r="E1020">
        <v>0</v>
      </c>
      <c r="F1020">
        <v>47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136</v>
      </c>
      <c r="B1021">
        <v>7172040004000400</v>
      </c>
      <c r="C1021">
        <v>42</v>
      </c>
      <c r="D1021">
        <v>0</v>
      </c>
      <c r="E1021">
        <v>4</v>
      </c>
      <c r="F1021">
        <v>33</v>
      </c>
      <c r="G1021">
        <v>3</v>
      </c>
      <c r="H1021">
        <v>0</v>
      </c>
      <c r="I1021">
        <v>2</v>
      </c>
      <c r="J1021">
        <v>0</v>
      </c>
    </row>
    <row r="1022" spans="1:10" x14ac:dyDescent="0.25">
      <c r="A1022" t="s">
        <v>136</v>
      </c>
      <c r="B1022">
        <v>7172040008000300</v>
      </c>
      <c r="C1022">
        <v>40</v>
      </c>
      <c r="D1022">
        <v>0</v>
      </c>
      <c r="E1022">
        <v>8</v>
      </c>
      <c r="F1022">
        <v>32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136</v>
      </c>
      <c r="B1023">
        <v>7172040008000100</v>
      </c>
      <c r="C1023">
        <v>38</v>
      </c>
      <c r="D1023">
        <v>0</v>
      </c>
      <c r="E1023">
        <v>17</v>
      </c>
      <c r="F1023">
        <v>3</v>
      </c>
      <c r="G1023">
        <v>1</v>
      </c>
      <c r="H1023">
        <v>0</v>
      </c>
      <c r="I1023">
        <v>17</v>
      </c>
      <c r="J1023">
        <v>0</v>
      </c>
    </row>
    <row r="1024" spans="1:10" x14ac:dyDescent="0.25">
      <c r="A1024" t="s">
        <v>136</v>
      </c>
      <c r="B1024">
        <v>7172040008000400</v>
      </c>
      <c r="C1024">
        <v>32</v>
      </c>
      <c r="D1024">
        <v>0</v>
      </c>
      <c r="E1024">
        <v>0</v>
      </c>
      <c r="F1024">
        <v>32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139</v>
      </c>
      <c r="B1025">
        <v>7172040006000500</v>
      </c>
      <c r="C1025">
        <v>83</v>
      </c>
      <c r="D1025">
        <v>0</v>
      </c>
      <c r="E1025">
        <v>0</v>
      </c>
      <c r="F1025">
        <v>83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139</v>
      </c>
      <c r="B1026">
        <v>7172040006000100</v>
      </c>
      <c r="C1026">
        <v>82</v>
      </c>
      <c r="D1026">
        <v>0</v>
      </c>
      <c r="E1026">
        <v>4</v>
      </c>
      <c r="F1026">
        <v>53</v>
      </c>
      <c r="G1026">
        <v>1</v>
      </c>
      <c r="H1026">
        <v>0</v>
      </c>
      <c r="I1026">
        <v>24</v>
      </c>
      <c r="J1026">
        <v>0</v>
      </c>
    </row>
    <row r="1027" spans="1:10" x14ac:dyDescent="0.25">
      <c r="A1027" t="s">
        <v>139</v>
      </c>
      <c r="B1027">
        <v>7172040006000600</v>
      </c>
      <c r="C1027">
        <v>62</v>
      </c>
      <c r="D1027">
        <v>0</v>
      </c>
      <c r="E1027">
        <v>19</v>
      </c>
      <c r="F1027">
        <v>43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139</v>
      </c>
      <c r="B1028">
        <v>7172040006000200</v>
      </c>
      <c r="C1028">
        <v>61</v>
      </c>
      <c r="D1028">
        <v>0</v>
      </c>
      <c r="E1028">
        <v>0</v>
      </c>
      <c r="F1028">
        <v>61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139</v>
      </c>
      <c r="B1029">
        <v>7172040006000300</v>
      </c>
      <c r="C1029">
        <v>57</v>
      </c>
      <c r="D1029">
        <v>0</v>
      </c>
      <c r="E1029">
        <v>0</v>
      </c>
      <c r="F1029">
        <v>57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139</v>
      </c>
      <c r="B1030">
        <v>7172040006000400</v>
      </c>
      <c r="C1030">
        <v>56</v>
      </c>
      <c r="D1030">
        <v>0</v>
      </c>
      <c r="E1030">
        <v>0</v>
      </c>
      <c r="F1030">
        <v>56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139</v>
      </c>
      <c r="B1031">
        <v>7172040010000100</v>
      </c>
      <c r="C1031">
        <v>41</v>
      </c>
      <c r="D1031">
        <v>0</v>
      </c>
      <c r="E1031">
        <v>0</v>
      </c>
      <c r="F1031">
        <v>41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139</v>
      </c>
      <c r="B1032">
        <v>7172040010000200</v>
      </c>
      <c r="C1032">
        <v>34</v>
      </c>
      <c r="D1032">
        <v>0</v>
      </c>
      <c r="E1032">
        <v>0</v>
      </c>
      <c r="F1032">
        <v>34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139</v>
      </c>
      <c r="B1033">
        <v>7172040010000300</v>
      </c>
      <c r="C1033">
        <v>29</v>
      </c>
      <c r="D1033">
        <v>0</v>
      </c>
      <c r="E1033">
        <v>0</v>
      </c>
      <c r="F1033">
        <v>29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7172040012000300</v>
      </c>
      <c r="C1034">
        <v>76</v>
      </c>
      <c r="D1034">
        <v>0</v>
      </c>
      <c r="E1034">
        <v>13</v>
      </c>
      <c r="F1034">
        <v>59</v>
      </c>
      <c r="G1034">
        <v>0</v>
      </c>
      <c r="H1034">
        <v>0</v>
      </c>
      <c r="I1034">
        <v>4</v>
      </c>
      <c r="J1034">
        <v>0</v>
      </c>
    </row>
    <row r="1035" spans="1:10" x14ac:dyDescent="0.25">
      <c r="A1035" t="s">
        <v>140</v>
      </c>
      <c r="B1035">
        <v>7172040012000200</v>
      </c>
      <c r="C1035">
        <v>75</v>
      </c>
      <c r="D1035">
        <v>0</v>
      </c>
      <c r="E1035">
        <v>15</v>
      </c>
      <c r="F1035">
        <v>7</v>
      </c>
      <c r="G1035">
        <v>2</v>
      </c>
      <c r="H1035">
        <v>0</v>
      </c>
      <c r="I1035">
        <v>51</v>
      </c>
      <c r="J1035">
        <v>0</v>
      </c>
    </row>
    <row r="1036" spans="1:10" x14ac:dyDescent="0.25">
      <c r="A1036" t="s">
        <v>140</v>
      </c>
      <c r="B1036">
        <v>7172040012000100</v>
      </c>
      <c r="C1036">
        <v>65</v>
      </c>
      <c r="D1036">
        <v>0</v>
      </c>
      <c r="E1036">
        <v>0</v>
      </c>
      <c r="F1036">
        <v>65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140</v>
      </c>
      <c r="B1037">
        <v>7172040012000400</v>
      </c>
      <c r="C1037">
        <v>64</v>
      </c>
      <c r="D1037">
        <v>0</v>
      </c>
      <c r="E1037">
        <v>0</v>
      </c>
      <c r="F1037">
        <v>64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140</v>
      </c>
      <c r="B1038">
        <v>7172040010000500</v>
      </c>
      <c r="C1038">
        <v>58</v>
      </c>
      <c r="D1038">
        <v>0</v>
      </c>
      <c r="E1038">
        <v>0</v>
      </c>
      <c r="F1038">
        <v>58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140</v>
      </c>
      <c r="B1039">
        <v>7172040010000600</v>
      </c>
      <c r="C1039">
        <v>56</v>
      </c>
      <c r="D1039">
        <v>0</v>
      </c>
      <c r="E1039">
        <v>0</v>
      </c>
      <c r="F1039">
        <v>56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140</v>
      </c>
      <c r="B1040">
        <v>7172040010000800</v>
      </c>
      <c r="C1040">
        <v>40</v>
      </c>
      <c r="D1040">
        <v>0</v>
      </c>
      <c r="E1040">
        <v>0</v>
      </c>
      <c r="F1040">
        <v>40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140</v>
      </c>
      <c r="B1041">
        <v>7172040012000500</v>
      </c>
      <c r="C1041">
        <v>38</v>
      </c>
      <c r="D1041">
        <v>0</v>
      </c>
      <c r="E1041">
        <v>0</v>
      </c>
      <c r="F1041">
        <v>38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140</v>
      </c>
      <c r="B1042">
        <v>7172040010000700</v>
      </c>
      <c r="C1042">
        <v>32</v>
      </c>
      <c r="D1042">
        <v>0</v>
      </c>
      <c r="E1042">
        <v>0</v>
      </c>
      <c r="F1042">
        <v>32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140</v>
      </c>
      <c r="B1043">
        <v>7172040010000400</v>
      </c>
      <c r="C1043">
        <v>30</v>
      </c>
      <c r="D1043">
        <v>0</v>
      </c>
      <c r="E1043">
        <v>0</v>
      </c>
      <c r="F1043">
        <v>30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140</v>
      </c>
      <c r="B1044">
        <v>7172040012000600</v>
      </c>
      <c r="C1044">
        <v>28</v>
      </c>
      <c r="D1044">
        <v>0</v>
      </c>
      <c r="E1044">
        <v>0</v>
      </c>
      <c r="F1044">
        <v>28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118</v>
      </c>
      <c r="B1045">
        <v>7172031004001700</v>
      </c>
      <c r="C1045">
        <v>141</v>
      </c>
      <c r="D1045">
        <v>0</v>
      </c>
      <c r="E1045">
        <v>0</v>
      </c>
      <c r="F1045">
        <v>141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118</v>
      </c>
      <c r="B1046">
        <v>7172031004001400</v>
      </c>
      <c r="C1046">
        <v>112</v>
      </c>
      <c r="D1046">
        <v>0</v>
      </c>
      <c r="E1046">
        <v>0</v>
      </c>
      <c r="F1046">
        <v>112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118</v>
      </c>
      <c r="B1047">
        <v>7172031004001800</v>
      </c>
      <c r="C1047">
        <v>91</v>
      </c>
      <c r="D1047">
        <v>0</v>
      </c>
      <c r="E1047">
        <v>0</v>
      </c>
      <c r="F1047">
        <v>91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118</v>
      </c>
      <c r="B1048">
        <v>7172031004001300</v>
      </c>
      <c r="C1048">
        <v>59</v>
      </c>
      <c r="D1048">
        <v>0</v>
      </c>
      <c r="E1048">
        <v>0</v>
      </c>
      <c r="F1048">
        <v>59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118</v>
      </c>
      <c r="B1049">
        <v>7172031004001200</v>
      </c>
      <c r="C1049">
        <v>55</v>
      </c>
      <c r="D1049">
        <v>7</v>
      </c>
      <c r="E1049">
        <v>7</v>
      </c>
      <c r="F1049">
        <v>30</v>
      </c>
      <c r="G1049">
        <v>1</v>
      </c>
      <c r="H1049">
        <v>0</v>
      </c>
      <c r="I1049">
        <v>10</v>
      </c>
      <c r="J1049">
        <v>0</v>
      </c>
    </row>
    <row r="1050" spans="1:10" x14ac:dyDescent="0.25">
      <c r="A1050" t="s">
        <v>118</v>
      </c>
      <c r="B1050">
        <v>7172031004001600</v>
      </c>
      <c r="C1050">
        <v>47</v>
      </c>
      <c r="D1050">
        <v>0</v>
      </c>
      <c r="E1050">
        <v>0</v>
      </c>
      <c r="F1050">
        <v>47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118</v>
      </c>
      <c r="B1051">
        <v>7172031004001500</v>
      </c>
      <c r="C1051">
        <v>28</v>
      </c>
      <c r="D1051">
        <v>0</v>
      </c>
      <c r="E1051">
        <v>0</v>
      </c>
      <c r="F1051">
        <v>28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118</v>
      </c>
      <c r="B1052">
        <v>7172031004100200</v>
      </c>
      <c r="C1052">
        <v>2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148</v>
      </c>
      <c r="D1053">
        <v>0</v>
      </c>
      <c r="E1053">
        <v>10</v>
      </c>
      <c r="F1053">
        <v>132</v>
      </c>
      <c r="G1053">
        <v>0</v>
      </c>
      <c r="H1053">
        <v>0</v>
      </c>
      <c r="I1053">
        <v>6</v>
      </c>
      <c r="J1053">
        <v>0</v>
      </c>
    </row>
    <row r="1054" spans="1:10" x14ac:dyDescent="0.25">
      <c r="A1054" t="s">
        <v>36</v>
      </c>
      <c r="B1054">
        <v>7172011003002100</v>
      </c>
      <c r="C1054">
        <v>116</v>
      </c>
      <c r="D1054">
        <v>0</v>
      </c>
      <c r="E1054">
        <v>0</v>
      </c>
      <c r="F1054">
        <v>116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36</v>
      </c>
      <c r="B1055">
        <v>7172011003002000</v>
      </c>
      <c r="C1055">
        <v>115</v>
      </c>
      <c r="D1055">
        <v>0</v>
      </c>
      <c r="E1055">
        <v>7</v>
      </c>
      <c r="F1055">
        <v>97</v>
      </c>
      <c r="G1055">
        <v>0</v>
      </c>
      <c r="H1055">
        <v>0</v>
      </c>
      <c r="I1055">
        <v>11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7172011003002200</v>
      </c>
      <c r="C1057">
        <v>55</v>
      </c>
      <c r="D1057">
        <v>0</v>
      </c>
      <c r="E1057">
        <v>0</v>
      </c>
      <c r="F1057">
        <v>55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36</v>
      </c>
      <c r="B1058">
        <v>7172011003002402</v>
      </c>
      <c r="C1058">
        <v>20</v>
      </c>
      <c r="D1058">
        <v>0</v>
      </c>
      <c r="E1058">
        <v>0</v>
      </c>
      <c r="F1058">
        <v>20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M139"/>
  <sheetViews>
    <sheetView workbookViewId="0">
      <selection activeCell="C2" sqref="C2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</cols>
  <sheetData>
    <row r="1" spans="1:13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385</v>
      </c>
    </row>
    <row r="2" spans="1:13" x14ac:dyDescent="0.25">
      <c r="A2" t="s">
        <v>5</v>
      </c>
      <c r="B2" t="s">
        <v>247</v>
      </c>
      <c r="C2" t="s">
        <v>162</v>
      </c>
      <c r="D2" t="s">
        <v>198</v>
      </c>
      <c r="E2">
        <f>SUMIF(DATA!$A:$A,PPL!$A2,DATA!C:C)</f>
        <v>587</v>
      </c>
      <c r="F2">
        <f>SUMIF(DATA!$A:$A,PPL!$A2,DATA!D:D)</f>
        <v>3</v>
      </c>
      <c r="G2">
        <f>SUMIF(DATA!$A:$A,PPL!$A2,DATA!E:E)</f>
        <v>15</v>
      </c>
      <c r="H2">
        <f>SUMIF(DATA!$A:$A,PPL!$A2,DATA!F:F)</f>
        <v>506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63</v>
      </c>
      <c r="L2">
        <f>SUMIF(DATA!$A:$A,PPL!$A2,DATA!J:J)</f>
        <v>0</v>
      </c>
      <c r="M2">
        <f>F2+G2+I2+J2+K2+L2</f>
        <v>81</v>
      </c>
    </row>
    <row r="3" spans="1:13" x14ac:dyDescent="0.25">
      <c r="A3" t="s">
        <v>6</v>
      </c>
      <c r="B3" t="s">
        <v>248</v>
      </c>
      <c r="C3" t="s">
        <v>163</v>
      </c>
      <c r="D3" t="s">
        <v>187</v>
      </c>
      <c r="E3">
        <f>SUMIF(DATA!$A:$A,PPL!$A3,DATA!C:C)</f>
        <v>581</v>
      </c>
      <c r="F3">
        <f>SUMIF(DATA!$A:$A,PPL!$A3,DATA!D:D)</f>
        <v>3</v>
      </c>
      <c r="G3">
        <f>SUMIF(DATA!$A:$A,PPL!$A3,DATA!E:E)</f>
        <v>5</v>
      </c>
      <c r="H3">
        <f>SUMIF(DATA!$A:$A,PPL!$A3,DATA!F:F)</f>
        <v>529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43</v>
      </c>
      <c r="L3">
        <f>SUMIF(DATA!$A:$A,PPL!$A3,DATA!J:J)</f>
        <v>0</v>
      </c>
      <c r="M3">
        <f t="shared" ref="M3:M66" si="0">F3+G3+I3+J3+K3+L3</f>
        <v>52</v>
      </c>
    </row>
    <row r="4" spans="1:13" x14ac:dyDescent="0.25">
      <c r="A4" t="s">
        <v>7</v>
      </c>
      <c r="B4" t="s">
        <v>249</v>
      </c>
      <c r="C4" t="s">
        <v>162</v>
      </c>
      <c r="D4" t="s">
        <v>198</v>
      </c>
      <c r="E4">
        <f>SUMIF(DATA!$A:$A,PPL!$A4,DATA!C:C)</f>
        <v>605</v>
      </c>
      <c r="F4">
        <f>SUMIF(DATA!$A:$A,PPL!$A4,DATA!D:D)</f>
        <v>8</v>
      </c>
      <c r="G4">
        <f>SUMIF(DATA!$A:$A,PPL!$A4,DATA!E:E)</f>
        <v>13</v>
      </c>
      <c r="H4">
        <f>SUMIF(DATA!$A:$A,PPL!$A4,DATA!F:F)</f>
        <v>497</v>
      </c>
      <c r="I4">
        <f>SUMIF(DATA!$A:$A,PPL!$A4,DATA!G:G)</f>
        <v>1</v>
      </c>
      <c r="J4">
        <f>SUMIF(DATA!$A:$A,PPL!$A4,DATA!H:H)</f>
        <v>0</v>
      </c>
      <c r="K4">
        <f>SUMIF(DATA!$A:$A,PPL!$A4,DATA!I:I)</f>
        <v>86</v>
      </c>
      <c r="L4">
        <f>SUMIF(DATA!$A:$A,PPL!$A4,DATA!J:J)</f>
        <v>0</v>
      </c>
      <c r="M4">
        <f t="shared" si="0"/>
        <v>108</v>
      </c>
    </row>
    <row r="5" spans="1:13" x14ac:dyDescent="0.25">
      <c r="A5" t="s">
        <v>8</v>
      </c>
      <c r="B5" t="s">
        <v>250</v>
      </c>
      <c r="C5" t="s">
        <v>162</v>
      </c>
      <c r="D5" t="s">
        <v>198</v>
      </c>
      <c r="E5">
        <f>SUMIF(DATA!$A:$A,PPL!$A5,DATA!C:C)</f>
        <v>603</v>
      </c>
      <c r="F5">
        <f>SUMIF(DATA!$A:$A,PPL!$A5,DATA!D:D)</f>
        <v>52</v>
      </c>
      <c r="G5">
        <f>SUMIF(DATA!$A:$A,PPL!$A5,DATA!E:E)</f>
        <v>2</v>
      </c>
      <c r="H5">
        <f>SUMIF(DATA!$A:$A,PPL!$A5,DATA!F:F)</f>
        <v>498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51</v>
      </c>
      <c r="L5">
        <f>SUMIF(DATA!$A:$A,PPL!$A5,DATA!J:J)</f>
        <v>0</v>
      </c>
      <c r="M5">
        <f t="shared" si="0"/>
        <v>105</v>
      </c>
    </row>
    <row r="6" spans="1:13" x14ac:dyDescent="0.25">
      <c r="A6" t="s">
        <v>9</v>
      </c>
      <c r="B6" t="s">
        <v>251</v>
      </c>
      <c r="C6" t="s">
        <v>162</v>
      </c>
      <c r="D6" t="s">
        <v>198</v>
      </c>
      <c r="E6">
        <f>SUMIF(DATA!$A:$A,PPL!$A6,DATA!C:C)</f>
        <v>621</v>
      </c>
      <c r="F6">
        <f>SUMIF(DATA!$A:$A,PPL!$A6,DATA!D:D)</f>
        <v>5</v>
      </c>
      <c r="G6">
        <f>SUMIF(DATA!$A:$A,PPL!$A6,DATA!E:E)</f>
        <v>11</v>
      </c>
      <c r="H6">
        <f>SUMIF(DATA!$A:$A,PPL!$A6,DATA!F:F)</f>
        <v>551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54</v>
      </c>
      <c r="L6">
        <f>SUMIF(DATA!$A:$A,PPL!$A6,DATA!J:J)</f>
        <v>0</v>
      </c>
      <c r="M6">
        <f t="shared" si="0"/>
        <v>70</v>
      </c>
    </row>
    <row r="7" spans="1:13" x14ac:dyDescent="0.25">
      <c r="A7" t="s">
        <v>10</v>
      </c>
      <c r="B7" t="s">
        <v>252</v>
      </c>
      <c r="C7" t="s">
        <v>162</v>
      </c>
      <c r="D7" t="s">
        <v>198</v>
      </c>
      <c r="E7">
        <f>SUMIF(DATA!$A:$A,PPL!$A7,DATA!C:C)</f>
        <v>566</v>
      </c>
      <c r="F7">
        <f>SUMIF(DATA!$A:$A,PPL!$A7,DATA!D:D)</f>
        <v>0</v>
      </c>
      <c r="G7">
        <f>SUMIF(DATA!$A:$A,PPL!$A7,DATA!E:E)</f>
        <v>11</v>
      </c>
      <c r="H7">
        <f>SUMIF(DATA!$A:$A,PPL!$A7,DATA!F:F)</f>
        <v>510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45</v>
      </c>
      <c r="L7">
        <f>SUMIF(DATA!$A:$A,PPL!$A7,DATA!J:J)</f>
        <v>0</v>
      </c>
      <c r="M7">
        <f t="shared" si="0"/>
        <v>56</v>
      </c>
    </row>
    <row r="8" spans="1:13" x14ac:dyDescent="0.25">
      <c r="A8" t="s">
        <v>11</v>
      </c>
      <c r="B8" t="s">
        <v>253</v>
      </c>
      <c r="C8" t="s">
        <v>163</v>
      </c>
      <c r="D8" t="s">
        <v>187</v>
      </c>
      <c r="E8">
        <f>SUMIF(DATA!$A:$A,PPL!$A8,DATA!C:C)</f>
        <v>591</v>
      </c>
      <c r="F8">
        <f>SUMIF(DATA!$A:$A,PPL!$A8,DATA!D:D)</f>
        <v>1</v>
      </c>
      <c r="G8">
        <f>SUMIF(DATA!$A:$A,PPL!$A8,DATA!E:E)</f>
        <v>13</v>
      </c>
      <c r="H8">
        <f>SUMIF(DATA!$A:$A,PPL!$A8,DATA!F:F)</f>
        <v>537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40</v>
      </c>
      <c r="L8">
        <f>SUMIF(DATA!$A:$A,PPL!$A8,DATA!J:J)</f>
        <v>0</v>
      </c>
      <c r="M8">
        <f t="shared" si="0"/>
        <v>54</v>
      </c>
    </row>
    <row r="9" spans="1:13" x14ac:dyDescent="0.25">
      <c r="A9" t="s">
        <v>12</v>
      </c>
      <c r="B9" t="s">
        <v>254</v>
      </c>
      <c r="C9" t="s">
        <v>163</v>
      </c>
      <c r="D9" t="s">
        <v>187</v>
      </c>
      <c r="E9">
        <f>SUMIF(DATA!$A:$A,PPL!$A9,DATA!C:C)</f>
        <v>558</v>
      </c>
      <c r="F9">
        <f>SUMIF(DATA!$A:$A,PPL!$A9,DATA!D:D)</f>
        <v>0</v>
      </c>
      <c r="G9">
        <f>SUMIF(DATA!$A:$A,PPL!$A9,DATA!E:E)</f>
        <v>3</v>
      </c>
      <c r="H9">
        <f>SUMIF(DATA!$A:$A,PPL!$A9,DATA!F:F)</f>
        <v>503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52</v>
      </c>
      <c r="L9">
        <f>SUMIF(DATA!$A:$A,PPL!$A9,DATA!J:J)</f>
        <v>0</v>
      </c>
      <c r="M9">
        <f t="shared" si="0"/>
        <v>55</v>
      </c>
    </row>
    <row r="10" spans="1:13" x14ac:dyDescent="0.25">
      <c r="A10" t="s">
        <v>13</v>
      </c>
      <c r="B10" t="s">
        <v>255</v>
      </c>
      <c r="C10" t="s">
        <v>162</v>
      </c>
      <c r="D10" t="s">
        <v>198</v>
      </c>
      <c r="E10">
        <f>SUMIF(DATA!$A:$A,PPL!$A10,DATA!C:C)</f>
        <v>598</v>
      </c>
      <c r="F10">
        <f>SUMIF(DATA!$A:$A,PPL!$A10,DATA!D:D)</f>
        <v>7</v>
      </c>
      <c r="G10">
        <f>SUMIF(DATA!$A:$A,PPL!$A10,DATA!E:E)</f>
        <v>4</v>
      </c>
      <c r="H10">
        <f>SUMIF(DATA!$A:$A,PPL!$A10,DATA!F:F)</f>
        <v>522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65</v>
      </c>
      <c r="L10">
        <f>SUMIF(DATA!$A:$A,PPL!$A10,DATA!J:J)</f>
        <v>0</v>
      </c>
      <c r="M10">
        <f t="shared" si="0"/>
        <v>76</v>
      </c>
    </row>
    <row r="11" spans="1:13" x14ac:dyDescent="0.25">
      <c r="A11" t="s">
        <v>14</v>
      </c>
      <c r="B11" t="s">
        <v>256</v>
      </c>
      <c r="C11" t="s">
        <v>163</v>
      </c>
      <c r="D11" t="s">
        <v>187</v>
      </c>
      <c r="E11">
        <f>SUMIF(DATA!$A:$A,PPL!$A11,DATA!C:C)</f>
        <v>603</v>
      </c>
      <c r="F11">
        <f>SUMIF(DATA!$A:$A,PPL!$A11,DATA!D:D)</f>
        <v>0</v>
      </c>
      <c r="G11">
        <f>SUMIF(DATA!$A:$A,PPL!$A11,DATA!E:E)</f>
        <v>4</v>
      </c>
      <c r="H11">
        <f>SUMIF(DATA!$A:$A,PPL!$A11,DATA!F:F)</f>
        <v>534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65</v>
      </c>
      <c r="L11">
        <f>SUMIF(DATA!$A:$A,PPL!$A11,DATA!J:J)</f>
        <v>0</v>
      </c>
      <c r="M11">
        <f t="shared" si="0"/>
        <v>69</v>
      </c>
    </row>
    <row r="12" spans="1:13" x14ac:dyDescent="0.25">
      <c r="A12" t="s">
        <v>15</v>
      </c>
      <c r="B12" t="s">
        <v>257</v>
      </c>
      <c r="C12" t="s">
        <v>163</v>
      </c>
      <c r="D12" t="s">
        <v>187</v>
      </c>
      <c r="E12">
        <f>SUMIF(DATA!$A:$A,PPL!$A12,DATA!C:C)</f>
        <v>591</v>
      </c>
      <c r="F12">
        <f>SUMIF(DATA!$A:$A,PPL!$A12,DATA!D:D)</f>
        <v>12</v>
      </c>
      <c r="G12">
        <f>SUMIF(DATA!$A:$A,PPL!$A12,DATA!E:E)</f>
        <v>45</v>
      </c>
      <c r="H12">
        <f>SUMIF(DATA!$A:$A,PPL!$A12,DATA!F:F)</f>
        <v>476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58</v>
      </c>
      <c r="L12">
        <f>SUMIF(DATA!$A:$A,PPL!$A12,DATA!J:J)</f>
        <v>0</v>
      </c>
      <c r="M12">
        <f t="shared" si="0"/>
        <v>115</v>
      </c>
    </row>
    <row r="13" spans="1:13" x14ac:dyDescent="0.25">
      <c r="A13" t="s">
        <v>16</v>
      </c>
      <c r="B13" t="s">
        <v>258</v>
      </c>
      <c r="C13" t="s">
        <v>163</v>
      </c>
      <c r="D13" t="s">
        <v>187</v>
      </c>
      <c r="E13">
        <f>SUMIF(DATA!$A:$A,PPL!$A13,DATA!C:C)</f>
        <v>559</v>
      </c>
      <c r="F13">
        <f>SUMIF(DATA!$A:$A,PPL!$A13,DATA!D:D)</f>
        <v>0</v>
      </c>
      <c r="G13">
        <f>SUMIF(DATA!$A:$A,PPL!$A13,DATA!E:E)</f>
        <v>1</v>
      </c>
      <c r="H13">
        <f>SUMIF(DATA!$A:$A,PPL!$A13,DATA!F:F)</f>
        <v>513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45</v>
      </c>
      <c r="L13">
        <f>SUMIF(DATA!$A:$A,PPL!$A13,DATA!J:J)</f>
        <v>0</v>
      </c>
      <c r="M13">
        <f t="shared" si="0"/>
        <v>46</v>
      </c>
    </row>
    <row r="14" spans="1:13" x14ac:dyDescent="0.25">
      <c r="A14" t="s">
        <v>17</v>
      </c>
      <c r="B14" t="s">
        <v>259</v>
      </c>
      <c r="C14" t="s">
        <v>164</v>
      </c>
      <c r="D14" t="s">
        <v>190</v>
      </c>
      <c r="E14">
        <f>SUMIF(DATA!$A:$A,PPL!$A14,DATA!C:C)</f>
        <v>605</v>
      </c>
      <c r="F14">
        <f>SUMIF(DATA!$A:$A,PPL!$A14,DATA!D:D)</f>
        <v>1</v>
      </c>
      <c r="G14">
        <f>SUMIF(DATA!$A:$A,PPL!$A14,DATA!E:E)</f>
        <v>10</v>
      </c>
      <c r="H14">
        <f>SUMIF(DATA!$A:$A,PPL!$A14,DATA!F:F)</f>
        <v>535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59</v>
      </c>
      <c r="L14">
        <f>SUMIF(DATA!$A:$A,PPL!$A14,DATA!J:J)</f>
        <v>0</v>
      </c>
      <c r="M14">
        <f t="shared" si="0"/>
        <v>70</v>
      </c>
    </row>
    <row r="15" spans="1:13" x14ac:dyDescent="0.25">
      <c r="A15" t="s">
        <v>18</v>
      </c>
      <c r="B15" t="s">
        <v>260</v>
      </c>
      <c r="C15" t="s">
        <v>164</v>
      </c>
      <c r="D15" t="s">
        <v>190</v>
      </c>
      <c r="E15">
        <f>SUMIF(DATA!$A:$A,PPL!$A15,DATA!C:C)</f>
        <v>592</v>
      </c>
      <c r="F15">
        <f>SUMIF(DATA!$A:$A,PPL!$A15,DATA!D:D)</f>
        <v>4</v>
      </c>
      <c r="G15">
        <f>SUMIF(DATA!$A:$A,PPL!$A15,DATA!E:E)</f>
        <v>4</v>
      </c>
      <c r="H15">
        <f>SUMIF(DATA!$A:$A,PPL!$A15,DATA!F:F)</f>
        <v>484</v>
      </c>
      <c r="I15">
        <f>SUMIF(DATA!$A:$A,PPL!$A15,DATA!G:G)</f>
        <v>21</v>
      </c>
      <c r="J15">
        <f>SUMIF(DATA!$A:$A,PPL!$A15,DATA!H:H)</f>
        <v>0</v>
      </c>
      <c r="K15">
        <f>SUMIF(DATA!$A:$A,PPL!$A15,DATA!I:I)</f>
        <v>79</v>
      </c>
      <c r="L15">
        <f>SUMIF(DATA!$A:$A,PPL!$A15,DATA!J:J)</f>
        <v>0</v>
      </c>
      <c r="M15">
        <f t="shared" si="0"/>
        <v>108</v>
      </c>
    </row>
    <row r="16" spans="1:13" x14ac:dyDescent="0.25">
      <c r="A16" t="s">
        <v>19</v>
      </c>
      <c r="B16" t="s">
        <v>261</v>
      </c>
      <c r="C16" t="s">
        <v>164</v>
      </c>
      <c r="D16" t="s">
        <v>190</v>
      </c>
      <c r="E16">
        <f>SUMIF(DATA!$A:$A,PPL!$A16,DATA!C:C)</f>
        <v>611</v>
      </c>
      <c r="F16">
        <f>SUMIF(DATA!$A:$A,PPL!$A16,DATA!D:D)</f>
        <v>0</v>
      </c>
      <c r="G16">
        <f>SUMIF(DATA!$A:$A,PPL!$A16,DATA!E:E)</f>
        <v>0</v>
      </c>
      <c r="H16">
        <f>SUMIF(DATA!$A:$A,PPL!$A16,DATA!F:F)</f>
        <v>513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96</v>
      </c>
      <c r="L16">
        <f>SUMIF(DATA!$A:$A,PPL!$A16,DATA!J:J)</f>
        <v>1</v>
      </c>
      <c r="M16">
        <f t="shared" si="0"/>
        <v>98</v>
      </c>
    </row>
    <row r="17" spans="1:13" x14ac:dyDescent="0.25">
      <c r="A17" t="s">
        <v>20</v>
      </c>
      <c r="B17" t="s">
        <v>262</v>
      </c>
      <c r="C17" t="s">
        <v>162</v>
      </c>
      <c r="D17" t="s">
        <v>198</v>
      </c>
      <c r="E17">
        <f>SUMIF(DATA!$A:$A,PPL!$A17,DATA!C:C)</f>
        <v>607</v>
      </c>
      <c r="F17">
        <f>SUMIF(DATA!$A:$A,PPL!$A17,DATA!D:D)</f>
        <v>10</v>
      </c>
      <c r="G17">
        <f>SUMIF(DATA!$A:$A,PPL!$A17,DATA!E:E)</f>
        <v>10</v>
      </c>
      <c r="H17">
        <f>SUMIF(DATA!$A:$A,PPL!$A17,DATA!F:F)</f>
        <v>531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56</v>
      </c>
      <c r="L17">
        <f>SUMIF(DATA!$A:$A,PPL!$A17,DATA!J:J)</f>
        <v>0</v>
      </c>
      <c r="M17">
        <f t="shared" si="0"/>
        <v>76</v>
      </c>
    </row>
    <row r="18" spans="1:13" x14ac:dyDescent="0.25">
      <c r="A18" t="s">
        <v>21</v>
      </c>
      <c r="B18" t="s">
        <v>263</v>
      </c>
      <c r="C18" t="s">
        <v>164</v>
      </c>
      <c r="D18" t="s">
        <v>190</v>
      </c>
      <c r="E18">
        <f>SUMIF(DATA!$A:$A,PPL!$A18,DATA!C:C)</f>
        <v>600</v>
      </c>
      <c r="F18">
        <f>SUMIF(DATA!$A:$A,PPL!$A18,DATA!D:D)</f>
        <v>5</v>
      </c>
      <c r="G18">
        <f>SUMIF(DATA!$A:$A,PPL!$A18,DATA!E:E)</f>
        <v>0</v>
      </c>
      <c r="H18">
        <f>SUMIF(DATA!$A:$A,PPL!$A18,DATA!F:F)</f>
        <v>538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56</v>
      </c>
      <c r="L18">
        <f>SUMIF(DATA!$A:$A,PPL!$A18,DATA!J:J)</f>
        <v>0</v>
      </c>
      <c r="M18">
        <f t="shared" si="0"/>
        <v>62</v>
      </c>
    </row>
    <row r="19" spans="1:13" x14ac:dyDescent="0.25">
      <c r="A19" t="s">
        <v>22</v>
      </c>
      <c r="B19" t="s">
        <v>264</v>
      </c>
      <c r="C19" t="s">
        <v>164</v>
      </c>
      <c r="D19" t="s">
        <v>190</v>
      </c>
      <c r="E19">
        <f>SUMIF(DATA!$A:$A,PPL!$A19,DATA!C:C)</f>
        <v>596</v>
      </c>
      <c r="F19">
        <f>SUMIF(DATA!$A:$A,PPL!$A19,DATA!D:D)</f>
        <v>1</v>
      </c>
      <c r="G19">
        <f>SUMIF(DATA!$A:$A,PPL!$A19,DATA!E:E)</f>
        <v>4</v>
      </c>
      <c r="H19">
        <f>SUMIF(DATA!$A:$A,PPL!$A19,DATA!F:F)</f>
        <v>517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72</v>
      </c>
      <c r="L19">
        <f>SUMIF(DATA!$A:$A,PPL!$A19,DATA!J:J)</f>
        <v>0</v>
      </c>
      <c r="M19">
        <f t="shared" si="0"/>
        <v>79</v>
      </c>
    </row>
    <row r="20" spans="1:13" x14ac:dyDescent="0.25">
      <c r="A20" t="s">
        <v>23</v>
      </c>
      <c r="B20" t="s">
        <v>265</v>
      </c>
      <c r="C20" t="s">
        <v>164</v>
      </c>
      <c r="D20" t="s">
        <v>190</v>
      </c>
      <c r="E20">
        <f>SUMIF(DATA!$A:$A,PPL!$A20,DATA!C:C)</f>
        <v>581</v>
      </c>
      <c r="F20">
        <f>SUMIF(DATA!$A:$A,PPL!$A20,DATA!D:D)</f>
        <v>0</v>
      </c>
      <c r="G20">
        <f>SUMIF(DATA!$A:$A,PPL!$A20,DATA!E:E)</f>
        <v>31</v>
      </c>
      <c r="H20">
        <f>SUMIF(DATA!$A:$A,PPL!$A20,DATA!F:F)</f>
        <v>505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45</v>
      </c>
      <c r="L20">
        <f>SUMIF(DATA!$A:$A,PPL!$A20,DATA!J:J)</f>
        <v>0</v>
      </c>
      <c r="M20">
        <f t="shared" si="0"/>
        <v>76</v>
      </c>
    </row>
    <row r="21" spans="1:13" x14ac:dyDescent="0.25">
      <c r="A21" t="s">
        <v>24</v>
      </c>
      <c r="B21" t="s">
        <v>266</v>
      </c>
      <c r="C21" t="s">
        <v>163</v>
      </c>
      <c r="D21" t="s">
        <v>187</v>
      </c>
      <c r="E21">
        <f>SUMIF(DATA!$A:$A,PPL!$A21,DATA!C:C)</f>
        <v>603</v>
      </c>
      <c r="F21">
        <f>SUMIF(DATA!$A:$A,PPL!$A21,DATA!D:D)</f>
        <v>2</v>
      </c>
      <c r="G21">
        <f>SUMIF(DATA!$A:$A,PPL!$A21,DATA!E:E)</f>
        <v>32</v>
      </c>
      <c r="H21">
        <f>SUMIF(DATA!$A:$A,PPL!$A21,DATA!F:F)</f>
        <v>542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27</v>
      </c>
      <c r="L21">
        <f>SUMIF(DATA!$A:$A,PPL!$A21,DATA!J:J)</f>
        <v>0</v>
      </c>
      <c r="M21">
        <f t="shared" si="0"/>
        <v>61</v>
      </c>
    </row>
    <row r="22" spans="1:13" x14ac:dyDescent="0.25">
      <c r="A22" t="s">
        <v>25</v>
      </c>
      <c r="B22" t="s">
        <v>267</v>
      </c>
      <c r="C22" t="s">
        <v>164</v>
      </c>
      <c r="D22" t="s">
        <v>190</v>
      </c>
      <c r="E22">
        <f>SUMIF(DATA!$A:$A,PPL!$A22,DATA!C:C)</f>
        <v>584</v>
      </c>
      <c r="F22">
        <f>SUMIF(DATA!$A:$A,PPL!$A22,DATA!D:D)</f>
        <v>6</v>
      </c>
      <c r="G22">
        <f>SUMIF(DATA!$A:$A,PPL!$A22,DATA!E:E)</f>
        <v>8</v>
      </c>
      <c r="H22">
        <f>SUMIF(DATA!$A:$A,PPL!$A22,DATA!F:F)</f>
        <v>480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90</v>
      </c>
      <c r="L22">
        <f>SUMIF(DATA!$A:$A,PPL!$A22,DATA!J:J)</f>
        <v>0</v>
      </c>
      <c r="M22">
        <f t="shared" si="0"/>
        <v>104</v>
      </c>
    </row>
    <row r="23" spans="1:13" x14ac:dyDescent="0.25">
      <c r="A23" t="s">
        <v>26</v>
      </c>
      <c r="B23" t="s">
        <v>268</v>
      </c>
      <c r="C23" t="s">
        <v>165</v>
      </c>
      <c r="D23" t="s">
        <v>181</v>
      </c>
      <c r="E23">
        <f>SUMIF(DATA!$A:$A,PPL!$A23,DATA!C:C)</f>
        <v>619</v>
      </c>
      <c r="F23">
        <f>SUMIF(DATA!$A:$A,PPL!$A23,DATA!D:D)</f>
        <v>40</v>
      </c>
      <c r="G23">
        <f>SUMIF(DATA!$A:$A,PPL!$A23,DATA!E:E)</f>
        <v>38</v>
      </c>
      <c r="H23">
        <f>SUMIF(DATA!$A:$A,PPL!$A23,DATA!F:F)</f>
        <v>530</v>
      </c>
      <c r="I23">
        <f>SUMIF(DATA!$A:$A,PPL!$A23,DATA!G:G)</f>
        <v>11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89</v>
      </c>
    </row>
    <row r="24" spans="1:13" x14ac:dyDescent="0.25">
      <c r="A24" t="s">
        <v>27</v>
      </c>
      <c r="B24" t="s">
        <v>269</v>
      </c>
      <c r="C24" t="s">
        <v>166</v>
      </c>
      <c r="D24" t="s">
        <v>189</v>
      </c>
      <c r="E24">
        <f>SUMIF(DATA!$A:$A,PPL!$A24,DATA!C:C)</f>
        <v>608</v>
      </c>
      <c r="F24">
        <f>SUMIF(DATA!$A:$A,PPL!$A24,DATA!D:D)</f>
        <v>3</v>
      </c>
      <c r="G24">
        <f>SUMIF(DATA!$A:$A,PPL!$A24,DATA!E:E)</f>
        <v>0</v>
      </c>
      <c r="H24">
        <f>SUMIF(DATA!$A:$A,PPL!$A24,DATA!F:F)</f>
        <v>540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64</v>
      </c>
      <c r="L24">
        <f>SUMIF(DATA!$A:$A,PPL!$A24,DATA!J:J)</f>
        <v>0</v>
      </c>
      <c r="M24">
        <f t="shared" si="0"/>
        <v>68</v>
      </c>
    </row>
    <row r="25" spans="1:13" x14ac:dyDescent="0.25">
      <c r="A25" t="s">
        <v>28</v>
      </c>
      <c r="B25" t="s">
        <v>270</v>
      </c>
      <c r="C25" t="s">
        <v>166</v>
      </c>
      <c r="D25" t="s">
        <v>189</v>
      </c>
      <c r="E25">
        <f>SUMIF(DATA!$A:$A,PPL!$A25,DATA!C:C)</f>
        <v>600</v>
      </c>
      <c r="F25">
        <f>SUMIF(DATA!$A:$A,PPL!$A25,DATA!D:D)</f>
        <v>0</v>
      </c>
      <c r="G25">
        <f>SUMIF(DATA!$A:$A,PPL!$A25,DATA!E:E)</f>
        <v>21</v>
      </c>
      <c r="H25">
        <f>SUMIF(DATA!$A:$A,PPL!$A25,DATA!F:F)</f>
        <v>537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24</v>
      </c>
      <c r="L25">
        <f>SUMIF(DATA!$A:$A,PPL!$A25,DATA!J:J)</f>
        <v>0</v>
      </c>
      <c r="M25">
        <f t="shared" si="0"/>
        <v>63</v>
      </c>
    </row>
    <row r="26" spans="1:13" x14ac:dyDescent="0.25">
      <c r="A26" t="s">
        <v>29</v>
      </c>
      <c r="B26" t="s">
        <v>271</v>
      </c>
      <c r="C26" t="s">
        <v>166</v>
      </c>
      <c r="D26" t="s">
        <v>189</v>
      </c>
      <c r="E26">
        <f>SUMIF(DATA!$A:$A,PPL!$A26,DATA!C:C)</f>
        <v>629</v>
      </c>
      <c r="F26">
        <f>SUMIF(DATA!$A:$A,PPL!$A26,DATA!D:D)</f>
        <v>6</v>
      </c>
      <c r="G26">
        <f>SUMIF(DATA!$A:$A,PPL!$A26,DATA!E:E)</f>
        <v>11</v>
      </c>
      <c r="H26">
        <f>SUMIF(DATA!$A:$A,PPL!$A26,DATA!F:F)</f>
        <v>557</v>
      </c>
      <c r="I26">
        <f>SUMIF(DATA!$A:$A,PPL!$A26,DATA!G:G)</f>
        <v>0</v>
      </c>
      <c r="J26">
        <f>SUMIF(DATA!$A:$A,PPL!$A26,DATA!H:H)</f>
        <v>0</v>
      </c>
      <c r="K26">
        <f>SUMIF(DATA!$A:$A,PPL!$A26,DATA!I:I)</f>
        <v>55</v>
      </c>
      <c r="L26">
        <f>SUMIF(DATA!$A:$A,PPL!$A26,DATA!J:J)</f>
        <v>0</v>
      </c>
      <c r="M26">
        <f t="shared" si="0"/>
        <v>72</v>
      </c>
    </row>
    <row r="27" spans="1:13" x14ac:dyDescent="0.25">
      <c r="A27" t="s">
        <v>30</v>
      </c>
      <c r="B27" t="s">
        <v>272</v>
      </c>
      <c r="C27" t="s">
        <v>167</v>
      </c>
      <c r="D27" t="s">
        <v>182</v>
      </c>
      <c r="E27">
        <f>SUMIF(DATA!$A:$A,PPL!$A27,DATA!C:C)</f>
        <v>566</v>
      </c>
      <c r="F27">
        <f>SUMIF(DATA!$A:$A,PPL!$A27,DATA!D:D)</f>
        <v>0</v>
      </c>
      <c r="G27">
        <f>SUMIF(DATA!$A:$A,PPL!$A27,DATA!E:E)</f>
        <v>11</v>
      </c>
      <c r="H27">
        <f>SUMIF(DATA!$A:$A,PPL!$A27,DATA!F:F)</f>
        <v>508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47</v>
      </c>
      <c r="L27">
        <f>SUMIF(DATA!$A:$A,PPL!$A27,DATA!J:J)</f>
        <v>0</v>
      </c>
      <c r="M27">
        <f t="shared" si="0"/>
        <v>58</v>
      </c>
    </row>
    <row r="28" spans="1:13" x14ac:dyDescent="0.25">
      <c r="A28" t="s">
        <v>31</v>
      </c>
      <c r="B28" t="s">
        <v>273</v>
      </c>
      <c r="C28" t="s">
        <v>167</v>
      </c>
      <c r="D28" t="s">
        <v>182</v>
      </c>
      <c r="E28">
        <f>SUMIF(DATA!$A:$A,PPL!$A28,DATA!C:C)</f>
        <v>615</v>
      </c>
      <c r="F28">
        <f>SUMIF(DATA!$A:$A,PPL!$A28,DATA!D:D)</f>
        <v>0</v>
      </c>
      <c r="G28">
        <f>SUMIF(DATA!$A:$A,PPL!$A28,DATA!E:E)</f>
        <v>6</v>
      </c>
      <c r="H28">
        <f>SUMIF(DATA!$A:$A,PPL!$A28,DATA!F:F)</f>
        <v>535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74</v>
      </c>
      <c r="L28">
        <f>SUMIF(DATA!$A:$A,PPL!$A28,DATA!J:J)</f>
        <v>0</v>
      </c>
      <c r="M28">
        <f t="shared" si="0"/>
        <v>80</v>
      </c>
    </row>
    <row r="29" spans="1:13" x14ac:dyDescent="0.25">
      <c r="A29" t="s">
        <v>32</v>
      </c>
      <c r="B29" t="s">
        <v>274</v>
      </c>
      <c r="C29" t="s">
        <v>167</v>
      </c>
      <c r="D29" t="s">
        <v>182</v>
      </c>
      <c r="E29">
        <f>SUMIF(DATA!$A:$A,PPL!$A29,DATA!C:C)</f>
        <v>575</v>
      </c>
      <c r="F29">
        <f>SUMIF(DATA!$A:$A,PPL!$A29,DATA!D:D)</f>
        <v>3</v>
      </c>
      <c r="G29">
        <f>SUMIF(DATA!$A:$A,PPL!$A29,DATA!E:E)</f>
        <v>4</v>
      </c>
      <c r="H29">
        <f>SUMIF(DATA!$A:$A,PPL!$A29,DATA!F:F)</f>
        <v>542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26</v>
      </c>
      <c r="L29">
        <f>SUMIF(DATA!$A:$A,PPL!$A29,DATA!J:J)</f>
        <v>0</v>
      </c>
      <c r="M29">
        <f t="shared" si="0"/>
        <v>33</v>
      </c>
    </row>
    <row r="30" spans="1:13" x14ac:dyDescent="0.25">
      <c r="A30" t="s">
        <v>33</v>
      </c>
      <c r="B30" t="s">
        <v>275</v>
      </c>
      <c r="C30" t="s">
        <v>165</v>
      </c>
      <c r="D30" t="s">
        <v>181</v>
      </c>
      <c r="E30">
        <f>SUMIF(DATA!$A:$A,PPL!$A30,DATA!C:C)</f>
        <v>620</v>
      </c>
      <c r="F30">
        <f>SUMIF(DATA!$A:$A,PPL!$A30,DATA!D:D)</f>
        <v>63</v>
      </c>
      <c r="G30">
        <f>SUMIF(DATA!$A:$A,PPL!$A30,DATA!E:E)</f>
        <v>8</v>
      </c>
      <c r="H30">
        <f>SUMIF(DATA!$A:$A,PPL!$A30,DATA!F:F)</f>
        <v>539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10</v>
      </c>
      <c r="L30">
        <f>SUMIF(DATA!$A:$A,PPL!$A30,DATA!J:J)</f>
        <v>0</v>
      </c>
      <c r="M30">
        <f t="shared" si="0"/>
        <v>81</v>
      </c>
    </row>
    <row r="31" spans="1:13" x14ac:dyDescent="0.25">
      <c r="A31" t="s">
        <v>34</v>
      </c>
      <c r="B31" t="s">
        <v>276</v>
      </c>
      <c r="C31" t="s">
        <v>166</v>
      </c>
      <c r="D31" t="s">
        <v>189</v>
      </c>
      <c r="E31">
        <f>SUMIF(DATA!$A:$A,PPL!$A31,DATA!C:C)</f>
        <v>586</v>
      </c>
      <c r="F31">
        <f>SUMIF(DATA!$A:$A,PPL!$A31,DATA!D:D)</f>
        <v>0</v>
      </c>
      <c r="G31">
        <f>SUMIF(DATA!$A:$A,PPL!$A31,DATA!E:E)</f>
        <v>7</v>
      </c>
      <c r="H31">
        <f>SUMIF(DATA!$A:$A,PPL!$A31,DATA!F:F)</f>
        <v>524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55</v>
      </c>
      <c r="L31">
        <f>SUMIF(DATA!$A:$A,PPL!$A31,DATA!J:J)</f>
        <v>0</v>
      </c>
      <c r="M31">
        <f t="shared" si="0"/>
        <v>62</v>
      </c>
    </row>
    <row r="32" spans="1:13" x14ac:dyDescent="0.25">
      <c r="A32" t="s">
        <v>35</v>
      </c>
      <c r="B32" t="s">
        <v>277</v>
      </c>
      <c r="C32" t="s">
        <v>167</v>
      </c>
      <c r="D32" t="s">
        <v>182</v>
      </c>
      <c r="E32">
        <f>SUMIF(DATA!$A:$A,PPL!$A32,DATA!C:C)</f>
        <v>575</v>
      </c>
      <c r="F32">
        <f>SUMIF(DATA!$A:$A,PPL!$A32,DATA!D:D)</f>
        <v>0</v>
      </c>
      <c r="G32">
        <f>SUMIF(DATA!$A:$A,PPL!$A32,DATA!E:E)</f>
        <v>14</v>
      </c>
      <c r="H32">
        <f>SUMIF(DATA!$A:$A,PPL!$A32,DATA!F:F)</f>
        <v>533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28</v>
      </c>
      <c r="L32">
        <f>SUMIF(DATA!$A:$A,PPL!$A32,DATA!J:J)</f>
        <v>0</v>
      </c>
      <c r="M32">
        <f t="shared" si="0"/>
        <v>42</v>
      </c>
    </row>
    <row r="33" spans="1:13" x14ac:dyDescent="0.25">
      <c r="A33" t="s">
        <v>36</v>
      </c>
      <c r="B33" t="s">
        <v>278</v>
      </c>
      <c r="C33" t="s">
        <v>167</v>
      </c>
      <c r="D33" t="s">
        <v>182</v>
      </c>
      <c r="E33">
        <f>SUMIF(DATA!$A:$A,PPL!$A33,DATA!C:C)</f>
        <v>568</v>
      </c>
      <c r="F33">
        <f>SUMIF(DATA!$A:$A,PPL!$A33,DATA!D:D)</f>
        <v>0</v>
      </c>
      <c r="G33">
        <f>SUMIF(DATA!$A:$A,PPL!$A33,DATA!E:E)</f>
        <v>17</v>
      </c>
      <c r="H33">
        <f>SUMIF(DATA!$A:$A,PPL!$A33,DATA!F:F)</f>
        <v>534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17</v>
      </c>
      <c r="L33">
        <f>SUMIF(DATA!$A:$A,PPL!$A33,DATA!J:J)</f>
        <v>0</v>
      </c>
      <c r="M33">
        <f t="shared" si="0"/>
        <v>34</v>
      </c>
    </row>
    <row r="34" spans="1:13" x14ac:dyDescent="0.25">
      <c r="A34" t="s">
        <v>37</v>
      </c>
      <c r="B34" t="s">
        <v>279</v>
      </c>
      <c r="C34" t="s">
        <v>167</v>
      </c>
      <c r="D34" t="s">
        <v>182</v>
      </c>
      <c r="E34">
        <f>SUMIF(DATA!$A:$A,PPL!$A34,DATA!C:C)</f>
        <v>571</v>
      </c>
      <c r="F34">
        <f>SUMIF(DATA!$A:$A,PPL!$A34,DATA!D:D)</f>
        <v>0</v>
      </c>
      <c r="G34">
        <f>SUMIF(DATA!$A:$A,PPL!$A34,DATA!E:E)</f>
        <v>24</v>
      </c>
      <c r="H34">
        <f>SUMIF(DATA!$A:$A,PPL!$A34,DATA!F:F)</f>
        <v>503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44</v>
      </c>
      <c r="L34">
        <f>SUMIF(DATA!$A:$A,PPL!$A34,DATA!J:J)</f>
        <v>0</v>
      </c>
      <c r="M34">
        <f t="shared" si="0"/>
        <v>68</v>
      </c>
    </row>
    <row r="35" spans="1:13" x14ac:dyDescent="0.25">
      <c r="A35" t="s">
        <v>38</v>
      </c>
      <c r="B35" t="s">
        <v>280</v>
      </c>
      <c r="C35" t="s">
        <v>167</v>
      </c>
      <c r="D35" t="s">
        <v>182</v>
      </c>
      <c r="E35">
        <f>SUMIF(DATA!$A:$A,PPL!$A35,DATA!C:C)</f>
        <v>621</v>
      </c>
      <c r="F35">
        <f>SUMIF(DATA!$A:$A,PPL!$A35,DATA!D:D)</f>
        <v>0</v>
      </c>
      <c r="G35">
        <f>SUMIF(DATA!$A:$A,PPL!$A35,DATA!E:E)</f>
        <v>12</v>
      </c>
      <c r="H35">
        <f>SUMIF(DATA!$A:$A,PPL!$A35,DATA!F:F)</f>
        <v>541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68</v>
      </c>
      <c r="L35">
        <f>SUMIF(DATA!$A:$A,PPL!$A35,DATA!J:J)</f>
        <v>0</v>
      </c>
      <c r="M35">
        <f t="shared" si="0"/>
        <v>80</v>
      </c>
    </row>
    <row r="36" spans="1:13" x14ac:dyDescent="0.25">
      <c r="A36" t="s">
        <v>39</v>
      </c>
      <c r="B36" t="s">
        <v>281</v>
      </c>
      <c r="C36" t="s">
        <v>165</v>
      </c>
      <c r="D36" t="s">
        <v>181</v>
      </c>
      <c r="E36">
        <f>SUMIF(DATA!$A:$A,PPL!$A36,DATA!C:C)</f>
        <v>596</v>
      </c>
      <c r="F36">
        <f>SUMIF(DATA!$A:$A,PPL!$A36,DATA!D:D)</f>
        <v>1</v>
      </c>
      <c r="G36">
        <f>SUMIF(DATA!$A:$A,PPL!$A36,DATA!E:E)</f>
        <v>24</v>
      </c>
      <c r="H36">
        <f>SUMIF(DATA!$A:$A,PPL!$A36,DATA!F:F)</f>
        <v>533</v>
      </c>
      <c r="I36">
        <f>SUMIF(DATA!$A:$A,PPL!$A36,DATA!G:G)</f>
        <v>17</v>
      </c>
      <c r="J36">
        <f>SUMIF(DATA!$A:$A,PPL!$A36,DATA!H:H)</f>
        <v>0</v>
      </c>
      <c r="K36">
        <f>SUMIF(DATA!$A:$A,PPL!$A36,DATA!I:I)</f>
        <v>21</v>
      </c>
      <c r="L36">
        <f>SUMIF(DATA!$A:$A,PPL!$A36,DATA!J:J)</f>
        <v>0</v>
      </c>
      <c r="M36">
        <f t="shared" si="0"/>
        <v>63</v>
      </c>
    </row>
    <row r="37" spans="1:13" x14ac:dyDescent="0.25">
      <c r="A37" t="s">
        <v>40</v>
      </c>
      <c r="B37" t="s">
        <v>282</v>
      </c>
      <c r="C37" t="s">
        <v>165</v>
      </c>
      <c r="D37" t="s">
        <v>181</v>
      </c>
      <c r="E37">
        <f>SUMIF(DATA!$A:$A,PPL!$A37,DATA!C:C)</f>
        <v>573</v>
      </c>
      <c r="F37">
        <f>SUMIF(DATA!$A:$A,PPL!$A37,DATA!D:D)</f>
        <v>8</v>
      </c>
      <c r="G37">
        <f>SUMIF(DATA!$A:$A,PPL!$A37,DATA!E:E)</f>
        <v>38</v>
      </c>
      <c r="H37">
        <f>SUMIF(DATA!$A:$A,PPL!$A37,DATA!F:F)</f>
        <v>520</v>
      </c>
      <c r="I37">
        <f>SUMIF(DATA!$A:$A,PPL!$A37,DATA!G:G)</f>
        <v>4</v>
      </c>
      <c r="J37">
        <f>SUMIF(DATA!$A:$A,PPL!$A37,DATA!H:H)</f>
        <v>0</v>
      </c>
      <c r="K37">
        <f>SUMIF(DATA!$A:$A,PPL!$A37,DATA!I:I)</f>
        <v>3</v>
      </c>
      <c r="L37">
        <f>SUMIF(DATA!$A:$A,PPL!$A37,DATA!J:J)</f>
        <v>0</v>
      </c>
      <c r="M37">
        <f t="shared" si="0"/>
        <v>53</v>
      </c>
    </row>
    <row r="38" spans="1:13" x14ac:dyDescent="0.25">
      <c r="A38" t="s">
        <v>41</v>
      </c>
      <c r="B38" t="s">
        <v>283</v>
      </c>
      <c r="C38" t="s">
        <v>165</v>
      </c>
      <c r="D38" t="s">
        <v>181</v>
      </c>
      <c r="E38">
        <f>SUMIF(DATA!$A:$A,PPL!$A38,DATA!C:C)</f>
        <v>698</v>
      </c>
      <c r="F38">
        <f>SUMIF(DATA!$A:$A,PPL!$A38,DATA!D:D)</f>
        <v>66</v>
      </c>
      <c r="G38">
        <f>SUMIF(DATA!$A:$A,PPL!$A38,DATA!E:E)</f>
        <v>25</v>
      </c>
      <c r="H38">
        <f>SUMIF(DATA!$A:$A,PPL!$A38,DATA!F:F)</f>
        <v>564</v>
      </c>
      <c r="I38">
        <f>SUMIF(DATA!$A:$A,PPL!$A38,DATA!G:G)</f>
        <v>19</v>
      </c>
      <c r="J38">
        <f>SUMIF(DATA!$A:$A,PPL!$A38,DATA!H:H)</f>
        <v>0</v>
      </c>
      <c r="K38">
        <f>SUMIF(DATA!$A:$A,PPL!$A38,DATA!I:I)</f>
        <v>24</v>
      </c>
      <c r="L38">
        <f>SUMIF(DATA!$A:$A,PPL!$A38,DATA!J:J)</f>
        <v>0</v>
      </c>
      <c r="M38">
        <f t="shared" si="0"/>
        <v>134</v>
      </c>
    </row>
    <row r="39" spans="1:13" x14ac:dyDescent="0.25">
      <c r="A39" t="s">
        <v>42</v>
      </c>
      <c r="B39" t="s">
        <v>284</v>
      </c>
      <c r="C39" t="s">
        <v>165</v>
      </c>
      <c r="D39" t="s">
        <v>181</v>
      </c>
      <c r="E39">
        <f>SUMIF(DATA!$A:$A,PPL!$A39,DATA!C:C)</f>
        <v>580</v>
      </c>
      <c r="F39">
        <f>SUMIF(DATA!$A:$A,PPL!$A39,DATA!D:D)</f>
        <v>17</v>
      </c>
      <c r="G39">
        <f>SUMIF(DATA!$A:$A,PPL!$A39,DATA!E:E)</f>
        <v>26</v>
      </c>
      <c r="H39">
        <f>SUMIF(DATA!$A:$A,PPL!$A39,DATA!F:F)</f>
        <v>506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30</v>
      </c>
      <c r="L39">
        <f>SUMIF(DATA!$A:$A,PPL!$A39,DATA!J:J)</f>
        <v>0</v>
      </c>
      <c r="M39">
        <f t="shared" si="0"/>
        <v>74</v>
      </c>
    </row>
    <row r="40" spans="1:13" x14ac:dyDescent="0.25">
      <c r="A40" t="s">
        <v>43</v>
      </c>
      <c r="B40" t="s">
        <v>285</v>
      </c>
      <c r="C40" t="s">
        <v>166</v>
      </c>
      <c r="D40" t="s">
        <v>189</v>
      </c>
      <c r="E40">
        <f>SUMIF(DATA!$A:$A,PPL!$A40,DATA!C:C)</f>
        <v>622</v>
      </c>
      <c r="F40">
        <f>SUMIF(DATA!$A:$A,PPL!$A40,DATA!D:D)</f>
        <v>18</v>
      </c>
      <c r="G40">
        <f>SUMIF(DATA!$A:$A,PPL!$A40,DATA!E:E)</f>
        <v>0</v>
      </c>
      <c r="H40">
        <f>SUMIF(DATA!$A:$A,PPL!$A40,DATA!F:F)</f>
        <v>568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35</v>
      </c>
      <c r="L40">
        <f>SUMIF(DATA!$A:$A,PPL!$A40,DATA!J:J)</f>
        <v>0</v>
      </c>
      <c r="M40">
        <f t="shared" si="0"/>
        <v>54</v>
      </c>
    </row>
    <row r="41" spans="1:13" x14ac:dyDescent="0.25">
      <c r="A41" t="s">
        <v>44</v>
      </c>
      <c r="B41" t="s">
        <v>286</v>
      </c>
      <c r="C41" t="s">
        <v>166</v>
      </c>
      <c r="D41" t="s">
        <v>189</v>
      </c>
      <c r="E41">
        <f>SUMIF(DATA!$A:$A,PPL!$A41,DATA!C:C)</f>
        <v>596</v>
      </c>
      <c r="F41">
        <f>SUMIF(DATA!$A:$A,PPL!$A41,DATA!D:D)</f>
        <v>0</v>
      </c>
      <c r="G41">
        <f>SUMIF(DATA!$A:$A,PPL!$A41,DATA!E:E)</f>
        <v>0</v>
      </c>
      <c r="H41">
        <f>SUMIF(DATA!$A:$A,PPL!$A41,DATA!F:F)</f>
        <v>566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30</v>
      </c>
      <c r="L41">
        <f>SUMIF(DATA!$A:$A,PPL!$A41,DATA!J:J)</f>
        <v>0</v>
      </c>
      <c r="M41">
        <f t="shared" si="0"/>
        <v>30</v>
      </c>
    </row>
    <row r="42" spans="1:13" x14ac:dyDescent="0.25">
      <c r="A42" t="s">
        <v>45</v>
      </c>
      <c r="B42" t="s">
        <v>287</v>
      </c>
      <c r="C42" t="s">
        <v>166</v>
      </c>
      <c r="D42" t="s">
        <v>189</v>
      </c>
      <c r="E42">
        <f>SUMIF(DATA!$A:$A,PPL!$A42,DATA!C:C)</f>
        <v>583</v>
      </c>
      <c r="F42">
        <f>SUMIF(DATA!$A:$A,PPL!$A42,DATA!D:D)</f>
        <v>0</v>
      </c>
      <c r="G42">
        <f>SUMIF(DATA!$A:$A,PPL!$A42,DATA!E:E)</f>
        <v>0</v>
      </c>
      <c r="H42">
        <f>SUMIF(DATA!$A:$A,PPL!$A42,DATA!F:F)</f>
        <v>538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45</v>
      </c>
      <c r="L42">
        <f>SUMIF(DATA!$A:$A,PPL!$A42,DATA!J:J)</f>
        <v>0</v>
      </c>
      <c r="M42">
        <f t="shared" si="0"/>
        <v>45</v>
      </c>
    </row>
    <row r="43" spans="1:13" x14ac:dyDescent="0.25">
      <c r="A43" t="s">
        <v>46</v>
      </c>
      <c r="B43" t="s">
        <v>288</v>
      </c>
      <c r="C43" t="s">
        <v>165</v>
      </c>
      <c r="D43" t="s">
        <v>181</v>
      </c>
      <c r="E43">
        <f>SUMIF(DATA!$A:$A,PPL!$A43,DATA!C:C)</f>
        <v>587</v>
      </c>
      <c r="F43">
        <f>SUMIF(DATA!$A:$A,PPL!$A43,DATA!D:D)</f>
        <v>2</v>
      </c>
      <c r="G43">
        <f>SUMIF(DATA!$A:$A,PPL!$A43,DATA!E:E)</f>
        <v>13</v>
      </c>
      <c r="H43">
        <f>SUMIF(DATA!$A:$A,PPL!$A43,DATA!F:F)</f>
        <v>538</v>
      </c>
      <c r="I43">
        <f>SUMIF(DATA!$A:$A,PPL!$A43,DATA!G:G)</f>
        <v>29</v>
      </c>
      <c r="J43">
        <f>SUMIF(DATA!$A:$A,PPL!$A43,DATA!H:H)</f>
        <v>0</v>
      </c>
      <c r="K43">
        <f>SUMIF(DATA!$A:$A,PPL!$A43,DATA!I:I)</f>
        <v>5</v>
      </c>
      <c r="L43">
        <f>SUMIF(DATA!$A:$A,PPL!$A43,DATA!J:J)</f>
        <v>0</v>
      </c>
      <c r="M43">
        <f t="shared" si="0"/>
        <v>49</v>
      </c>
    </row>
    <row r="44" spans="1:13" x14ac:dyDescent="0.25">
      <c r="A44" t="s">
        <v>47</v>
      </c>
      <c r="B44" t="s">
        <v>289</v>
      </c>
      <c r="C44" t="s">
        <v>167</v>
      </c>
      <c r="D44" t="s">
        <v>182</v>
      </c>
      <c r="E44">
        <f>SUMIF(DATA!$A:$A,PPL!$A44,DATA!C:C)</f>
        <v>622</v>
      </c>
      <c r="F44">
        <f>SUMIF(DATA!$A:$A,PPL!$A44,DATA!D:D)</f>
        <v>0</v>
      </c>
      <c r="G44">
        <f>SUMIF(DATA!$A:$A,PPL!$A44,DATA!E:E)</f>
        <v>0</v>
      </c>
      <c r="H44">
        <f>SUMIF(DATA!$A:$A,PPL!$A44,DATA!F:F)</f>
        <v>587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35</v>
      </c>
      <c r="L44">
        <f>SUMIF(DATA!$A:$A,PPL!$A44,DATA!J:J)</f>
        <v>0</v>
      </c>
      <c r="M44">
        <f t="shared" si="0"/>
        <v>35</v>
      </c>
    </row>
    <row r="45" spans="1:13" x14ac:dyDescent="0.25">
      <c r="A45" t="s">
        <v>48</v>
      </c>
      <c r="B45" t="s">
        <v>290</v>
      </c>
      <c r="C45" t="s">
        <v>165</v>
      </c>
      <c r="D45" t="s">
        <v>181</v>
      </c>
      <c r="E45">
        <f>SUMIF(DATA!$A:$A,PPL!$A45,DATA!C:C)</f>
        <v>625</v>
      </c>
      <c r="F45">
        <f>SUMIF(DATA!$A:$A,PPL!$A45,DATA!D:D)</f>
        <v>0</v>
      </c>
      <c r="G45">
        <f>SUMIF(DATA!$A:$A,PPL!$A45,DATA!E:E)</f>
        <v>35</v>
      </c>
      <c r="H45">
        <f>SUMIF(DATA!$A:$A,PPL!$A45,DATA!F:F)</f>
        <v>534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56</v>
      </c>
      <c r="L45">
        <f>SUMIF(DATA!$A:$A,PPL!$A45,DATA!J:J)</f>
        <v>0</v>
      </c>
      <c r="M45">
        <f t="shared" si="0"/>
        <v>91</v>
      </c>
    </row>
    <row r="46" spans="1:13" x14ac:dyDescent="0.25">
      <c r="A46" t="s">
        <v>49</v>
      </c>
      <c r="B46" t="s">
        <v>291</v>
      </c>
      <c r="C46" t="s">
        <v>168</v>
      </c>
      <c r="D46" t="s">
        <v>199</v>
      </c>
      <c r="E46">
        <f>SUMIF(DATA!$A:$A,PPL!$A46,DATA!C:C)</f>
        <v>608</v>
      </c>
      <c r="F46">
        <f>SUMIF(DATA!$A:$A,PPL!$A46,DATA!D:D)</f>
        <v>0</v>
      </c>
      <c r="G46">
        <f>SUMIF(DATA!$A:$A,PPL!$A46,DATA!E:E)</f>
        <v>0</v>
      </c>
      <c r="H46">
        <f>SUMIF(DATA!$A:$A,PPL!$A46,DATA!F:F)</f>
        <v>592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16</v>
      </c>
      <c r="L46">
        <f>SUMIF(DATA!$A:$A,PPL!$A46,DATA!J:J)</f>
        <v>0</v>
      </c>
      <c r="M46">
        <f t="shared" si="0"/>
        <v>16</v>
      </c>
    </row>
    <row r="47" spans="1:13" x14ac:dyDescent="0.25">
      <c r="A47" t="s">
        <v>50</v>
      </c>
      <c r="B47" t="s">
        <v>292</v>
      </c>
      <c r="C47" t="s">
        <v>169</v>
      </c>
      <c r="D47" t="s">
        <v>197</v>
      </c>
      <c r="E47">
        <f>SUMIF(DATA!$A:$A,PPL!$A47,DATA!C:C)</f>
        <v>591</v>
      </c>
      <c r="F47">
        <f>SUMIF(DATA!$A:$A,PPL!$A47,DATA!D:D)</f>
        <v>0</v>
      </c>
      <c r="G47">
        <f>SUMIF(DATA!$A:$A,PPL!$A47,DATA!E:E)</f>
        <v>21</v>
      </c>
      <c r="H47">
        <f>SUMIF(DATA!$A:$A,PPL!$A47,DATA!F:F)</f>
        <v>529</v>
      </c>
      <c r="I47">
        <f>SUMIF(DATA!$A:$A,PPL!$A47,DATA!G:G)</f>
        <v>1</v>
      </c>
      <c r="J47">
        <f>SUMIF(DATA!$A:$A,PPL!$A47,DATA!H:H)</f>
        <v>0</v>
      </c>
      <c r="K47">
        <f>SUMIF(DATA!$A:$A,PPL!$A47,DATA!I:I)</f>
        <v>40</v>
      </c>
      <c r="L47">
        <f>SUMIF(DATA!$A:$A,PPL!$A47,DATA!J:J)</f>
        <v>0</v>
      </c>
      <c r="M47">
        <f t="shared" si="0"/>
        <v>62</v>
      </c>
    </row>
    <row r="48" spans="1:13" x14ac:dyDescent="0.25">
      <c r="A48" t="s">
        <v>51</v>
      </c>
      <c r="B48" t="s">
        <v>293</v>
      </c>
      <c r="C48" t="s">
        <v>170</v>
      </c>
      <c r="D48" t="s">
        <v>196</v>
      </c>
      <c r="E48">
        <f>SUMIF(DATA!$A:$A,PPL!$A48,DATA!C:C)</f>
        <v>432</v>
      </c>
      <c r="F48">
        <f>SUMIF(DATA!$A:$A,PPL!$A48,DATA!D:D)</f>
        <v>0</v>
      </c>
      <c r="G48">
        <f>SUMIF(DATA!$A:$A,PPL!$A48,DATA!E:E)</f>
        <v>23</v>
      </c>
      <c r="H48">
        <f>SUMIF(DATA!$A:$A,PPL!$A48,DATA!F:F)</f>
        <v>348</v>
      </c>
      <c r="I48">
        <f>SUMIF(DATA!$A:$A,PPL!$A48,DATA!G:G)</f>
        <v>1</v>
      </c>
      <c r="J48">
        <f>SUMIF(DATA!$A:$A,PPL!$A48,DATA!H:H)</f>
        <v>0</v>
      </c>
      <c r="K48">
        <f>SUMIF(DATA!$A:$A,PPL!$A48,DATA!I:I)</f>
        <v>60</v>
      </c>
      <c r="L48">
        <f>SUMIF(DATA!$A:$A,PPL!$A48,DATA!J:J)</f>
        <v>0</v>
      </c>
      <c r="M48">
        <f t="shared" si="0"/>
        <v>84</v>
      </c>
    </row>
    <row r="49" spans="1:13" x14ac:dyDescent="0.25">
      <c r="A49" t="s">
        <v>52</v>
      </c>
      <c r="B49" t="s">
        <v>294</v>
      </c>
      <c r="C49" t="s">
        <v>169</v>
      </c>
      <c r="D49" t="s">
        <v>197</v>
      </c>
      <c r="E49">
        <f>SUMIF(DATA!$A:$A,PPL!$A49,DATA!C:C)</f>
        <v>448</v>
      </c>
      <c r="F49">
        <f>SUMIF(DATA!$A:$A,PPL!$A49,DATA!D:D)</f>
        <v>2</v>
      </c>
      <c r="G49">
        <f>SUMIF(DATA!$A:$A,PPL!$A49,DATA!E:E)</f>
        <v>21</v>
      </c>
      <c r="H49">
        <f>SUMIF(DATA!$A:$A,PPL!$A49,DATA!F:F)</f>
        <v>357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68</v>
      </c>
      <c r="L49">
        <f>SUMIF(DATA!$A:$A,PPL!$A49,DATA!J:J)</f>
        <v>0</v>
      </c>
      <c r="M49">
        <f t="shared" si="0"/>
        <v>91</v>
      </c>
    </row>
    <row r="50" spans="1:13" x14ac:dyDescent="0.25">
      <c r="A50" t="s">
        <v>53</v>
      </c>
      <c r="B50" t="s">
        <v>295</v>
      </c>
      <c r="C50" t="s">
        <v>168</v>
      </c>
      <c r="D50" t="s">
        <v>199</v>
      </c>
      <c r="E50">
        <f>SUMIF(DATA!$A:$A,PPL!$A50,DATA!C:C)</f>
        <v>569</v>
      </c>
      <c r="F50">
        <f>SUMIF(DATA!$A:$A,PPL!$A50,DATA!D:D)</f>
        <v>0</v>
      </c>
      <c r="G50">
        <f>SUMIF(DATA!$A:$A,PPL!$A50,DATA!E:E)</f>
        <v>3</v>
      </c>
      <c r="H50">
        <f>SUMIF(DATA!$A:$A,PPL!$A50,DATA!F:F)</f>
        <v>526</v>
      </c>
      <c r="I50">
        <f>SUMIF(DATA!$A:$A,PPL!$A50,DATA!G:G)</f>
        <v>1</v>
      </c>
      <c r="J50">
        <f>SUMIF(DATA!$A:$A,PPL!$A50,DATA!H:H)</f>
        <v>0</v>
      </c>
      <c r="K50">
        <f>SUMIF(DATA!$A:$A,PPL!$A50,DATA!I:I)</f>
        <v>39</v>
      </c>
      <c r="L50">
        <f>SUMIF(DATA!$A:$A,PPL!$A50,DATA!J:J)</f>
        <v>0</v>
      </c>
      <c r="M50">
        <f t="shared" si="0"/>
        <v>43</v>
      </c>
    </row>
    <row r="51" spans="1:13" x14ac:dyDescent="0.25">
      <c r="A51" t="s">
        <v>54</v>
      </c>
      <c r="B51" t="s">
        <v>296</v>
      </c>
      <c r="C51" t="s">
        <v>168</v>
      </c>
      <c r="D51" t="s">
        <v>199</v>
      </c>
      <c r="E51">
        <f>SUMIF(DATA!$A:$A,PPL!$A51,DATA!C:C)</f>
        <v>568</v>
      </c>
      <c r="F51">
        <f>SUMIF(DATA!$A:$A,PPL!$A51,DATA!D:D)</f>
        <v>1</v>
      </c>
      <c r="G51">
        <f>SUMIF(DATA!$A:$A,PPL!$A51,DATA!E:E)</f>
        <v>9</v>
      </c>
      <c r="H51">
        <f>SUMIF(DATA!$A:$A,PPL!$A51,DATA!F:F)</f>
        <v>501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57</v>
      </c>
      <c r="L51">
        <f>SUMIF(DATA!$A:$A,PPL!$A51,DATA!J:J)</f>
        <v>0</v>
      </c>
      <c r="M51">
        <f t="shared" si="0"/>
        <v>67</v>
      </c>
    </row>
    <row r="52" spans="1:13" x14ac:dyDescent="0.25">
      <c r="A52" t="s">
        <v>55</v>
      </c>
      <c r="B52" t="s">
        <v>297</v>
      </c>
      <c r="C52" t="s">
        <v>168</v>
      </c>
      <c r="D52" t="s">
        <v>199</v>
      </c>
      <c r="E52">
        <f>SUMIF(DATA!$A:$A,PPL!$A52,DATA!C:C)</f>
        <v>559</v>
      </c>
      <c r="F52">
        <f>SUMIF(DATA!$A:$A,PPL!$A52,DATA!D:D)</f>
        <v>0</v>
      </c>
      <c r="G52">
        <f>SUMIF(DATA!$A:$A,PPL!$A52,DATA!E:E)</f>
        <v>0</v>
      </c>
      <c r="H52">
        <f>SUMIF(DATA!$A:$A,PPL!$A52,DATA!F:F)</f>
        <v>508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51</v>
      </c>
      <c r="L52">
        <f>SUMIF(DATA!$A:$A,PPL!$A52,DATA!J:J)</f>
        <v>0</v>
      </c>
      <c r="M52">
        <f t="shared" si="0"/>
        <v>51</v>
      </c>
    </row>
    <row r="53" spans="1:13" x14ac:dyDescent="0.25">
      <c r="A53" t="s">
        <v>56</v>
      </c>
      <c r="B53" t="s">
        <v>298</v>
      </c>
      <c r="C53" t="s">
        <v>168</v>
      </c>
      <c r="D53" t="s">
        <v>199</v>
      </c>
      <c r="E53">
        <f>SUMIF(DATA!$A:$A,PPL!$A53,DATA!C:C)</f>
        <v>596</v>
      </c>
      <c r="F53">
        <f>SUMIF(DATA!$A:$A,PPL!$A53,DATA!D:D)</f>
        <v>0</v>
      </c>
      <c r="G53">
        <f>SUMIF(DATA!$A:$A,PPL!$A53,DATA!E:E)</f>
        <v>15</v>
      </c>
      <c r="H53">
        <f>SUMIF(DATA!$A:$A,PPL!$A53,DATA!F:F)</f>
        <v>531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50</v>
      </c>
      <c r="L53">
        <f>SUMIF(DATA!$A:$A,PPL!$A53,DATA!J:J)</f>
        <v>0</v>
      </c>
      <c r="M53">
        <f t="shared" si="0"/>
        <v>65</v>
      </c>
    </row>
    <row r="54" spans="1:13" x14ac:dyDescent="0.25">
      <c r="A54" t="s">
        <v>57</v>
      </c>
      <c r="B54" t="s">
        <v>299</v>
      </c>
      <c r="C54" t="s">
        <v>170</v>
      </c>
      <c r="D54" t="s">
        <v>196</v>
      </c>
      <c r="E54">
        <f>SUMIF(DATA!$A:$A,PPL!$A54,DATA!C:C)</f>
        <v>619</v>
      </c>
      <c r="F54">
        <f>SUMIF(DATA!$A:$A,PPL!$A54,DATA!D:D)</f>
        <v>0</v>
      </c>
      <c r="G54">
        <f>SUMIF(DATA!$A:$A,PPL!$A54,DATA!E:E)</f>
        <v>10</v>
      </c>
      <c r="H54">
        <f>SUMIF(DATA!$A:$A,PPL!$A54,DATA!F:F)</f>
        <v>534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75</v>
      </c>
      <c r="L54">
        <f>SUMIF(DATA!$A:$A,PPL!$A54,DATA!J:J)</f>
        <v>0</v>
      </c>
      <c r="M54">
        <f t="shared" si="0"/>
        <v>85</v>
      </c>
    </row>
    <row r="55" spans="1:13" x14ac:dyDescent="0.25">
      <c r="A55" t="s">
        <v>58</v>
      </c>
      <c r="B55" t="s">
        <v>300</v>
      </c>
      <c r="C55" t="s">
        <v>170</v>
      </c>
      <c r="D55" t="s">
        <v>196</v>
      </c>
      <c r="E55">
        <f>SUMIF(DATA!$A:$A,PPL!$A55,DATA!C:C)</f>
        <v>564</v>
      </c>
      <c r="F55">
        <f>SUMIF(DATA!$A:$A,PPL!$A55,DATA!D:D)</f>
        <v>0</v>
      </c>
      <c r="G55">
        <f>SUMIF(DATA!$A:$A,PPL!$A55,DATA!E:E)</f>
        <v>29</v>
      </c>
      <c r="H55">
        <f>SUMIF(DATA!$A:$A,PPL!$A55,DATA!F:F)</f>
        <v>489</v>
      </c>
      <c r="I55">
        <f>SUMIF(DATA!$A:$A,PPL!$A55,DATA!G:G)</f>
        <v>16</v>
      </c>
      <c r="J55">
        <f>SUMIF(DATA!$A:$A,PPL!$A55,DATA!H:H)</f>
        <v>0</v>
      </c>
      <c r="K55">
        <f>SUMIF(DATA!$A:$A,PPL!$A55,DATA!I:I)</f>
        <v>30</v>
      </c>
      <c r="L55">
        <f>SUMIF(DATA!$A:$A,PPL!$A55,DATA!J:J)</f>
        <v>0</v>
      </c>
      <c r="M55">
        <f t="shared" si="0"/>
        <v>75</v>
      </c>
    </row>
    <row r="56" spans="1:13" x14ac:dyDescent="0.25">
      <c r="A56" t="s">
        <v>59</v>
      </c>
      <c r="B56" t="s">
        <v>301</v>
      </c>
      <c r="C56" t="s">
        <v>170</v>
      </c>
      <c r="D56" t="s">
        <v>196</v>
      </c>
      <c r="E56">
        <f>SUMIF(DATA!$A:$A,PPL!$A56,DATA!C:C)</f>
        <v>595</v>
      </c>
      <c r="F56">
        <f>SUMIF(DATA!$A:$A,PPL!$A56,DATA!D:D)</f>
        <v>1</v>
      </c>
      <c r="G56">
        <f>SUMIF(DATA!$A:$A,PPL!$A56,DATA!E:E)</f>
        <v>21</v>
      </c>
      <c r="H56">
        <f>SUMIF(DATA!$A:$A,PPL!$A56,DATA!F:F)</f>
        <v>497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76</v>
      </c>
      <c r="L56">
        <f>SUMIF(DATA!$A:$A,PPL!$A56,DATA!J:J)</f>
        <v>0</v>
      </c>
      <c r="M56">
        <f t="shared" si="0"/>
        <v>98</v>
      </c>
    </row>
    <row r="57" spans="1:13" x14ac:dyDescent="0.25">
      <c r="A57" t="s">
        <v>60</v>
      </c>
      <c r="B57" t="s">
        <v>302</v>
      </c>
      <c r="C57" t="s">
        <v>170</v>
      </c>
      <c r="D57" t="s">
        <v>196</v>
      </c>
      <c r="E57">
        <f>SUMIF(DATA!$A:$A,PPL!$A57,DATA!C:C)</f>
        <v>604</v>
      </c>
      <c r="F57">
        <f>SUMIF(DATA!$A:$A,PPL!$A57,DATA!D:D)</f>
        <v>1</v>
      </c>
      <c r="G57">
        <f>SUMIF(DATA!$A:$A,PPL!$A57,DATA!E:E)</f>
        <v>16</v>
      </c>
      <c r="H57">
        <f>SUMIF(DATA!$A:$A,PPL!$A57,DATA!F:F)</f>
        <v>527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60</v>
      </c>
      <c r="L57">
        <f>SUMIF(DATA!$A:$A,PPL!$A57,DATA!J:J)</f>
        <v>0</v>
      </c>
      <c r="M57">
        <f t="shared" si="0"/>
        <v>77</v>
      </c>
    </row>
    <row r="58" spans="1:13" x14ac:dyDescent="0.25">
      <c r="A58" t="s">
        <v>61</v>
      </c>
      <c r="B58" t="s">
        <v>303</v>
      </c>
      <c r="C58" t="s">
        <v>170</v>
      </c>
      <c r="D58" t="s">
        <v>196</v>
      </c>
      <c r="E58">
        <f>SUMIF(DATA!$A:$A,PPL!$A58,DATA!C:C)</f>
        <v>603</v>
      </c>
      <c r="F58">
        <f>SUMIF(DATA!$A:$A,PPL!$A58,DATA!D:D)</f>
        <v>0</v>
      </c>
      <c r="G58">
        <f>SUMIF(DATA!$A:$A,PPL!$A58,DATA!E:E)</f>
        <v>10</v>
      </c>
      <c r="H58">
        <f>SUMIF(DATA!$A:$A,PPL!$A58,DATA!F:F)</f>
        <v>535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58</v>
      </c>
      <c r="L58">
        <f>SUMIF(DATA!$A:$A,PPL!$A58,DATA!J:J)</f>
        <v>0</v>
      </c>
      <c r="M58">
        <f t="shared" si="0"/>
        <v>68</v>
      </c>
    </row>
    <row r="59" spans="1:13" x14ac:dyDescent="0.25">
      <c r="A59" t="s">
        <v>62</v>
      </c>
      <c r="B59" t="s">
        <v>304</v>
      </c>
      <c r="C59" t="s">
        <v>170</v>
      </c>
      <c r="D59" t="s">
        <v>196</v>
      </c>
      <c r="E59">
        <f>SUMIF(DATA!$A:$A,PPL!$A59,DATA!C:C)</f>
        <v>640</v>
      </c>
      <c r="F59">
        <f>SUMIF(DATA!$A:$A,PPL!$A59,DATA!D:D)</f>
        <v>0</v>
      </c>
      <c r="G59">
        <f>SUMIF(DATA!$A:$A,PPL!$A59,DATA!E:E)</f>
        <v>9</v>
      </c>
      <c r="H59">
        <f>SUMIF(DATA!$A:$A,PPL!$A59,DATA!F:F)</f>
        <v>596</v>
      </c>
      <c r="I59">
        <f>SUMIF(DATA!$A:$A,PPL!$A59,DATA!G:G)</f>
        <v>13</v>
      </c>
      <c r="J59">
        <f>SUMIF(DATA!$A:$A,PPL!$A59,DATA!H:H)</f>
        <v>0</v>
      </c>
      <c r="K59">
        <f>SUMIF(DATA!$A:$A,PPL!$A59,DATA!I:I)</f>
        <v>22</v>
      </c>
      <c r="L59">
        <f>SUMIF(DATA!$A:$A,PPL!$A59,DATA!J:J)</f>
        <v>0</v>
      </c>
      <c r="M59">
        <f t="shared" si="0"/>
        <v>44</v>
      </c>
    </row>
    <row r="60" spans="1:13" x14ac:dyDescent="0.25">
      <c r="A60" t="s">
        <v>63</v>
      </c>
      <c r="B60" t="s">
        <v>305</v>
      </c>
      <c r="C60" t="s">
        <v>168</v>
      </c>
      <c r="D60" t="s">
        <v>199</v>
      </c>
      <c r="E60">
        <f>SUMIF(DATA!$A:$A,PPL!$A60,DATA!C:C)</f>
        <v>538</v>
      </c>
      <c r="F60">
        <f>SUMIF(DATA!$A:$A,PPL!$A60,DATA!D:D)</f>
        <v>0</v>
      </c>
      <c r="G60">
        <f>SUMIF(DATA!$A:$A,PPL!$A60,DATA!E:E)</f>
        <v>13</v>
      </c>
      <c r="H60">
        <f>SUMIF(DATA!$A:$A,PPL!$A60,DATA!F:F)</f>
        <v>497</v>
      </c>
      <c r="I60">
        <f>SUMIF(DATA!$A:$A,PPL!$A60,DATA!G:G)</f>
        <v>0</v>
      </c>
      <c r="J60">
        <f>SUMIF(DATA!$A:$A,PPL!$A60,DATA!H:H)</f>
        <v>0</v>
      </c>
      <c r="K60">
        <f>SUMIF(DATA!$A:$A,PPL!$A60,DATA!I:I)</f>
        <v>28</v>
      </c>
      <c r="L60">
        <f>SUMIF(DATA!$A:$A,PPL!$A60,DATA!J:J)</f>
        <v>0</v>
      </c>
      <c r="M60">
        <f t="shared" si="0"/>
        <v>41</v>
      </c>
    </row>
    <row r="61" spans="1:13" x14ac:dyDescent="0.25">
      <c r="A61" t="s">
        <v>64</v>
      </c>
      <c r="B61" t="s">
        <v>306</v>
      </c>
      <c r="C61" t="s">
        <v>170</v>
      </c>
      <c r="D61" t="s">
        <v>196</v>
      </c>
      <c r="E61">
        <f>SUMIF(DATA!$A:$A,PPL!$A61,DATA!C:C)</f>
        <v>594</v>
      </c>
      <c r="F61">
        <f>SUMIF(DATA!$A:$A,PPL!$A61,DATA!D:D)</f>
        <v>0</v>
      </c>
      <c r="G61">
        <f>SUMIF(DATA!$A:$A,PPL!$A61,DATA!E:E)</f>
        <v>16</v>
      </c>
      <c r="H61">
        <f>SUMIF(DATA!$A:$A,PPL!$A61,DATA!F:F)</f>
        <v>520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58</v>
      </c>
      <c r="L61">
        <f>SUMIF(DATA!$A:$A,PPL!$A61,DATA!J:J)</f>
        <v>0</v>
      </c>
      <c r="M61">
        <f t="shared" si="0"/>
        <v>74</v>
      </c>
    </row>
    <row r="62" spans="1:13" x14ac:dyDescent="0.25">
      <c r="A62" t="s">
        <v>65</v>
      </c>
      <c r="B62" t="s">
        <v>307</v>
      </c>
      <c r="C62" t="s">
        <v>169</v>
      </c>
      <c r="D62" t="s">
        <v>197</v>
      </c>
      <c r="E62">
        <f>SUMIF(DATA!$A:$A,PPL!$A62,DATA!C:C)</f>
        <v>567</v>
      </c>
      <c r="F62">
        <f>SUMIF(DATA!$A:$A,PPL!$A62,DATA!D:D)</f>
        <v>0</v>
      </c>
      <c r="G62">
        <f>SUMIF(DATA!$A:$A,PPL!$A62,DATA!E:E)</f>
        <v>12</v>
      </c>
      <c r="H62">
        <f>SUMIF(DATA!$A:$A,PPL!$A62,DATA!F:F)</f>
        <v>525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30</v>
      </c>
      <c r="L62">
        <f>SUMIF(DATA!$A:$A,PPL!$A62,DATA!J:J)</f>
        <v>0</v>
      </c>
      <c r="M62">
        <f t="shared" si="0"/>
        <v>42</v>
      </c>
    </row>
    <row r="63" spans="1:13" x14ac:dyDescent="0.25">
      <c r="A63" t="s">
        <v>66</v>
      </c>
      <c r="B63" t="s">
        <v>308</v>
      </c>
      <c r="C63" t="s">
        <v>169</v>
      </c>
      <c r="D63" t="s">
        <v>197</v>
      </c>
      <c r="E63">
        <f>SUMIF(DATA!$A:$A,PPL!$A63,DATA!C:C)</f>
        <v>590</v>
      </c>
      <c r="F63">
        <f>SUMIF(DATA!$A:$A,PPL!$A63,DATA!D:D)</f>
        <v>0</v>
      </c>
      <c r="G63">
        <f>SUMIF(DATA!$A:$A,PPL!$A63,DATA!E:E)</f>
        <v>1</v>
      </c>
      <c r="H63">
        <f>SUMIF(DATA!$A:$A,PPL!$A63,DATA!F:F)</f>
        <v>514</v>
      </c>
      <c r="I63">
        <f>SUMIF(DATA!$A:$A,PPL!$A63,DATA!G:G)</f>
        <v>9</v>
      </c>
      <c r="J63">
        <f>SUMIF(DATA!$A:$A,PPL!$A63,DATA!H:H)</f>
        <v>0</v>
      </c>
      <c r="K63">
        <f>SUMIF(DATA!$A:$A,PPL!$A63,DATA!I:I)</f>
        <v>66</v>
      </c>
      <c r="L63">
        <f>SUMIF(DATA!$A:$A,PPL!$A63,DATA!J:J)</f>
        <v>0</v>
      </c>
      <c r="M63">
        <f t="shared" si="0"/>
        <v>76</v>
      </c>
    </row>
    <row r="64" spans="1:13" x14ac:dyDescent="0.25">
      <c r="A64" t="s">
        <v>67</v>
      </c>
      <c r="B64" t="s">
        <v>309</v>
      </c>
      <c r="C64" t="s">
        <v>169</v>
      </c>
      <c r="D64" t="s">
        <v>197</v>
      </c>
      <c r="E64">
        <f>SUMIF(DATA!$A:$A,PPL!$A64,DATA!C:C)</f>
        <v>579</v>
      </c>
      <c r="F64">
        <f>SUMIF(DATA!$A:$A,PPL!$A64,DATA!D:D)</f>
        <v>0</v>
      </c>
      <c r="G64">
        <f>SUMIF(DATA!$A:$A,PPL!$A64,DATA!E:E)</f>
        <v>23</v>
      </c>
      <c r="H64">
        <f>SUMIF(DATA!$A:$A,PPL!$A64,DATA!F:F)</f>
        <v>476</v>
      </c>
      <c r="I64">
        <f>SUMIF(DATA!$A:$A,PPL!$A64,DATA!G:G)</f>
        <v>1</v>
      </c>
      <c r="J64">
        <f>SUMIF(DATA!$A:$A,PPL!$A64,DATA!H:H)</f>
        <v>0</v>
      </c>
      <c r="K64">
        <f>SUMIF(DATA!$A:$A,PPL!$A64,DATA!I:I)</f>
        <v>79</v>
      </c>
      <c r="L64">
        <f>SUMIF(DATA!$A:$A,PPL!$A64,DATA!J:J)</f>
        <v>0</v>
      </c>
      <c r="M64">
        <f t="shared" si="0"/>
        <v>103</v>
      </c>
    </row>
    <row r="65" spans="1:13" x14ac:dyDescent="0.25">
      <c r="A65" t="s">
        <v>68</v>
      </c>
      <c r="B65" t="s">
        <v>310</v>
      </c>
      <c r="C65" t="s">
        <v>169</v>
      </c>
      <c r="D65" t="s">
        <v>197</v>
      </c>
      <c r="E65">
        <f>SUMIF(DATA!$A:$A,PPL!$A65,DATA!C:C)</f>
        <v>619</v>
      </c>
      <c r="F65">
        <f>SUMIF(DATA!$A:$A,PPL!$A65,DATA!D:D)</f>
        <v>0</v>
      </c>
      <c r="G65">
        <f>SUMIF(DATA!$A:$A,PPL!$A65,DATA!E:E)</f>
        <v>18</v>
      </c>
      <c r="H65">
        <f>SUMIF(DATA!$A:$A,PPL!$A65,DATA!F:F)</f>
        <v>535</v>
      </c>
      <c r="I65">
        <f>SUMIF(DATA!$A:$A,PPL!$A65,DATA!G:G)</f>
        <v>1</v>
      </c>
      <c r="J65">
        <f>SUMIF(DATA!$A:$A,PPL!$A65,DATA!H:H)</f>
        <v>0</v>
      </c>
      <c r="K65">
        <f>SUMIF(DATA!$A:$A,PPL!$A65,DATA!I:I)</f>
        <v>65</v>
      </c>
      <c r="L65">
        <f>SUMIF(DATA!$A:$A,PPL!$A65,DATA!J:J)</f>
        <v>0</v>
      </c>
      <c r="M65">
        <f t="shared" si="0"/>
        <v>84</v>
      </c>
    </row>
    <row r="66" spans="1:13" x14ac:dyDescent="0.25">
      <c r="A66" t="s">
        <v>69</v>
      </c>
      <c r="B66" t="s">
        <v>311</v>
      </c>
      <c r="C66" t="s">
        <v>168</v>
      </c>
      <c r="D66" t="s">
        <v>199</v>
      </c>
      <c r="E66">
        <f>SUMIF(DATA!$A:$A,PPL!$A66,DATA!C:C)</f>
        <v>598</v>
      </c>
      <c r="F66">
        <f>SUMIF(DATA!$A:$A,PPL!$A66,DATA!D:D)</f>
        <v>0</v>
      </c>
      <c r="G66">
        <f>SUMIF(DATA!$A:$A,PPL!$A66,DATA!E:E)</f>
        <v>31</v>
      </c>
      <c r="H66">
        <f>SUMIF(DATA!$A:$A,PPL!$A66,DATA!F:F)</f>
        <v>529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38</v>
      </c>
      <c r="L66">
        <f>SUMIF(DATA!$A:$A,PPL!$A66,DATA!J:J)</f>
        <v>0</v>
      </c>
      <c r="M66">
        <f t="shared" si="0"/>
        <v>69</v>
      </c>
    </row>
    <row r="67" spans="1:13" x14ac:dyDescent="0.25">
      <c r="A67" t="s">
        <v>70</v>
      </c>
      <c r="B67" t="s">
        <v>312</v>
      </c>
      <c r="C67" t="s">
        <v>169</v>
      </c>
      <c r="D67" t="s">
        <v>197</v>
      </c>
      <c r="E67">
        <f>SUMIF(DATA!$A:$A,PPL!$A67,DATA!C:C)</f>
        <v>559</v>
      </c>
      <c r="F67">
        <f>SUMIF(DATA!$A:$A,PPL!$A67,DATA!D:D)</f>
        <v>0</v>
      </c>
      <c r="G67">
        <f>SUMIF(DATA!$A:$A,PPL!$A67,DATA!E:E)</f>
        <v>9</v>
      </c>
      <c r="H67">
        <f>SUMIF(DATA!$A:$A,PPL!$A67,DATA!F:F)</f>
        <v>487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63</v>
      </c>
      <c r="L67">
        <f>SUMIF(DATA!$A:$A,PPL!$A67,DATA!J:J)</f>
        <v>0</v>
      </c>
      <c r="M67">
        <f t="shared" ref="M67:M130" si="1">F67+G67+I67+J67+K67+L67</f>
        <v>72</v>
      </c>
    </row>
    <row r="68" spans="1:13" x14ac:dyDescent="0.25">
      <c r="A68" t="s">
        <v>71</v>
      </c>
      <c r="B68" t="s">
        <v>313</v>
      </c>
      <c r="C68" t="s">
        <v>169</v>
      </c>
      <c r="D68" t="s">
        <v>197</v>
      </c>
      <c r="E68">
        <f>SUMIF(DATA!$A:$A,PPL!$A68,DATA!C:C)</f>
        <v>624</v>
      </c>
      <c r="F68">
        <f>SUMIF(DATA!$A:$A,PPL!$A68,DATA!D:D)</f>
        <v>0</v>
      </c>
      <c r="G68">
        <f>SUMIF(DATA!$A:$A,PPL!$A68,DATA!E:E)</f>
        <v>18</v>
      </c>
      <c r="H68">
        <f>SUMIF(DATA!$A:$A,PPL!$A68,DATA!F:F)</f>
        <v>566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40</v>
      </c>
      <c r="L68">
        <f>SUMIF(DATA!$A:$A,PPL!$A68,DATA!J:J)</f>
        <v>0</v>
      </c>
      <c r="M68">
        <f t="shared" si="1"/>
        <v>58</v>
      </c>
    </row>
    <row r="69" spans="1:13" x14ac:dyDescent="0.25">
      <c r="A69" t="s">
        <v>72</v>
      </c>
      <c r="B69" t="s">
        <v>314</v>
      </c>
      <c r="C69" t="s">
        <v>169</v>
      </c>
      <c r="D69" t="s">
        <v>197</v>
      </c>
      <c r="E69">
        <f>SUMIF(DATA!$A:$A,PPL!$A69,DATA!C:C)</f>
        <v>555</v>
      </c>
      <c r="F69">
        <f>SUMIF(DATA!$A:$A,PPL!$A69,DATA!D:D)</f>
        <v>0</v>
      </c>
      <c r="G69">
        <f>SUMIF(DATA!$A:$A,PPL!$A69,DATA!E:E)</f>
        <v>15</v>
      </c>
      <c r="H69">
        <f>SUMIF(DATA!$A:$A,PPL!$A69,DATA!F:F)</f>
        <v>476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64</v>
      </c>
      <c r="L69">
        <f>SUMIF(DATA!$A:$A,PPL!$A69,DATA!J:J)</f>
        <v>0</v>
      </c>
      <c r="M69">
        <f t="shared" si="1"/>
        <v>79</v>
      </c>
    </row>
    <row r="70" spans="1:13" x14ac:dyDescent="0.25">
      <c r="A70" t="s">
        <v>73</v>
      </c>
      <c r="B70" t="s">
        <v>315</v>
      </c>
      <c r="C70" t="s">
        <v>168</v>
      </c>
      <c r="D70" t="s">
        <v>199</v>
      </c>
      <c r="E70">
        <f>SUMIF(DATA!$A:$A,PPL!$A70,DATA!C:C)</f>
        <v>567</v>
      </c>
      <c r="F70">
        <f>SUMIF(DATA!$A:$A,PPL!$A70,DATA!D:D)</f>
        <v>0</v>
      </c>
      <c r="G70">
        <f>SUMIF(DATA!$A:$A,PPL!$A70,DATA!E:E)</f>
        <v>12</v>
      </c>
      <c r="H70">
        <f>SUMIF(DATA!$A:$A,PPL!$A70,DATA!F:F)</f>
        <v>514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41</v>
      </c>
      <c r="L70">
        <f>SUMIF(DATA!$A:$A,PPL!$A70,DATA!J:J)</f>
        <v>0</v>
      </c>
      <c r="M70">
        <f t="shared" si="1"/>
        <v>53</v>
      </c>
    </row>
    <row r="71" spans="1:13" x14ac:dyDescent="0.25">
      <c r="A71" t="s">
        <v>74</v>
      </c>
      <c r="B71" t="s">
        <v>316</v>
      </c>
      <c r="C71" t="s">
        <v>171</v>
      </c>
      <c r="D71" t="s">
        <v>195</v>
      </c>
      <c r="E71">
        <f>SUMIF(DATA!$A:$A,PPL!$A71,DATA!C:C)</f>
        <v>469</v>
      </c>
      <c r="F71">
        <f>SUMIF(DATA!$A:$A,PPL!$A71,DATA!D:D)</f>
        <v>23</v>
      </c>
      <c r="G71">
        <f>SUMIF(DATA!$A:$A,PPL!$A71,DATA!E:E)</f>
        <v>6</v>
      </c>
      <c r="H71">
        <f>SUMIF(DATA!$A:$A,PPL!$A71,DATA!F:F)</f>
        <v>424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15</v>
      </c>
      <c r="L71">
        <f>SUMIF(DATA!$A:$A,PPL!$A71,DATA!J:J)</f>
        <v>0</v>
      </c>
      <c r="M71">
        <f t="shared" si="1"/>
        <v>45</v>
      </c>
    </row>
    <row r="72" spans="1:13" x14ac:dyDescent="0.25">
      <c r="A72" t="s">
        <v>75</v>
      </c>
      <c r="B72" t="s">
        <v>317</v>
      </c>
      <c r="C72" t="s">
        <v>171</v>
      </c>
      <c r="D72" t="s">
        <v>195</v>
      </c>
      <c r="E72">
        <f>SUMIF(DATA!$A:$A,PPL!$A72,DATA!C:C)</f>
        <v>448</v>
      </c>
      <c r="F72">
        <f>SUMIF(DATA!$A:$A,PPL!$A72,DATA!D:D)</f>
        <v>7</v>
      </c>
      <c r="G72">
        <f>SUMIF(DATA!$A:$A,PPL!$A72,DATA!E:E)</f>
        <v>16</v>
      </c>
      <c r="H72">
        <f>SUMIF(DATA!$A:$A,PPL!$A72,DATA!F:F)</f>
        <v>408</v>
      </c>
      <c r="I72">
        <f>SUMIF(DATA!$A:$A,PPL!$A72,DATA!G:G)</f>
        <v>2</v>
      </c>
      <c r="J72">
        <f>SUMIF(DATA!$A:$A,PPL!$A72,DATA!H:H)</f>
        <v>0</v>
      </c>
      <c r="K72">
        <f>SUMIF(DATA!$A:$A,PPL!$A72,DATA!I:I)</f>
        <v>15</v>
      </c>
      <c r="L72">
        <f>SUMIF(DATA!$A:$A,PPL!$A72,DATA!J:J)</f>
        <v>0</v>
      </c>
      <c r="M72">
        <f t="shared" si="1"/>
        <v>40</v>
      </c>
    </row>
    <row r="73" spans="1:13" x14ac:dyDescent="0.25">
      <c r="A73" t="s">
        <v>76</v>
      </c>
      <c r="B73" t="s">
        <v>318</v>
      </c>
      <c r="C73" t="s">
        <v>171</v>
      </c>
      <c r="D73" t="s">
        <v>195</v>
      </c>
      <c r="E73">
        <f>SUMIF(DATA!$A:$A,PPL!$A73,DATA!C:C)</f>
        <v>467</v>
      </c>
      <c r="F73">
        <f>SUMIF(DATA!$A:$A,PPL!$A73,DATA!D:D)</f>
        <v>4</v>
      </c>
      <c r="G73">
        <f>SUMIF(DATA!$A:$A,PPL!$A73,DATA!E:E)</f>
        <v>30</v>
      </c>
      <c r="H73">
        <f>SUMIF(DATA!$A:$A,PPL!$A73,DATA!F:F)</f>
        <v>418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15</v>
      </c>
      <c r="L73">
        <f>SUMIF(DATA!$A:$A,PPL!$A73,DATA!J:J)</f>
        <v>0</v>
      </c>
      <c r="M73">
        <f t="shared" si="1"/>
        <v>49</v>
      </c>
    </row>
    <row r="74" spans="1:13" x14ac:dyDescent="0.25">
      <c r="A74" t="s">
        <v>77</v>
      </c>
      <c r="B74" t="s">
        <v>319</v>
      </c>
      <c r="C74" t="s">
        <v>171</v>
      </c>
      <c r="D74" t="s">
        <v>195</v>
      </c>
      <c r="E74">
        <f>SUMIF(DATA!$A:$A,PPL!$A74,DATA!C:C)</f>
        <v>431</v>
      </c>
      <c r="F74">
        <f>SUMIF(DATA!$A:$A,PPL!$A74,DATA!D:D)</f>
        <v>20</v>
      </c>
      <c r="G74">
        <f>SUMIF(DATA!$A:$A,PPL!$A74,DATA!E:E)</f>
        <v>17</v>
      </c>
      <c r="H74">
        <f>SUMIF(DATA!$A:$A,PPL!$A74,DATA!F:F)</f>
        <v>382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12</v>
      </c>
      <c r="L74">
        <f>SUMIF(DATA!$A:$A,PPL!$A74,DATA!J:J)</f>
        <v>0</v>
      </c>
      <c r="M74">
        <f t="shared" si="1"/>
        <v>49</v>
      </c>
    </row>
    <row r="75" spans="1:13" x14ac:dyDescent="0.25">
      <c r="A75" t="s">
        <v>78</v>
      </c>
      <c r="B75" t="s">
        <v>320</v>
      </c>
      <c r="C75" t="s">
        <v>171</v>
      </c>
      <c r="D75" t="s">
        <v>195</v>
      </c>
      <c r="E75">
        <f>SUMIF(DATA!$A:$A,PPL!$A75,DATA!C:C)</f>
        <v>522</v>
      </c>
      <c r="F75">
        <f>SUMIF(DATA!$A:$A,PPL!$A75,DATA!D:D)</f>
        <v>7</v>
      </c>
      <c r="G75">
        <f>SUMIF(DATA!$A:$A,PPL!$A75,DATA!E:E)</f>
        <v>19</v>
      </c>
      <c r="H75">
        <f>SUMIF(DATA!$A:$A,PPL!$A75,DATA!F:F)</f>
        <v>476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20</v>
      </c>
      <c r="L75">
        <f>SUMIF(DATA!$A:$A,PPL!$A75,DATA!J:J)</f>
        <v>0</v>
      </c>
      <c r="M75">
        <f t="shared" si="1"/>
        <v>46</v>
      </c>
    </row>
    <row r="76" spans="1:13" x14ac:dyDescent="0.25">
      <c r="A76" t="s">
        <v>79</v>
      </c>
      <c r="B76" t="s">
        <v>321</v>
      </c>
      <c r="C76" t="s">
        <v>171</v>
      </c>
      <c r="D76" t="s">
        <v>195</v>
      </c>
      <c r="E76">
        <f>SUMIF(DATA!$A:$A,PPL!$A76,DATA!C:C)</f>
        <v>466</v>
      </c>
      <c r="F76">
        <f>SUMIF(DATA!$A:$A,PPL!$A76,DATA!D:D)</f>
        <v>4</v>
      </c>
      <c r="G76">
        <f>SUMIF(DATA!$A:$A,PPL!$A76,DATA!E:E)</f>
        <v>16</v>
      </c>
      <c r="H76">
        <f>SUMIF(DATA!$A:$A,PPL!$A76,DATA!F:F)</f>
        <v>437</v>
      </c>
      <c r="I76">
        <f>SUMIF(DATA!$A:$A,PPL!$A76,DATA!G:G)</f>
        <v>4</v>
      </c>
      <c r="J76">
        <f>SUMIF(DATA!$A:$A,PPL!$A76,DATA!H:H)</f>
        <v>0</v>
      </c>
      <c r="K76">
        <f>SUMIF(DATA!$A:$A,PPL!$A76,DATA!I:I)</f>
        <v>5</v>
      </c>
      <c r="L76">
        <f>SUMIF(DATA!$A:$A,PPL!$A76,DATA!J:J)</f>
        <v>0</v>
      </c>
      <c r="M76">
        <f t="shared" si="1"/>
        <v>29</v>
      </c>
    </row>
    <row r="77" spans="1:13" x14ac:dyDescent="0.25">
      <c r="A77" t="s">
        <v>80</v>
      </c>
      <c r="B77" t="s">
        <v>322</v>
      </c>
      <c r="C77" t="s">
        <v>171</v>
      </c>
      <c r="D77" t="s">
        <v>195</v>
      </c>
      <c r="E77">
        <f>SUMIF(DATA!$A:$A,PPL!$A77,DATA!C:C)</f>
        <v>465</v>
      </c>
      <c r="F77">
        <f>SUMIF(DATA!$A:$A,PPL!$A77,DATA!D:D)</f>
        <v>0</v>
      </c>
      <c r="G77">
        <f>SUMIF(DATA!$A:$A,PPL!$A77,DATA!E:E)</f>
        <v>1</v>
      </c>
      <c r="H77">
        <f>SUMIF(DATA!$A:$A,PPL!$A77,DATA!F:F)</f>
        <v>430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34</v>
      </c>
      <c r="L77">
        <f>SUMIF(DATA!$A:$A,PPL!$A77,DATA!J:J)</f>
        <v>0</v>
      </c>
      <c r="M77">
        <f t="shared" si="1"/>
        <v>35</v>
      </c>
    </row>
    <row r="78" spans="1:13" x14ac:dyDescent="0.25">
      <c r="A78" t="s">
        <v>81</v>
      </c>
      <c r="B78" t="s">
        <v>323</v>
      </c>
      <c r="C78" t="s">
        <v>171</v>
      </c>
      <c r="D78" t="s">
        <v>195</v>
      </c>
      <c r="E78">
        <f>SUMIF(DATA!$A:$A,PPL!$A78,DATA!C:C)</f>
        <v>489</v>
      </c>
      <c r="F78">
        <f>SUMIF(DATA!$A:$A,PPL!$A78,DATA!D:D)</f>
        <v>0</v>
      </c>
      <c r="G78">
        <f>SUMIF(DATA!$A:$A,PPL!$A78,DATA!E:E)</f>
        <v>3</v>
      </c>
      <c r="H78">
        <f>SUMIF(DATA!$A:$A,PPL!$A78,DATA!F:F)</f>
        <v>451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35</v>
      </c>
      <c r="L78">
        <f>SUMIF(DATA!$A:$A,PPL!$A78,DATA!J:J)</f>
        <v>0</v>
      </c>
      <c r="M78">
        <f t="shared" si="1"/>
        <v>38</v>
      </c>
    </row>
    <row r="79" spans="1:13" x14ac:dyDescent="0.25">
      <c r="A79" t="s">
        <v>82</v>
      </c>
      <c r="B79" t="s">
        <v>324</v>
      </c>
      <c r="C79" t="s">
        <v>172</v>
      </c>
      <c r="D79" t="s">
        <v>193</v>
      </c>
      <c r="E79">
        <f>SUMIF(DATA!$A:$A,PPL!$A79,DATA!C:C)</f>
        <v>423</v>
      </c>
      <c r="F79">
        <f>SUMIF(DATA!$A:$A,PPL!$A79,DATA!D:D)</f>
        <v>0</v>
      </c>
      <c r="G79">
        <f>SUMIF(DATA!$A:$A,PPL!$A79,DATA!E:E)</f>
        <v>0</v>
      </c>
      <c r="H79">
        <f>SUMIF(DATA!$A:$A,PPL!$A79,DATA!F:F)</f>
        <v>391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32</v>
      </c>
      <c r="L79">
        <f>SUMIF(DATA!$A:$A,PPL!$A79,DATA!J:J)</f>
        <v>0</v>
      </c>
      <c r="M79">
        <f t="shared" si="1"/>
        <v>32</v>
      </c>
    </row>
    <row r="80" spans="1:13" x14ac:dyDescent="0.25">
      <c r="A80" t="s">
        <v>83</v>
      </c>
      <c r="B80" t="s">
        <v>325</v>
      </c>
      <c r="C80" t="s">
        <v>172</v>
      </c>
      <c r="D80" t="s">
        <v>193</v>
      </c>
      <c r="E80">
        <f>SUMIF(DATA!$A:$A,PPL!$A80,DATA!C:C)</f>
        <v>417</v>
      </c>
      <c r="F80">
        <f>SUMIF(DATA!$A:$A,PPL!$A80,DATA!D:D)</f>
        <v>0</v>
      </c>
      <c r="G80">
        <f>SUMIF(DATA!$A:$A,PPL!$A80,DATA!E:E)</f>
        <v>1</v>
      </c>
      <c r="H80">
        <f>SUMIF(DATA!$A:$A,PPL!$A80,DATA!F:F)</f>
        <v>374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42</v>
      </c>
      <c r="L80">
        <f>SUMIF(DATA!$A:$A,PPL!$A80,DATA!J:J)</f>
        <v>0</v>
      </c>
      <c r="M80">
        <f t="shared" si="1"/>
        <v>43</v>
      </c>
    </row>
    <row r="81" spans="1:13" x14ac:dyDescent="0.25">
      <c r="A81" t="s">
        <v>84</v>
      </c>
      <c r="B81" t="s">
        <v>326</v>
      </c>
      <c r="C81" t="s">
        <v>172</v>
      </c>
      <c r="D81" t="s">
        <v>193</v>
      </c>
      <c r="E81">
        <f>SUMIF(DATA!$A:$A,PPL!$A81,DATA!C:C)</f>
        <v>447</v>
      </c>
      <c r="F81">
        <f>SUMIF(DATA!$A:$A,PPL!$A81,DATA!D:D)</f>
        <v>0</v>
      </c>
      <c r="G81">
        <f>SUMIF(DATA!$A:$A,PPL!$A81,DATA!E:E)</f>
        <v>2</v>
      </c>
      <c r="H81">
        <f>SUMIF(DATA!$A:$A,PPL!$A81,DATA!F:F)</f>
        <v>419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26</v>
      </c>
      <c r="L81">
        <f>SUMIF(DATA!$A:$A,PPL!$A81,DATA!J:J)</f>
        <v>0</v>
      </c>
      <c r="M81">
        <f t="shared" si="1"/>
        <v>28</v>
      </c>
    </row>
    <row r="82" spans="1:13" x14ac:dyDescent="0.25">
      <c r="A82" t="s">
        <v>85</v>
      </c>
      <c r="B82" t="s">
        <v>327</v>
      </c>
      <c r="C82" t="s">
        <v>172</v>
      </c>
      <c r="D82" t="s">
        <v>193</v>
      </c>
      <c r="E82">
        <f>SUMIF(DATA!$A:$A,PPL!$A82,DATA!C:C)</f>
        <v>421</v>
      </c>
      <c r="F82">
        <f>SUMIF(DATA!$A:$A,PPL!$A82,DATA!D:D)</f>
        <v>0</v>
      </c>
      <c r="G82">
        <f>SUMIF(DATA!$A:$A,PPL!$A82,DATA!E:E)</f>
        <v>4</v>
      </c>
      <c r="H82">
        <f>SUMIF(DATA!$A:$A,PPL!$A82,DATA!F:F)</f>
        <v>389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28</v>
      </c>
      <c r="L82">
        <f>SUMIF(DATA!$A:$A,PPL!$A82,DATA!J:J)</f>
        <v>0</v>
      </c>
      <c r="M82">
        <f t="shared" si="1"/>
        <v>32</v>
      </c>
    </row>
    <row r="83" spans="1:13" x14ac:dyDescent="0.25">
      <c r="A83" t="s">
        <v>86</v>
      </c>
      <c r="B83" t="s">
        <v>328</v>
      </c>
      <c r="C83" t="s">
        <v>172</v>
      </c>
      <c r="D83" t="s">
        <v>193</v>
      </c>
      <c r="E83">
        <f>SUMIF(DATA!$A:$A,PPL!$A83,DATA!C:C)</f>
        <v>423</v>
      </c>
      <c r="F83">
        <f>SUMIF(DATA!$A:$A,PPL!$A83,DATA!D:D)</f>
        <v>0</v>
      </c>
      <c r="G83">
        <f>SUMIF(DATA!$A:$A,PPL!$A83,DATA!E:E)</f>
        <v>1</v>
      </c>
      <c r="H83">
        <f>SUMIF(DATA!$A:$A,PPL!$A83,DATA!F:F)</f>
        <v>386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36</v>
      </c>
      <c r="L83">
        <f>SUMIF(DATA!$A:$A,PPL!$A83,DATA!J:J)</f>
        <v>0</v>
      </c>
      <c r="M83">
        <f t="shared" si="1"/>
        <v>37</v>
      </c>
    </row>
    <row r="84" spans="1:13" x14ac:dyDescent="0.25">
      <c r="A84" t="s">
        <v>87</v>
      </c>
      <c r="B84" t="s">
        <v>329</v>
      </c>
      <c r="C84" t="s">
        <v>172</v>
      </c>
      <c r="D84" t="s">
        <v>193</v>
      </c>
      <c r="E84">
        <f>SUMIF(DATA!$A:$A,PPL!$A84,DATA!C:C)</f>
        <v>391</v>
      </c>
      <c r="F84">
        <f>SUMIF(DATA!$A:$A,PPL!$A84,DATA!D:D)</f>
        <v>0</v>
      </c>
      <c r="G84">
        <f>SUMIF(DATA!$A:$A,PPL!$A84,DATA!E:E)</f>
        <v>1</v>
      </c>
      <c r="H84">
        <f>SUMIF(DATA!$A:$A,PPL!$A84,DATA!F:F)</f>
        <v>349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41</v>
      </c>
      <c r="L84">
        <f>SUMIF(DATA!$A:$A,PPL!$A84,DATA!J:J)</f>
        <v>0</v>
      </c>
      <c r="M84">
        <f t="shared" si="1"/>
        <v>42</v>
      </c>
    </row>
    <row r="85" spans="1:13" x14ac:dyDescent="0.25">
      <c r="A85" t="s">
        <v>88</v>
      </c>
      <c r="B85" t="s">
        <v>330</v>
      </c>
      <c r="C85" t="s">
        <v>172</v>
      </c>
      <c r="D85" t="s">
        <v>193</v>
      </c>
      <c r="E85">
        <f>SUMIF(DATA!$A:$A,PPL!$A85,DATA!C:C)</f>
        <v>413</v>
      </c>
      <c r="F85">
        <f>SUMIF(DATA!$A:$A,PPL!$A85,DATA!D:D)</f>
        <v>0</v>
      </c>
      <c r="G85">
        <f>SUMIF(DATA!$A:$A,PPL!$A85,DATA!E:E)</f>
        <v>0</v>
      </c>
      <c r="H85">
        <f>SUMIF(DATA!$A:$A,PPL!$A85,DATA!F:F)</f>
        <v>359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54</v>
      </c>
      <c r="L85">
        <f>SUMIF(DATA!$A:$A,PPL!$A85,DATA!J:J)</f>
        <v>0</v>
      </c>
      <c r="M85">
        <f t="shared" si="1"/>
        <v>54</v>
      </c>
    </row>
    <row r="86" spans="1:13" x14ac:dyDescent="0.25">
      <c r="A86" t="s">
        <v>89</v>
      </c>
      <c r="B86" t="s">
        <v>331</v>
      </c>
      <c r="C86" t="s">
        <v>172</v>
      </c>
      <c r="D86" t="s">
        <v>193</v>
      </c>
      <c r="E86">
        <f>SUMIF(DATA!$A:$A,PPL!$A86,DATA!C:C)</f>
        <v>396</v>
      </c>
      <c r="F86">
        <f>SUMIF(DATA!$A:$A,PPL!$A86,DATA!D:D)</f>
        <v>0</v>
      </c>
      <c r="G86">
        <f>SUMIF(DATA!$A:$A,PPL!$A86,DATA!E:E)</f>
        <v>0</v>
      </c>
      <c r="H86">
        <f>SUMIF(DATA!$A:$A,PPL!$A86,DATA!F:F)</f>
        <v>360</v>
      </c>
      <c r="I86">
        <f>SUMIF(DATA!$A:$A,PPL!$A86,DATA!G:G)</f>
        <v>7</v>
      </c>
      <c r="J86">
        <f>SUMIF(DATA!$A:$A,PPL!$A86,DATA!H:H)</f>
        <v>0</v>
      </c>
      <c r="K86">
        <f>SUMIF(DATA!$A:$A,PPL!$A86,DATA!I:I)</f>
        <v>29</v>
      </c>
      <c r="L86">
        <f>SUMIF(DATA!$A:$A,PPL!$A86,DATA!J:J)</f>
        <v>0</v>
      </c>
      <c r="M86">
        <f t="shared" si="1"/>
        <v>36</v>
      </c>
    </row>
    <row r="87" spans="1:13" x14ac:dyDescent="0.25">
      <c r="A87" t="s">
        <v>90</v>
      </c>
      <c r="B87" t="s">
        <v>332</v>
      </c>
      <c r="C87" t="s">
        <v>173</v>
      </c>
      <c r="D87" t="s">
        <v>186</v>
      </c>
      <c r="E87">
        <f>SUMIF(DATA!$A:$A,PPL!$A87,DATA!C:C)</f>
        <v>628</v>
      </c>
      <c r="F87">
        <f>SUMIF(DATA!$A:$A,PPL!$A87,DATA!D:D)</f>
        <v>12</v>
      </c>
      <c r="G87">
        <f>SUMIF(DATA!$A:$A,PPL!$A87,DATA!E:E)</f>
        <v>2</v>
      </c>
      <c r="H87">
        <f>SUMIF(DATA!$A:$A,PPL!$A87,DATA!F:F)</f>
        <v>572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42</v>
      </c>
      <c r="L87">
        <f>SUMIF(DATA!$A:$A,PPL!$A87,DATA!J:J)</f>
        <v>0</v>
      </c>
      <c r="M87">
        <f t="shared" si="1"/>
        <v>56</v>
      </c>
    </row>
    <row r="88" spans="1:13" x14ac:dyDescent="0.25">
      <c r="A88" t="s">
        <v>91</v>
      </c>
      <c r="B88" t="s">
        <v>333</v>
      </c>
      <c r="C88" t="s">
        <v>174</v>
      </c>
      <c r="D88" t="s">
        <v>185</v>
      </c>
      <c r="E88">
        <f>SUMIF(DATA!$A:$A,PPL!$A88,DATA!C:C)</f>
        <v>604</v>
      </c>
      <c r="F88">
        <f>SUMIF(DATA!$A:$A,PPL!$A88,DATA!D:D)</f>
        <v>6</v>
      </c>
      <c r="G88">
        <f>SUMIF(DATA!$A:$A,PPL!$A88,DATA!E:E)</f>
        <v>0</v>
      </c>
      <c r="H88">
        <f>SUMIF(DATA!$A:$A,PPL!$A88,DATA!F:F)</f>
        <v>517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81</v>
      </c>
      <c r="L88">
        <f>SUMIF(DATA!$A:$A,PPL!$A88,DATA!J:J)</f>
        <v>0</v>
      </c>
      <c r="M88">
        <f t="shared" si="1"/>
        <v>87</v>
      </c>
    </row>
    <row r="89" spans="1:13" x14ac:dyDescent="0.25">
      <c r="A89" t="s">
        <v>92</v>
      </c>
      <c r="B89" t="s">
        <v>334</v>
      </c>
      <c r="C89" t="s">
        <v>175</v>
      </c>
      <c r="D89" t="s">
        <v>188</v>
      </c>
      <c r="E89">
        <f>SUMIF(DATA!$A:$A,PPL!$A89,DATA!C:C)</f>
        <v>561</v>
      </c>
      <c r="F89">
        <f>SUMIF(DATA!$A:$A,PPL!$A89,DATA!D:D)</f>
        <v>12</v>
      </c>
      <c r="G89">
        <f>SUMIF(DATA!$A:$A,PPL!$A89,DATA!E:E)</f>
        <v>19</v>
      </c>
      <c r="H89">
        <f>SUMIF(DATA!$A:$A,PPL!$A89,DATA!F:F)</f>
        <v>482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48</v>
      </c>
      <c r="L89">
        <f>SUMIF(DATA!$A:$A,PPL!$A89,DATA!J:J)</f>
        <v>0</v>
      </c>
      <c r="M89">
        <f t="shared" si="1"/>
        <v>79</v>
      </c>
    </row>
    <row r="90" spans="1:13" x14ac:dyDescent="0.25">
      <c r="A90" t="s">
        <v>93</v>
      </c>
      <c r="B90" t="s">
        <v>335</v>
      </c>
      <c r="C90" t="s">
        <v>173</v>
      </c>
      <c r="D90" t="s">
        <v>186</v>
      </c>
      <c r="E90">
        <f>SUMIF(DATA!$A:$A,PPL!$A90,DATA!C:C)</f>
        <v>577</v>
      </c>
      <c r="F90">
        <f>SUMIF(DATA!$A:$A,PPL!$A90,DATA!D:D)</f>
        <v>6</v>
      </c>
      <c r="G90">
        <f>SUMIF(DATA!$A:$A,PPL!$A90,DATA!E:E)</f>
        <v>23</v>
      </c>
      <c r="H90">
        <f>SUMIF(DATA!$A:$A,PPL!$A90,DATA!F:F)</f>
        <v>531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17</v>
      </c>
      <c r="L90">
        <f>SUMIF(DATA!$A:$A,PPL!$A90,DATA!J:J)</f>
        <v>0</v>
      </c>
      <c r="M90">
        <f t="shared" si="1"/>
        <v>46</v>
      </c>
    </row>
    <row r="91" spans="1:13" x14ac:dyDescent="0.25">
      <c r="A91" t="s">
        <v>94</v>
      </c>
      <c r="B91" t="s">
        <v>336</v>
      </c>
      <c r="C91" t="s">
        <v>174</v>
      </c>
      <c r="D91" t="s">
        <v>185</v>
      </c>
      <c r="E91">
        <f>SUMIF(DATA!$A:$A,PPL!$A91,DATA!C:C)</f>
        <v>547</v>
      </c>
      <c r="F91">
        <f>SUMIF(DATA!$A:$A,PPL!$A91,DATA!D:D)</f>
        <v>0</v>
      </c>
      <c r="G91">
        <f>SUMIF(DATA!$A:$A,PPL!$A91,DATA!E:E)</f>
        <v>9</v>
      </c>
      <c r="H91">
        <f>SUMIF(DATA!$A:$A,PPL!$A91,DATA!F:F)</f>
        <v>505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33</v>
      </c>
      <c r="L91">
        <f>SUMIF(DATA!$A:$A,PPL!$A91,DATA!J:J)</f>
        <v>0</v>
      </c>
      <c r="M91">
        <f t="shared" si="1"/>
        <v>42</v>
      </c>
    </row>
    <row r="92" spans="1:13" x14ac:dyDescent="0.25">
      <c r="A92" t="s">
        <v>95</v>
      </c>
      <c r="B92" t="s">
        <v>337</v>
      </c>
      <c r="C92" t="s">
        <v>173</v>
      </c>
      <c r="D92" t="s">
        <v>186</v>
      </c>
      <c r="E92">
        <f>SUMIF(DATA!$A:$A,PPL!$A92,DATA!C:C)</f>
        <v>566</v>
      </c>
      <c r="F92">
        <f>SUMIF(DATA!$A:$A,PPL!$A92,DATA!D:D)</f>
        <v>9</v>
      </c>
      <c r="G92">
        <f>SUMIF(DATA!$A:$A,PPL!$A92,DATA!E:E)</f>
        <v>2</v>
      </c>
      <c r="H92">
        <f>SUMIF(DATA!$A:$A,PPL!$A92,DATA!F:F)</f>
        <v>519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36</v>
      </c>
      <c r="L92">
        <f>SUMIF(DATA!$A:$A,PPL!$A92,DATA!J:J)</f>
        <v>0</v>
      </c>
      <c r="M92">
        <f t="shared" si="1"/>
        <v>47</v>
      </c>
    </row>
    <row r="93" spans="1:13" x14ac:dyDescent="0.25">
      <c r="A93" t="s">
        <v>96</v>
      </c>
      <c r="B93" t="s">
        <v>338</v>
      </c>
      <c r="C93" t="s">
        <v>175</v>
      </c>
      <c r="D93" t="s">
        <v>188</v>
      </c>
      <c r="E93">
        <f>SUMIF(DATA!$A:$A,PPL!$A93,DATA!C:C)</f>
        <v>574</v>
      </c>
      <c r="F93">
        <f>SUMIF(DATA!$A:$A,PPL!$A93,DATA!D:D)</f>
        <v>0</v>
      </c>
      <c r="G93">
        <f>SUMIF(DATA!$A:$A,PPL!$A93,DATA!E:E)</f>
        <v>35</v>
      </c>
      <c r="H93">
        <f>SUMIF(DATA!$A:$A,PPL!$A93,DATA!F:F)</f>
        <v>520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19</v>
      </c>
      <c r="L93">
        <f>SUMIF(DATA!$A:$A,PPL!$A93,DATA!J:J)</f>
        <v>0</v>
      </c>
      <c r="M93">
        <f t="shared" si="1"/>
        <v>54</v>
      </c>
    </row>
    <row r="94" spans="1:13" x14ac:dyDescent="0.25">
      <c r="A94" t="s">
        <v>97</v>
      </c>
      <c r="B94" t="s">
        <v>339</v>
      </c>
      <c r="C94" t="s">
        <v>175</v>
      </c>
      <c r="D94" t="s">
        <v>188</v>
      </c>
      <c r="E94">
        <f>SUMIF(DATA!$A:$A,PPL!$A94,DATA!C:C)</f>
        <v>572</v>
      </c>
      <c r="F94">
        <f>SUMIF(DATA!$A:$A,PPL!$A94,DATA!D:D)</f>
        <v>1</v>
      </c>
      <c r="G94">
        <f>SUMIF(DATA!$A:$A,PPL!$A94,DATA!E:E)</f>
        <v>11</v>
      </c>
      <c r="H94">
        <f>SUMIF(DATA!$A:$A,PPL!$A94,DATA!F:F)</f>
        <v>498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61</v>
      </c>
      <c r="L94">
        <f>SUMIF(DATA!$A:$A,PPL!$A94,DATA!J:J)</f>
        <v>0</v>
      </c>
      <c r="M94">
        <f t="shared" si="1"/>
        <v>74</v>
      </c>
    </row>
    <row r="95" spans="1:13" x14ac:dyDescent="0.25">
      <c r="A95" t="s">
        <v>98</v>
      </c>
      <c r="B95" t="s">
        <v>340</v>
      </c>
      <c r="C95" t="s">
        <v>174</v>
      </c>
      <c r="D95" t="s">
        <v>185</v>
      </c>
      <c r="E95">
        <f>SUMIF(DATA!$A:$A,PPL!$A95,DATA!C:C)</f>
        <v>555</v>
      </c>
      <c r="F95">
        <f>SUMIF(DATA!$A:$A,PPL!$A95,DATA!D:D)</f>
        <v>5</v>
      </c>
      <c r="G95">
        <f>SUMIF(DATA!$A:$A,PPL!$A95,DATA!E:E)</f>
        <v>10</v>
      </c>
      <c r="H95">
        <f>SUMIF(DATA!$A:$A,PPL!$A95,DATA!F:F)</f>
        <v>502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38</v>
      </c>
      <c r="L95">
        <f>SUMIF(DATA!$A:$A,PPL!$A95,DATA!J:J)</f>
        <v>0</v>
      </c>
      <c r="M95">
        <f t="shared" si="1"/>
        <v>53</v>
      </c>
    </row>
    <row r="96" spans="1:13" x14ac:dyDescent="0.25">
      <c r="A96" t="s">
        <v>99</v>
      </c>
      <c r="B96" t="s">
        <v>341</v>
      </c>
      <c r="C96" t="s">
        <v>174</v>
      </c>
      <c r="D96" t="s">
        <v>185</v>
      </c>
      <c r="E96">
        <f>SUMIF(DATA!$A:$A,PPL!$A96,DATA!C:C)</f>
        <v>593</v>
      </c>
      <c r="F96">
        <f>SUMIF(DATA!$A:$A,PPL!$A96,DATA!D:D)</f>
        <v>3</v>
      </c>
      <c r="G96">
        <f>SUMIF(DATA!$A:$A,PPL!$A96,DATA!E:E)</f>
        <v>24</v>
      </c>
      <c r="H96">
        <f>SUMIF(DATA!$A:$A,PPL!$A96,DATA!F:F)</f>
        <v>531</v>
      </c>
      <c r="I96">
        <f>SUMIF(DATA!$A:$A,PPL!$A96,DATA!G:G)</f>
        <v>2</v>
      </c>
      <c r="J96">
        <f>SUMIF(DATA!$A:$A,PPL!$A96,DATA!H:H)</f>
        <v>0</v>
      </c>
      <c r="K96">
        <f>SUMIF(DATA!$A:$A,PPL!$A96,DATA!I:I)</f>
        <v>33</v>
      </c>
      <c r="L96">
        <f>SUMIF(DATA!$A:$A,PPL!$A96,DATA!J:J)</f>
        <v>0</v>
      </c>
      <c r="M96">
        <f t="shared" si="1"/>
        <v>62</v>
      </c>
    </row>
    <row r="97" spans="1:13" x14ac:dyDescent="0.25">
      <c r="A97" t="s">
        <v>100</v>
      </c>
      <c r="B97" t="s">
        <v>342</v>
      </c>
      <c r="C97" t="s">
        <v>175</v>
      </c>
      <c r="D97" t="s">
        <v>188</v>
      </c>
      <c r="E97">
        <f>SUMIF(DATA!$A:$A,PPL!$A97,DATA!C:C)</f>
        <v>570</v>
      </c>
      <c r="F97">
        <f>SUMIF(DATA!$A:$A,PPL!$A97,DATA!D:D)</f>
        <v>0</v>
      </c>
      <c r="G97">
        <f>SUMIF(DATA!$A:$A,PPL!$A97,DATA!E:E)</f>
        <v>14</v>
      </c>
      <c r="H97">
        <f>SUMIF(DATA!$A:$A,PPL!$A97,DATA!F:F)</f>
        <v>545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11</v>
      </c>
      <c r="L97">
        <f>SUMIF(DATA!$A:$A,PPL!$A97,DATA!J:J)</f>
        <v>0</v>
      </c>
      <c r="M97">
        <f t="shared" si="1"/>
        <v>25</v>
      </c>
    </row>
    <row r="98" spans="1:13" x14ac:dyDescent="0.25">
      <c r="A98" t="s">
        <v>101</v>
      </c>
      <c r="B98" t="s">
        <v>343</v>
      </c>
      <c r="C98" t="s">
        <v>175</v>
      </c>
      <c r="D98" t="s">
        <v>188</v>
      </c>
      <c r="E98">
        <f>SUMIF(DATA!$A:$A,PPL!$A98,DATA!C:C)</f>
        <v>589</v>
      </c>
      <c r="F98">
        <f>SUMIF(DATA!$A:$A,PPL!$A98,DATA!D:D)</f>
        <v>34</v>
      </c>
      <c r="G98">
        <f>SUMIF(DATA!$A:$A,PPL!$A98,DATA!E:E)</f>
        <v>0</v>
      </c>
      <c r="H98">
        <f>SUMIF(DATA!$A:$A,PPL!$A98,DATA!F:F)</f>
        <v>478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77</v>
      </c>
      <c r="L98">
        <f>SUMIF(DATA!$A:$A,PPL!$A98,DATA!J:J)</f>
        <v>0</v>
      </c>
      <c r="M98">
        <f t="shared" si="1"/>
        <v>111</v>
      </c>
    </row>
    <row r="99" spans="1:13" x14ac:dyDescent="0.25">
      <c r="A99" t="s">
        <v>102</v>
      </c>
      <c r="B99" t="s">
        <v>344</v>
      </c>
      <c r="C99" t="s">
        <v>175</v>
      </c>
      <c r="D99" t="s">
        <v>188</v>
      </c>
      <c r="E99">
        <f>SUMIF(DATA!$A:$A,PPL!$A99,DATA!C:C)</f>
        <v>583</v>
      </c>
      <c r="F99">
        <f>SUMIF(DATA!$A:$A,PPL!$A99,DATA!D:D)</f>
        <v>1</v>
      </c>
      <c r="G99">
        <f>SUMIF(DATA!$A:$A,PPL!$A99,DATA!E:E)</f>
        <v>2</v>
      </c>
      <c r="H99">
        <f>SUMIF(DATA!$A:$A,PPL!$A99,DATA!F:F)</f>
        <v>566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14</v>
      </c>
      <c r="L99">
        <f>SUMIF(DATA!$A:$A,PPL!$A99,DATA!J:J)</f>
        <v>0</v>
      </c>
      <c r="M99">
        <f t="shared" si="1"/>
        <v>17</v>
      </c>
    </row>
    <row r="100" spans="1:13" x14ac:dyDescent="0.25">
      <c r="A100" t="s">
        <v>103</v>
      </c>
      <c r="B100" t="s">
        <v>345</v>
      </c>
      <c r="C100" t="s">
        <v>173</v>
      </c>
      <c r="D100" t="s">
        <v>186</v>
      </c>
      <c r="E100">
        <f>SUMIF(DATA!$A:$A,PPL!$A100,DATA!C:C)</f>
        <v>566</v>
      </c>
      <c r="F100">
        <f>SUMIF(DATA!$A:$A,PPL!$A100,DATA!D:D)</f>
        <v>2</v>
      </c>
      <c r="G100">
        <f>SUMIF(DATA!$A:$A,PPL!$A100,DATA!E:E)</f>
        <v>3</v>
      </c>
      <c r="H100">
        <f>SUMIF(DATA!$A:$A,PPL!$A100,DATA!F:F)</f>
        <v>466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95</v>
      </c>
      <c r="L100">
        <f>SUMIF(DATA!$A:$A,PPL!$A100,DATA!J:J)</f>
        <v>0</v>
      </c>
      <c r="M100">
        <f t="shared" si="1"/>
        <v>100</v>
      </c>
    </row>
    <row r="101" spans="1:13" x14ac:dyDescent="0.25">
      <c r="A101" t="s">
        <v>104</v>
      </c>
      <c r="B101" t="s">
        <v>346</v>
      </c>
      <c r="C101" t="s">
        <v>173</v>
      </c>
      <c r="D101" t="s">
        <v>186</v>
      </c>
      <c r="E101">
        <f>SUMIF(DATA!$A:$A,PPL!$A101,DATA!C:C)</f>
        <v>597</v>
      </c>
      <c r="F101">
        <f>SUMIF(DATA!$A:$A,PPL!$A101,DATA!D:D)</f>
        <v>1</v>
      </c>
      <c r="G101">
        <f>SUMIF(DATA!$A:$A,PPL!$A101,DATA!E:E)</f>
        <v>19</v>
      </c>
      <c r="H101">
        <f>SUMIF(DATA!$A:$A,PPL!$A101,DATA!F:F)</f>
        <v>509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68</v>
      </c>
      <c r="L101">
        <f>SUMIF(DATA!$A:$A,PPL!$A101,DATA!J:J)</f>
        <v>0</v>
      </c>
      <c r="M101">
        <f t="shared" si="1"/>
        <v>88</v>
      </c>
    </row>
    <row r="102" spans="1:13" x14ac:dyDescent="0.25">
      <c r="A102" t="s">
        <v>105</v>
      </c>
      <c r="B102" t="s">
        <v>347</v>
      </c>
      <c r="C102" t="s">
        <v>175</v>
      </c>
      <c r="D102" t="s">
        <v>188</v>
      </c>
      <c r="E102">
        <f>SUMIF(DATA!$A:$A,PPL!$A102,DATA!C:C)</f>
        <v>379</v>
      </c>
      <c r="F102">
        <f>SUMIF(DATA!$A:$A,PPL!$A102,DATA!D:D)</f>
        <v>2</v>
      </c>
      <c r="G102">
        <f>SUMIF(DATA!$A:$A,PPL!$A102,DATA!E:E)</f>
        <v>20</v>
      </c>
      <c r="H102">
        <f>SUMIF(DATA!$A:$A,PPL!$A102,DATA!F:F)</f>
        <v>304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53</v>
      </c>
      <c r="L102">
        <f>SUMIF(DATA!$A:$A,PPL!$A102,DATA!J:J)</f>
        <v>0</v>
      </c>
      <c r="M102">
        <f t="shared" si="1"/>
        <v>75</v>
      </c>
    </row>
    <row r="103" spans="1:13" x14ac:dyDescent="0.25">
      <c r="A103" t="s">
        <v>106</v>
      </c>
      <c r="B103" t="s">
        <v>348</v>
      </c>
      <c r="C103" t="s">
        <v>174</v>
      </c>
      <c r="D103" t="s">
        <v>185</v>
      </c>
      <c r="E103">
        <f>SUMIF(DATA!$A:$A,PPL!$A103,DATA!C:C)</f>
        <v>505</v>
      </c>
      <c r="F103">
        <f>SUMIF(DATA!$A:$A,PPL!$A103,DATA!D:D)</f>
        <v>0</v>
      </c>
      <c r="G103">
        <f>SUMIF(DATA!$A:$A,PPL!$A103,DATA!E:E)</f>
        <v>7</v>
      </c>
      <c r="H103">
        <f>SUMIF(DATA!$A:$A,PPL!$A103,DATA!F:F)</f>
        <v>453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45</v>
      </c>
      <c r="L103">
        <f>SUMIF(DATA!$A:$A,PPL!$A103,DATA!J:J)</f>
        <v>0</v>
      </c>
      <c r="M103">
        <f t="shared" si="1"/>
        <v>52</v>
      </c>
    </row>
    <row r="104" spans="1:13" x14ac:dyDescent="0.25">
      <c r="A104" t="s">
        <v>107</v>
      </c>
      <c r="B104" t="s">
        <v>349</v>
      </c>
      <c r="C104" t="s">
        <v>173</v>
      </c>
      <c r="D104" t="s">
        <v>186</v>
      </c>
      <c r="E104">
        <f>SUMIF(DATA!$A:$A,PPL!$A104,DATA!C:C)</f>
        <v>581</v>
      </c>
      <c r="F104">
        <f>SUMIF(DATA!$A:$A,PPL!$A104,DATA!D:D)</f>
        <v>13</v>
      </c>
      <c r="G104">
        <f>SUMIF(DATA!$A:$A,PPL!$A104,DATA!E:E)</f>
        <v>32</v>
      </c>
      <c r="H104">
        <f>SUMIF(DATA!$A:$A,PPL!$A104,DATA!F:F)</f>
        <v>508</v>
      </c>
      <c r="I104">
        <f>SUMIF(DATA!$A:$A,PPL!$A104,DATA!G:G)</f>
        <v>4</v>
      </c>
      <c r="J104">
        <f>SUMIF(DATA!$A:$A,PPL!$A104,DATA!H:H)</f>
        <v>0</v>
      </c>
      <c r="K104">
        <f>SUMIF(DATA!$A:$A,PPL!$A104,DATA!I:I)</f>
        <v>24</v>
      </c>
      <c r="L104">
        <f>SUMIF(DATA!$A:$A,PPL!$A104,DATA!J:J)</f>
        <v>0</v>
      </c>
      <c r="M104">
        <f t="shared" si="1"/>
        <v>73</v>
      </c>
    </row>
    <row r="105" spans="1:13" x14ac:dyDescent="0.25">
      <c r="A105" t="s">
        <v>108</v>
      </c>
      <c r="B105" t="s">
        <v>350</v>
      </c>
      <c r="C105" t="s">
        <v>174</v>
      </c>
      <c r="D105" t="s">
        <v>185</v>
      </c>
      <c r="E105">
        <f>SUMIF(DATA!$A:$A,PPL!$A105,DATA!C:C)</f>
        <v>588</v>
      </c>
      <c r="F105">
        <f>SUMIF(DATA!$A:$A,PPL!$A105,DATA!D:D)</f>
        <v>1</v>
      </c>
      <c r="G105">
        <f>SUMIF(DATA!$A:$A,PPL!$A105,DATA!E:E)</f>
        <v>25</v>
      </c>
      <c r="H105">
        <f>SUMIF(DATA!$A:$A,PPL!$A105,DATA!F:F)</f>
        <v>541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21</v>
      </c>
      <c r="L105">
        <f>SUMIF(DATA!$A:$A,PPL!$A105,DATA!J:J)</f>
        <v>0</v>
      </c>
      <c r="M105">
        <f t="shared" si="1"/>
        <v>47</v>
      </c>
    </row>
    <row r="106" spans="1:13" x14ac:dyDescent="0.25">
      <c r="A106" t="s">
        <v>109</v>
      </c>
      <c r="B106" t="s">
        <v>351</v>
      </c>
      <c r="C106" t="s">
        <v>176</v>
      </c>
      <c r="D106" t="s">
        <v>194</v>
      </c>
      <c r="E106">
        <f>SUMIF(DATA!$A:$A,PPL!$A106,DATA!C:C)</f>
        <v>582</v>
      </c>
      <c r="F106">
        <f>SUMIF(DATA!$A:$A,PPL!$A106,DATA!D:D)</f>
        <v>19</v>
      </c>
      <c r="G106">
        <f>SUMIF(DATA!$A:$A,PPL!$A106,DATA!E:E)</f>
        <v>33</v>
      </c>
      <c r="H106">
        <f>SUMIF(DATA!$A:$A,PPL!$A106,DATA!F:F)</f>
        <v>518</v>
      </c>
      <c r="I106">
        <f>SUMIF(DATA!$A:$A,PPL!$A106,DATA!G:G)</f>
        <v>4</v>
      </c>
      <c r="J106">
        <f>SUMIF(DATA!$A:$A,PPL!$A106,DATA!H:H)</f>
        <v>0</v>
      </c>
      <c r="K106">
        <f>SUMIF(DATA!$A:$A,PPL!$A106,DATA!I:I)</f>
        <v>8</v>
      </c>
      <c r="L106">
        <f>SUMIF(DATA!$A:$A,PPL!$A106,DATA!J:J)</f>
        <v>0</v>
      </c>
      <c r="M106">
        <f t="shared" si="1"/>
        <v>64</v>
      </c>
    </row>
    <row r="107" spans="1:13" x14ac:dyDescent="0.25">
      <c r="A107" t="s">
        <v>110</v>
      </c>
      <c r="B107" t="s">
        <v>352</v>
      </c>
      <c r="C107" t="s">
        <v>176</v>
      </c>
      <c r="D107" t="s">
        <v>194</v>
      </c>
      <c r="E107">
        <f>SUMIF(DATA!$A:$A,PPL!$A107,DATA!C:C)</f>
        <v>595</v>
      </c>
      <c r="F107">
        <f>SUMIF(DATA!$A:$A,PPL!$A107,DATA!D:D)</f>
        <v>4</v>
      </c>
      <c r="G107">
        <f>SUMIF(DATA!$A:$A,PPL!$A107,DATA!E:E)</f>
        <v>18</v>
      </c>
      <c r="H107">
        <f>SUMIF(DATA!$A:$A,PPL!$A107,DATA!F:F)</f>
        <v>534</v>
      </c>
      <c r="I107">
        <f>SUMIF(DATA!$A:$A,PPL!$A107,DATA!G:G)</f>
        <v>4</v>
      </c>
      <c r="J107">
        <f>SUMIF(DATA!$A:$A,PPL!$A107,DATA!H:H)</f>
        <v>0</v>
      </c>
      <c r="K107">
        <f>SUMIF(DATA!$A:$A,PPL!$A107,DATA!I:I)</f>
        <v>35</v>
      </c>
      <c r="L107">
        <f>SUMIF(DATA!$A:$A,PPL!$A107,DATA!J:J)</f>
        <v>0</v>
      </c>
      <c r="M107">
        <f t="shared" si="1"/>
        <v>61</v>
      </c>
    </row>
    <row r="108" spans="1:13" x14ac:dyDescent="0.25">
      <c r="A108" t="s">
        <v>111</v>
      </c>
      <c r="B108" t="s">
        <v>353</v>
      </c>
      <c r="C108" t="s">
        <v>176</v>
      </c>
      <c r="D108" t="s">
        <v>194</v>
      </c>
      <c r="E108">
        <f>SUMIF(DATA!$A:$A,PPL!$A108,DATA!C:C)</f>
        <v>589</v>
      </c>
      <c r="F108">
        <f>SUMIF(DATA!$A:$A,PPL!$A108,DATA!D:D)</f>
        <v>9</v>
      </c>
      <c r="G108">
        <f>SUMIF(DATA!$A:$A,PPL!$A108,DATA!E:E)</f>
        <v>11</v>
      </c>
      <c r="H108">
        <f>SUMIF(DATA!$A:$A,PPL!$A108,DATA!F:F)</f>
        <v>532</v>
      </c>
      <c r="I108">
        <f>SUMIF(DATA!$A:$A,PPL!$A108,DATA!G:G)</f>
        <v>10</v>
      </c>
      <c r="J108">
        <f>SUMIF(DATA!$A:$A,PPL!$A108,DATA!H:H)</f>
        <v>0</v>
      </c>
      <c r="K108">
        <f>SUMIF(DATA!$A:$A,PPL!$A108,DATA!I:I)</f>
        <v>27</v>
      </c>
      <c r="L108">
        <f>SUMIF(DATA!$A:$A,PPL!$A108,DATA!J:J)</f>
        <v>0</v>
      </c>
      <c r="M108">
        <f t="shared" si="1"/>
        <v>57</v>
      </c>
    </row>
    <row r="109" spans="1:13" x14ac:dyDescent="0.25">
      <c r="A109" t="s">
        <v>112</v>
      </c>
      <c r="B109" t="s">
        <v>354</v>
      </c>
      <c r="C109" t="s">
        <v>176</v>
      </c>
      <c r="D109" t="s">
        <v>194</v>
      </c>
      <c r="E109">
        <f>SUMIF(DATA!$A:$A,PPL!$A109,DATA!C:C)</f>
        <v>613</v>
      </c>
      <c r="F109">
        <f>SUMIF(DATA!$A:$A,PPL!$A109,DATA!D:D)</f>
        <v>13</v>
      </c>
      <c r="G109">
        <f>SUMIF(DATA!$A:$A,PPL!$A109,DATA!E:E)</f>
        <v>38</v>
      </c>
      <c r="H109">
        <f>SUMIF(DATA!$A:$A,PPL!$A109,DATA!F:F)</f>
        <v>529</v>
      </c>
      <c r="I109">
        <f>SUMIF(DATA!$A:$A,PPL!$A109,DATA!G:G)</f>
        <v>4</v>
      </c>
      <c r="J109">
        <f>SUMIF(DATA!$A:$A,PPL!$A109,DATA!H:H)</f>
        <v>0</v>
      </c>
      <c r="K109">
        <f>SUMIF(DATA!$A:$A,PPL!$A109,DATA!I:I)</f>
        <v>29</v>
      </c>
      <c r="L109">
        <f>SUMIF(DATA!$A:$A,PPL!$A109,DATA!J:J)</f>
        <v>0</v>
      </c>
      <c r="M109">
        <f t="shared" si="1"/>
        <v>84</v>
      </c>
    </row>
    <row r="110" spans="1:13" x14ac:dyDescent="0.25">
      <c r="A110" t="s">
        <v>113</v>
      </c>
      <c r="B110" t="s">
        <v>355</v>
      </c>
      <c r="C110" t="s">
        <v>177</v>
      </c>
      <c r="D110" t="s">
        <v>192</v>
      </c>
      <c r="E110">
        <f>SUMIF(DATA!$A:$A,PPL!$A110,DATA!C:C)</f>
        <v>607</v>
      </c>
      <c r="F110">
        <f>SUMIF(DATA!$A:$A,PPL!$A110,DATA!D:D)</f>
        <v>16</v>
      </c>
      <c r="G110">
        <f>SUMIF(DATA!$A:$A,PPL!$A110,DATA!E:E)</f>
        <v>15</v>
      </c>
      <c r="H110">
        <f>SUMIF(DATA!$A:$A,PPL!$A110,DATA!F:F)</f>
        <v>534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42</v>
      </c>
      <c r="L110">
        <f>SUMIF(DATA!$A:$A,PPL!$A110,DATA!J:J)</f>
        <v>0</v>
      </c>
      <c r="M110">
        <f t="shared" si="1"/>
        <v>73</v>
      </c>
    </row>
    <row r="111" spans="1:13" x14ac:dyDescent="0.25">
      <c r="A111" t="s">
        <v>114</v>
      </c>
      <c r="B111" t="s">
        <v>356</v>
      </c>
      <c r="C111" t="s">
        <v>178</v>
      </c>
      <c r="D111" t="s">
        <v>191</v>
      </c>
      <c r="E111">
        <f>SUMIF(DATA!$A:$A,PPL!$A111,DATA!C:C)</f>
        <v>595</v>
      </c>
      <c r="F111">
        <f>SUMIF(DATA!$A:$A,PPL!$A111,DATA!D:D)</f>
        <v>32</v>
      </c>
      <c r="G111">
        <f>SUMIF(DATA!$A:$A,PPL!$A111,DATA!E:E)</f>
        <v>18</v>
      </c>
      <c r="H111">
        <f>SUMIF(DATA!$A:$A,PPL!$A111,DATA!F:F)</f>
        <v>531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13</v>
      </c>
      <c r="L111">
        <f>SUMIF(DATA!$A:$A,PPL!$A111,DATA!J:J)</f>
        <v>0</v>
      </c>
      <c r="M111">
        <f t="shared" si="1"/>
        <v>64</v>
      </c>
    </row>
    <row r="112" spans="1:13" x14ac:dyDescent="0.25">
      <c r="A112" t="s">
        <v>115</v>
      </c>
      <c r="B112" t="s">
        <v>357</v>
      </c>
      <c r="C112" t="s">
        <v>178</v>
      </c>
      <c r="D112" t="s">
        <v>191</v>
      </c>
      <c r="E112">
        <f>SUMIF(DATA!$A:$A,PPL!$A112,DATA!C:C)</f>
        <v>571</v>
      </c>
      <c r="F112">
        <f>SUMIF(DATA!$A:$A,PPL!$A112,DATA!D:D)</f>
        <v>14</v>
      </c>
      <c r="G112">
        <f>SUMIF(DATA!$A:$A,PPL!$A112,DATA!E:E)</f>
        <v>17</v>
      </c>
      <c r="H112">
        <f>SUMIF(DATA!$A:$A,PPL!$A112,DATA!F:F)</f>
        <v>494</v>
      </c>
      <c r="I112">
        <f>SUMIF(DATA!$A:$A,PPL!$A112,DATA!G:G)</f>
        <v>6</v>
      </c>
      <c r="J112">
        <f>SUMIF(DATA!$A:$A,PPL!$A112,DATA!H:H)</f>
        <v>0</v>
      </c>
      <c r="K112">
        <f>SUMIF(DATA!$A:$A,PPL!$A112,DATA!I:I)</f>
        <v>40</v>
      </c>
      <c r="L112">
        <f>SUMIF(DATA!$A:$A,PPL!$A112,DATA!J:J)</f>
        <v>0</v>
      </c>
      <c r="M112">
        <f t="shared" si="1"/>
        <v>77</v>
      </c>
    </row>
    <row r="113" spans="1:13" x14ac:dyDescent="0.25">
      <c r="A113" t="s">
        <v>116</v>
      </c>
      <c r="B113" t="s">
        <v>358</v>
      </c>
      <c r="C113" t="s">
        <v>178</v>
      </c>
      <c r="D113" t="s">
        <v>191</v>
      </c>
      <c r="E113">
        <f>SUMIF(DATA!$A:$A,PPL!$A113,DATA!C:C)</f>
        <v>582</v>
      </c>
      <c r="F113">
        <f>SUMIF(DATA!$A:$A,PPL!$A113,DATA!D:D)</f>
        <v>96</v>
      </c>
      <c r="G113">
        <f>SUMIF(DATA!$A:$A,PPL!$A113,DATA!E:E)</f>
        <v>0</v>
      </c>
      <c r="H113">
        <f>SUMIF(DATA!$A:$A,PPL!$A113,DATA!F:F)</f>
        <v>452</v>
      </c>
      <c r="I113">
        <f>SUMIF(DATA!$A:$A,PPL!$A113,DATA!G:G)</f>
        <v>3</v>
      </c>
      <c r="J113">
        <f>SUMIF(DATA!$A:$A,PPL!$A113,DATA!H:H)</f>
        <v>0</v>
      </c>
      <c r="K113">
        <f>SUMIF(DATA!$A:$A,PPL!$A113,DATA!I:I)</f>
        <v>31</v>
      </c>
      <c r="L113">
        <f>SUMIF(DATA!$A:$A,PPL!$A113,DATA!J:J)</f>
        <v>0</v>
      </c>
      <c r="M113">
        <f t="shared" si="1"/>
        <v>130</v>
      </c>
    </row>
    <row r="114" spans="1:13" x14ac:dyDescent="0.25">
      <c r="A114" t="s">
        <v>117</v>
      </c>
      <c r="B114" t="s">
        <v>359</v>
      </c>
      <c r="C114" t="s">
        <v>178</v>
      </c>
      <c r="D114" t="s">
        <v>191</v>
      </c>
      <c r="E114">
        <f>SUMIF(DATA!$A:$A,PPL!$A114,DATA!C:C)</f>
        <v>585</v>
      </c>
      <c r="F114">
        <f>SUMIF(DATA!$A:$A,PPL!$A114,DATA!D:D)</f>
        <v>18</v>
      </c>
      <c r="G114">
        <f>SUMIF(DATA!$A:$A,PPL!$A114,DATA!E:E)</f>
        <v>33</v>
      </c>
      <c r="H114">
        <f>SUMIF(DATA!$A:$A,PPL!$A114,DATA!F:F)</f>
        <v>523</v>
      </c>
      <c r="I114">
        <f>SUMIF(DATA!$A:$A,PPL!$A114,DATA!G:G)</f>
        <v>2</v>
      </c>
      <c r="J114">
        <f>SUMIF(DATA!$A:$A,PPL!$A114,DATA!H:H)</f>
        <v>0</v>
      </c>
      <c r="K114">
        <f>SUMIF(DATA!$A:$A,PPL!$A114,DATA!I:I)</f>
        <v>9</v>
      </c>
      <c r="L114">
        <f>SUMIF(DATA!$A:$A,PPL!$A114,DATA!J:J)</f>
        <v>0</v>
      </c>
      <c r="M114">
        <f t="shared" si="1"/>
        <v>62</v>
      </c>
    </row>
    <row r="115" spans="1:13" x14ac:dyDescent="0.25">
      <c r="A115" t="s">
        <v>118</v>
      </c>
      <c r="B115" t="s">
        <v>360</v>
      </c>
      <c r="C115" t="s">
        <v>178</v>
      </c>
      <c r="D115" t="s">
        <v>191</v>
      </c>
      <c r="E115">
        <f>SUMIF(DATA!$A:$A,PPL!$A115,DATA!C:C)</f>
        <v>535</v>
      </c>
      <c r="F115">
        <f>SUMIF(DATA!$A:$A,PPL!$A115,DATA!D:D)</f>
        <v>7</v>
      </c>
      <c r="G115">
        <f>SUMIF(DATA!$A:$A,PPL!$A115,DATA!E:E)</f>
        <v>7</v>
      </c>
      <c r="H115">
        <f>SUMIF(DATA!$A:$A,PPL!$A115,DATA!F:F)</f>
        <v>510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10</v>
      </c>
      <c r="L115">
        <f>SUMIF(DATA!$A:$A,PPL!$A115,DATA!J:J)</f>
        <v>0</v>
      </c>
      <c r="M115">
        <f t="shared" si="1"/>
        <v>25</v>
      </c>
    </row>
    <row r="116" spans="1:13" x14ac:dyDescent="0.25">
      <c r="A116" t="s">
        <v>119</v>
      </c>
      <c r="B116" t="s">
        <v>361</v>
      </c>
      <c r="C116" t="s">
        <v>178</v>
      </c>
      <c r="D116" t="s">
        <v>191</v>
      </c>
      <c r="E116">
        <f>SUMIF(DATA!$A:$A,PPL!$A116,DATA!C:C)</f>
        <v>601</v>
      </c>
      <c r="F116">
        <f>SUMIF(DATA!$A:$A,PPL!$A116,DATA!D:D)</f>
        <v>5</v>
      </c>
      <c r="G116">
        <f>SUMIF(DATA!$A:$A,PPL!$A116,DATA!E:E)</f>
        <v>19</v>
      </c>
      <c r="H116">
        <f>SUMIF(DATA!$A:$A,PPL!$A116,DATA!F:F)</f>
        <v>559</v>
      </c>
      <c r="I116">
        <f>SUMIF(DATA!$A:$A,PPL!$A116,DATA!G:G)</f>
        <v>4</v>
      </c>
      <c r="J116">
        <f>SUMIF(DATA!$A:$A,PPL!$A116,DATA!H:H)</f>
        <v>0</v>
      </c>
      <c r="K116">
        <f>SUMIF(DATA!$A:$A,PPL!$A116,DATA!I:I)</f>
        <v>14</v>
      </c>
      <c r="L116">
        <f>SUMIF(DATA!$A:$A,PPL!$A116,DATA!J:J)</f>
        <v>0</v>
      </c>
      <c r="M116">
        <f t="shared" si="1"/>
        <v>42</v>
      </c>
    </row>
    <row r="117" spans="1:13" x14ac:dyDescent="0.25">
      <c r="A117" t="s">
        <v>120</v>
      </c>
      <c r="B117" t="s">
        <v>362</v>
      </c>
      <c r="C117" t="s">
        <v>176</v>
      </c>
      <c r="D117" t="s">
        <v>194</v>
      </c>
      <c r="E117">
        <f>SUMIF(DATA!$A:$A,PPL!$A117,DATA!C:C)</f>
        <v>616</v>
      </c>
      <c r="F117">
        <f>SUMIF(DATA!$A:$A,PPL!$A117,DATA!D:D)</f>
        <v>3</v>
      </c>
      <c r="G117">
        <f>SUMIF(DATA!$A:$A,PPL!$A117,DATA!E:E)</f>
        <v>17</v>
      </c>
      <c r="H117">
        <f>SUMIF(DATA!$A:$A,PPL!$A117,DATA!F:F)</f>
        <v>554</v>
      </c>
      <c r="I117">
        <f>SUMIF(DATA!$A:$A,PPL!$A117,DATA!G:G)</f>
        <v>30</v>
      </c>
      <c r="J117">
        <f>SUMIF(DATA!$A:$A,PPL!$A117,DATA!H:H)</f>
        <v>0</v>
      </c>
      <c r="K117">
        <f>SUMIF(DATA!$A:$A,PPL!$A117,DATA!I:I)</f>
        <v>12</v>
      </c>
      <c r="L117">
        <f>SUMIF(DATA!$A:$A,PPL!$A117,DATA!J:J)</f>
        <v>0</v>
      </c>
      <c r="M117">
        <f t="shared" si="1"/>
        <v>62</v>
      </c>
    </row>
    <row r="118" spans="1:13" x14ac:dyDescent="0.25">
      <c r="A118" t="s">
        <v>121</v>
      </c>
      <c r="B118" t="s">
        <v>363</v>
      </c>
      <c r="C118" t="s">
        <v>176</v>
      </c>
      <c r="D118" t="s">
        <v>194</v>
      </c>
      <c r="E118">
        <f>SUMIF(DATA!$A:$A,PPL!$A118,DATA!C:C)</f>
        <v>617</v>
      </c>
      <c r="F118">
        <f>SUMIF(DATA!$A:$A,PPL!$A118,DATA!D:D)</f>
        <v>0</v>
      </c>
      <c r="G118">
        <f>SUMIF(DATA!$A:$A,PPL!$A118,DATA!E:E)</f>
        <v>28</v>
      </c>
      <c r="H118">
        <f>SUMIF(DATA!$A:$A,PPL!$A118,DATA!F:F)</f>
        <v>549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38</v>
      </c>
      <c r="L118">
        <f>SUMIF(DATA!$A:$A,PPL!$A118,DATA!J:J)</f>
        <v>0</v>
      </c>
      <c r="M118">
        <f t="shared" si="1"/>
        <v>68</v>
      </c>
    </row>
    <row r="119" spans="1:13" x14ac:dyDescent="0.25">
      <c r="A119" t="s">
        <v>122</v>
      </c>
      <c r="B119" t="s">
        <v>364</v>
      </c>
      <c r="C119" t="s">
        <v>176</v>
      </c>
      <c r="D119" t="s">
        <v>194</v>
      </c>
      <c r="E119">
        <f>SUMIF(DATA!$A:$A,PPL!$A119,DATA!C:C)</f>
        <v>578</v>
      </c>
      <c r="F119">
        <f>SUMIF(DATA!$A:$A,PPL!$A119,DATA!D:D)</f>
        <v>3</v>
      </c>
      <c r="G119">
        <f>SUMIF(DATA!$A:$A,PPL!$A119,DATA!E:E)</f>
        <v>27</v>
      </c>
      <c r="H119">
        <f>SUMIF(DATA!$A:$A,PPL!$A119,DATA!F:F)</f>
        <v>525</v>
      </c>
      <c r="I119">
        <f>SUMIF(DATA!$A:$A,PPL!$A119,DATA!G:G)</f>
        <v>2</v>
      </c>
      <c r="J119">
        <f>SUMIF(DATA!$A:$A,PPL!$A119,DATA!H:H)</f>
        <v>0</v>
      </c>
      <c r="K119">
        <f>SUMIF(DATA!$A:$A,PPL!$A119,DATA!I:I)</f>
        <v>21</v>
      </c>
      <c r="L119">
        <f>SUMIF(DATA!$A:$A,PPL!$A119,DATA!J:J)</f>
        <v>0</v>
      </c>
      <c r="M119">
        <f t="shared" si="1"/>
        <v>53</v>
      </c>
    </row>
    <row r="120" spans="1:13" x14ac:dyDescent="0.25">
      <c r="A120" t="s">
        <v>123</v>
      </c>
      <c r="B120" t="s">
        <v>365</v>
      </c>
      <c r="C120" t="s">
        <v>178</v>
      </c>
      <c r="D120" t="s">
        <v>191</v>
      </c>
      <c r="E120">
        <f>SUMIF(DATA!$A:$A,PPL!$A120,DATA!C:C)</f>
        <v>594</v>
      </c>
      <c r="F120">
        <f>SUMIF(DATA!$A:$A,PPL!$A120,DATA!D:D)</f>
        <v>20</v>
      </c>
      <c r="G120">
        <f>SUMIF(DATA!$A:$A,PPL!$A120,DATA!E:E)</f>
        <v>8</v>
      </c>
      <c r="H120">
        <f>SUMIF(DATA!$A:$A,PPL!$A120,DATA!F:F)</f>
        <v>497</v>
      </c>
      <c r="I120">
        <f>SUMIF(DATA!$A:$A,PPL!$A120,DATA!G:G)</f>
        <v>51</v>
      </c>
      <c r="J120">
        <f>SUMIF(DATA!$A:$A,PPL!$A120,DATA!H:H)</f>
        <v>0</v>
      </c>
      <c r="K120">
        <f>SUMIF(DATA!$A:$A,PPL!$A120,DATA!I:I)</f>
        <v>18</v>
      </c>
      <c r="L120">
        <f>SUMIF(DATA!$A:$A,PPL!$A120,DATA!J:J)</f>
        <v>0</v>
      </c>
      <c r="M120">
        <f t="shared" si="1"/>
        <v>97</v>
      </c>
    </row>
    <row r="121" spans="1:13" x14ac:dyDescent="0.25">
      <c r="A121" t="s">
        <v>124</v>
      </c>
      <c r="B121" t="s">
        <v>366</v>
      </c>
      <c r="C121" t="s">
        <v>177</v>
      </c>
      <c r="D121" t="s">
        <v>192</v>
      </c>
      <c r="E121">
        <f>SUMIF(DATA!$A:$A,PPL!$A121,DATA!C:C)</f>
        <v>599</v>
      </c>
      <c r="F121">
        <f>SUMIF(DATA!$A:$A,PPL!$A121,DATA!D:D)</f>
        <v>25</v>
      </c>
      <c r="G121">
        <f>SUMIF(DATA!$A:$A,PPL!$A121,DATA!E:E)</f>
        <v>96</v>
      </c>
      <c r="H121">
        <f>SUMIF(DATA!$A:$A,PPL!$A121,DATA!F:F)</f>
        <v>445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33</v>
      </c>
      <c r="L121">
        <f>SUMIF(DATA!$A:$A,PPL!$A121,DATA!J:J)</f>
        <v>0</v>
      </c>
      <c r="M121">
        <f t="shared" si="1"/>
        <v>154</v>
      </c>
    </row>
    <row r="122" spans="1:13" x14ac:dyDescent="0.25">
      <c r="A122" t="s">
        <v>125</v>
      </c>
      <c r="B122" t="s">
        <v>367</v>
      </c>
      <c r="C122" t="s">
        <v>177</v>
      </c>
      <c r="D122" t="s">
        <v>192</v>
      </c>
      <c r="E122">
        <f>SUMIF(DATA!$A:$A,PPL!$A122,DATA!C:C)</f>
        <v>605</v>
      </c>
      <c r="F122">
        <f>SUMIF(DATA!$A:$A,PPL!$A122,DATA!D:D)</f>
        <v>23</v>
      </c>
      <c r="G122">
        <f>SUMIF(DATA!$A:$A,PPL!$A122,DATA!E:E)</f>
        <v>17</v>
      </c>
      <c r="H122">
        <f>SUMIF(DATA!$A:$A,PPL!$A122,DATA!F:F)</f>
        <v>499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65</v>
      </c>
      <c r="L122">
        <f>SUMIF(DATA!$A:$A,PPL!$A122,DATA!J:J)</f>
        <v>0</v>
      </c>
      <c r="M122">
        <f t="shared" si="1"/>
        <v>106</v>
      </c>
    </row>
    <row r="123" spans="1:13" x14ac:dyDescent="0.25">
      <c r="A123" t="s">
        <v>126</v>
      </c>
      <c r="B123" t="s">
        <v>368</v>
      </c>
      <c r="C123" t="s">
        <v>177</v>
      </c>
      <c r="D123" t="s">
        <v>192</v>
      </c>
      <c r="E123">
        <f>SUMIF(DATA!$A:$A,PPL!$A123,DATA!C:C)</f>
        <v>605</v>
      </c>
      <c r="F123">
        <f>SUMIF(DATA!$A:$A,PPL!$A123,DATA!D:D)</f>
        <v>8</v>
      </c>
      <c r="G123">
        <f>SUMIF(DATA!$A:$A,PPL!$A123,DATA!E:E)</f>
        <v>12</v>
      </c>
      <c r="H123">
        <f>SUMIF(DATA!$A:$A,PPL!$A123,DATA!F:F)</f>
        <v>551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34</v>
      </c>
      <c r="L123">
        <f>SUMIF(DATA!$A:$A,PPL!$A123,DATA!J:J)</f>
        <v>0</v>
      </c>
      <c r="M123">
        <f t="shared" si="1"/>
        <v>54</v>
      </c>
    </row>
    <row r="124" spans="1:13" x14ac:dyDescent="0.25">
      <c r="A124" t="s">
        <v>127</v>
      </c>
      <c r="B124" t="s">
        <v>369</v>
      </c>
      <c r="C124" t="s">
        <v>177</v>
      </c>
      <c r="D124" t="s">
        <v>192</v>
      </c>
      <c r="E124">
        <f>SUMIF(DATA!$A:$A,PPL!$A124,DATA!C:C)</f>
        <v>578</v>
      </c>
      <c r="F124">
        <f>SUMIF(DATA!$A:$A,PPL!$A124,DATA!D:D)</f>
        <v>3</v>
      </c>
      <c r="G124">
        <f>SUMIF(DATA!$A:$A,PPL!$A124,DATA!E:E)</f>
        <v>13</v>
      </c>
      <c r="H124">
        <f>SUMIF(DATA!$A:$A,PPL!$A124,DATA!F:F)</f>
        <v>506</v>
      </c>
      <c r="I124">
        <f>SUMIF(DATA!$A:$A,PPL!$A124,DATA!G:G)</f>
        <v>3</v>
      </c>
      <c r="J124">
        <f>SUMIF(DATA!$A:$A,PPL!$A124,DATA!H:H)</f>
        <v>0</v>
      </c>
      <c r="K124">
        <f>SUMIF(DATA!$A:$A,PPL!$A124,DATA!I:I)</f>
        <v>53</v>
      </c>
      <c r="L124">
        <f>SUMIF(DATA!$A:$A,PPL!$A124,DATA!J:J)</f>
        <v>0</v>
      </c>
      <c r="M124">
        <f t="shared" si="1"/>
        <v>72</v>
      </c>
    </row>
    <row r="125" spans="1:13" x14ac:dyDescent="0.25">
      <c r="A125" t="s">
        <v>128</v>
      </c>
      <c r="B125" t="s">
        <v>370</v>
      </c>
      <c r="C125" t="s">
        <v>177</v>
      </c>
      <c r="D125" t="s">
        <v>192</v>
      </c>
      <c r="E125">
        <f>SUMIF(DATA!$A:$A,PPL!$A125,DATA!C:C)</f>
        <v>561</v>
      </c>
      <c r="F125">
        <f>SUMIF(DATA!$A:$A,PPL!$A125,DATA!D:D)</f>
        <v>0</v>
      </c>
      <c r="G125">
        <f>SUMIF(DATA!$A:$A,PPL!$A125,DATA!E:E)</f>
        <v>3</v>
      </c>
      <c r="H125">
        <f>SUMIF(DATA!$A:$A,PPL!$A125,DATA!F:F)</f>
        <v>530</v>
      </c>
      <c r="I125">
        <f>SUMIF(DATA!$A:$A,PPL!$A125,DATA!G:G)</f>
        <v>2</v>
      </c>
      <c r="J125">
        <f>SUMIF(DATA!$A:$A,PPL!$A125,DATA!H:H)</f>
        <v>0</v>
      </c>
      <c r="K125">
        <f>SUMIF(DATA!$A:$A,PPL!$A125,DATA!I:I)</f>
        <v>26</v>
      </c>
      <c r="L125">
        <f>SUMIF(DATA!$A:$A,PPL!$A125,DATA!J:J)</f>
        <v>0</v>
      </c>
      <c r="M125">
        <f t="shared" si="1"/>
        <v>31</v>
      </c>
    </row>
    <row r="126" spans="1:13" x14ac:dyDescent="0.25">
      <c r="A126" t="s">
        <v>129</v>
      </c>
      <c r="B126" t="s">
        <v>371</v>
      </c>
      <c r="C126" t="s">
        <v>177</v>
      </c>
      <c r="D126" t="s">
        <v>192</v>
      </c>
      <c r="E126">
        <f>SUMIF(DATA!$A:$A,PPL!$A126,DATA!C:C)</f>
        <v>580</v>
      </c>
      <c r="F126">
        <f>SUMIF(DATA!$A:$A,PPL!$A126,DATA!D:D)</f>
        <v>14</v>
      </c>
      <c r="G126">
        <f>SUMIF(DATA!$A:$A,PPL!$A126,DATA!E:E)</f>
        <v>13</v>
      </c>
      <c r="H126">
        <f>SUMIF(DATA!$A:$A,PPL!$A126,DATA!F:F)</f>
        <v>518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33</v>
      </c>
      <c r="L126">
        <f>SUMIF(DATA!$A:$A,PPL!$A126,DATA!J:J)</f>
        <v>0</v>
      </c>
      <c r="M126">
        <f t="shared" si="1"/>
        <v>62</v>
      </c>
    </row>
    <row r="127" spans="1:13" x14ac:dyDescent="0.25">
      <c r="A127" t="s">
        <v>130</v>
      </c>
      <c r="B127" t="s">
        <v>372</v>
      </c>
      <c r="C127" t="s">
        <v>179</v>
      </c>
      <c r="D127" t="s">
        <v>184</v>
      </c>
      <c r="E127">
        <f>SUMIF(DATA!$A:$A,PPL!$A127,DATA!C:C)</f>
        <v>594</v>
      </c>
      <c r="F127">
        <f>SUMIF(DATA!$A:$A,PPL!$A127,DATA!D:D)</f>
        <v>0</v>
      </c>
      <c r="G127">
        <f>SUMIF(DATA!$A:$A,PPL!$A127,DATA!E:E)</f>
        <v>26</v>
      </c>
      <c r="H127">
        <f>SUMIF(DATA!$A:$A,PPL!$A127,DATA!F:F)</f>
        <v>545</v>
      </c>
      <c r="I127">
        <f>SUMIF(DATA!$A:$A,PPL!$A127,DATA!G:G)</f>
        <v>1</v>
      </c>
      <c r="J127">
        <f>SUMIF(DATA!$A:$A,PPL!$A127,DATA!H:H)</f>
        <v>0</v>
      </c>
      <c r="K127">
        <f>SUMIF(DATA!$A:$A,PPL!$A127,DATA!I:I)</f>
        <v>22</v>
      </c>
      <c r="L127">
        <f>SUMIF(DATA!$A:$A,PPL!$A127,DATA!J:J)</f>
        <v>0</v>
      </c>
      <c r="M127">
        <f t="shared" si="1"/>
        <v>49</v>
      </c>
    </row>
    <row r="128" spans="1:13" x14ac:dyDescent="0.25">
      <c r="A128" t="s">
        <v>131</v>
      </c>
      <c r="B128" t="s">
        <v>373</v>
      </c>
      <c r="C128" t="s">
        <v>180</v>
      </c>
      <c r="D128" t="s">
        <v>183</v>
      </c>
      <c r="E128">
        <f>SUMIF(DATA!$A:$A,PPL!$A128,DATA!C:C)</f>
        <v>612</v>
      </c>
      <c r="F128">
        <f>SUMIF(DATA!$A:$A,PPL!$A128,DATA!D:D)</f>
        <v>0</v>
      </c>
      <c r="G128">
        <f>SUMIF(DATA!$A:$A,PPL!$A128,DATA!E:E)</f>
        <v>22</v>
      </c>
      <c r="H128">
        <f>SUMIF(DATA!$A:$A,PPL!$A128,DATA!F:F)</f>
        <v>568</v>
      </c>
      <c r="I128">
        <f>SUMIF(DATA!$A:$A,PPL!$A128,DATA!G:G)</f>
        <v>8</v>
      </c>
      <c r="J128">
        <f>SUMIF(DATA!$A:$A,PPL!$A128,DATA!H:H)</f>
        <v>0</v>
      </c>
      <c r="K128">
        <f>SUMIF(DATA!$A:$A,PPL!$A128,DATA!I:I)</f>
        <v>14</v>
      </c>
      <c r="L128">
        <f>SUMIF(DATA!$A:$A,PPL!$A128,DATA!J:J)</f>
        <v>0</v>
      </c>
      <c r="M128">
        <f t="shared" si="1"/>
        <v>44</v>
      </c>
    </row>
    <row r="129" spans="1:13" x14ac:dyDescent="0.25">
      <c r="A129" t="s">
        <v>132</v>
      </c>
      <c r="B129" t="s">
        <v>374</v>
      </c>
      <c r="C129" t="s">
        <v>180</v>
      </c>
      <c r="D129" t="s">
        <v>183</v>
      </c>
      <c r="E129">
        <f>SUMIF(DATA!$A:$A,PPL!$A129,DATA!C:C)</f>
        <v>561</v>
      </c>
      <c r="F129">
        <f>SUMIF(DATA!$A:$A,PPL!$A129,DATA!D:D)</f>
        <v>41</v>
      </c>
      <c r="G129">
        <f>SUMIF(DATA!$A:$A,PPL!$A129,DATA!E:E)</f>
        <v>13</v>
      </c>
      <c r="H129">
        <f>SUMIF(DATA!$A:$A,PPL!$A129,DATA!F:F)</f>
        <v>488</v>
      </c>
      <c r="I129">
        <f>SUMIF(DATA!$A:$A,PPL!$A129,DATA!G:G)</f>
        <v>2</v>
      </c>
      <c r="J129">
        <f>SUMIF(DATA!$A:$A,PPL!$A129,DATA!H:H)</f>
        <v>1</v>
      </c>
      <c r="K129">
        <f>SUMIF(DATA!$A:$A,PPL!$A129,DATA!I:I)</f>
        <v>16</v>
      </c>
      <c r="L129">
        <f>SUMIF(DATA!$A:$A,PPL!$A129,DATA!J:J)</f>
        <v>0</v>
      </c>
      <c r="M129">
        <f t="shared" si="1"/>
        <v>73</v>
      </c>
    </row>
    <row r="130" spans="1:13" x14ac:dyDescent="0.25">
      <c r="A130" t="s">
        <v>133</v>
      </c>
      <c r="B130" t="s">
        <v>375</v>
      </c>
      <c r="C130" t="s">
        <v>180</v>
      </c>
      <c r="D130" t="s">
        <v>183</v>
      </c>
      <c r="E130">
        <f>SUMIF(DATA!$A:$A,PPL!$A130,DATA!C:C)</f>
        <v>564</v>
      </c>
      <c r="F130">
        <f>SUMIF(DATA!$A:$A,PPL!$A130,DATA!D:D)</f>
        <v>0</v>
      </c>
      <c r="G130">
        <f>SUMIF(DATA!$A:$A,PPL!$A130,DATA!E:E)</f>
        <v>1</v>
      </c>
      <c r="H130">
        <f>SUMIF(DATA!$A:$A,PPL!$A130,DATA!F:F)</f>
        <v>528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34</v>
      </c>
      <c r="L130">
        <f>SUMIF(DATA!$A:$A,PPL!$A130,DATA!J:J)</f>
        <v>1</v>
      </c>
      <c r="M130">
        <f t="shared" si="1"/>
        <v>36</v>
      </c>
    </row>
    <row r="131" spans="1:13" x14ac:dyDescent="0.25">
      <c r="A131" t="s">
        <v>134</v>
      </c>
      <c r="B131" t="s">
        <v>376</v>
      </c>
      <c r="C131" t="s">
        <v>180</v>
      </c>
      <c r="D131" t="s">
        <v>183</v>
      </c>
      <c r="E131">
        <f>SUMIF(DATA!$A:$A,PPL!$A131,DATA!C:C)</f>
        <v>569</v>
      </c>
      <c r="F131">
        <f>SUMIF(DATA!$A:$A,PPL!$A131,DATA!D:D)</f>
        <v>0</v>
      </c>
      <c r="G131">
        <f>SUMIF(DATA!$A:$A,PPL!$A131,DATA!E:E)</f>
        <v>9</v>
      </c>
      <c r="H131">
        <f>SUMIF(DATA!$A:$A,PPL!$A131,DATA!F:F)</f>
        <v>546</v>
      </c>
      <c r="I131">
        <f>SUMIF(DATA!$A:$A,PPL!$A131,DATA!G:G)</f>
        <v>2</v>
      </c>
      <c r="J131">
        <f>SUMIF(DATA!$A:$A,PPL!$A131,DATA!H:H)</f>
        <v>0</v>
      </c>
      <c r="K131">
        <f>SUMIF(DATA!$A:$A,PPL!$A131,DATA!I:I)</f>
        <v>12</v>
      </c>
      <c r="L131">
        <f>SUMIF(DATA!$A:$A,PPL!$A131,DATA!J:J)</f>
        <v>0</v>
      </c>
      <c r="M131">
        <f t="shared" ref="M131:M139" si="2">F131+G131+I131+J131+K131+L131</f>
        <v>23</v>
      </c>
    </row>
    <row r="132" spans="1:13" x14ac:dyDescent="0.25">
      <c r="A132" t="s">
        <v>135</v>
      </c>
      <c r="B132" t="s">
        <v>377</v>
      </c>
      <c r="C132" t="s">
        <v>180</v>
      </c>
      <c r="D132" t="s">
        <v>183</v>
      </c>
      <c r="E132">
        <f>SUMIF(DATA!$A:$A,PPL!$A132,DATA!C:C)</f>
        <v>538</v>
      </c>
      <c r="F132">
        <f>SUMIF(DATA!$A:$A,PPL!$A132,DATA!D:D)</f>
        <v>3</v>
      </c>
      <c r="G132">
        <f>SUMIF(DATA!$A:$A,PPL!$A132,DATA!E:E)</f>
        <v>3</v>
      </c>
      <c r="H132">
        <f>SUMIF(DATA!$A:$A,PPL!$A132,DATA!F:F)</f>
        <v>524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8</v>
      </c>
      <c r="L132">
        <f>SUMIF(DATA!$A:$A,PPL!$A132,DATA!J:J)</f>
        <v>0</v>
      </c>
      <c r="M132">
        <f t="shared" si="2"/>
        <v>14</v>
      </c>
    </row>
    <row r="133" spans="1:13" x14ac:dyDescent="0.25">
      <c r="A133" t="s">
        <v>136</v>
      </c>
      <c r="B133" t="s">
        <v>378</v>
      </c>
      <c r="C133" t="s">
        <v>180</v>
      </c>
      <c r="D133" t="s">
        <v>183</v>
      </c>
      <c r="E133">
        <f>SUMIF(DATA!$A:$A,PPL!$A133,DATA!C:C)</f>
        <v>587</v>
      </c>
      <c r="F133">
        <f>SUMIF(DATA!$A:$A,PPL!$A133,DATA!D:D)</f>
        <v>0</v>
      </c>
      <c r="G133">
        <f>SUMIF(DATA!$A:$A,PPL!$A133,DATA!E:E)</f>
        <v>31</v>
      </c>
      <c r="H133">
        <f>SUMIF(DATA!$A:$A,PPL!$A133,DATA!F:F)</f>
        <v>533</v>
      </c>
      <c r="I133">
        <f>SUMIF(DATA!$A:$A,PPL!$A133,DATA!G:G)</f>
        <v>4</v>
      </c>
      <c r="J133">
        <f>SUMIF(DATA!$A:$A,PPL!$A133,DATA!H:H)</f>
        <v>0</v>
      </c>
      <c r="K133">
        <f>SUMIF(DATA!$A:$A,PPL!$A133,DATA!I:I)</f>
        <v>19</v>
      </c>
      <c r="L133">
        <f>SUMIF(DATA!$A:$A,PPL!$A133,DATA!J:J)</f>
        <v>0</v>
      </c>
      <c r="M133">
        <f t="shared" si="2"/>
        <v>54</v>
      </c>
    </row>
    <row r="134" spans="1:13" x14ac:dyDescent="0.25">
      <c r="A134" t="s">
        <v>137</v>
      </c>
      <c r="B134" t="s">
        <v>379</v>
      </c>
      <c r="C134" t="s">
        <v>179</v>
      </c>
      <c r="D134" t="s">
        <v>184</v>
      </c>
      <c r="E134">
        <f>SUMIF(DATA!$A:$A,PPL!$A134,DATA!C:C)</f>
        <v>561</v>
      </c>
      <c r="F134">
        <f>SUMIF(DATA!$A:$A,PPL!$A134,DATA!D:D)</f>
        <v>0</v>
      </c>
      <c r="G134">
        <f>SUMIF(DATA!$A:$A,PPL!$A134,DATA!E:E)</f>
        <v>6</v>
      </c>
      <c r="H134">
        <f>SUMIF(DATA!$A:$A,PPL!$A134,DATA!F:F)</f>
        <v>507</v>
      </c>
      <c r="I134">
        <f>SUMIF(DATA!$A:$A,PPL!$A134,DATA!G:G)</f>
        <v>1</v>
      </c>
      <c r="J134">
        <f>SUMIF(DATA!$A:$A,PPL!$A134,DATA!H:H)</f>
        <v>0</v>
      </c>
      <c r="K134">
        <f>SUMIF(DATA!$A:$A,PPL!$A134,DATA!I:I)</f>
        <v>47</v>
      </c>
      <c r="L134">
        <f>SUMIF(DATA!$A:$A,PPL!$A134,DATA!J:J)</f>
        <v>0</v>
      </c>
      <c r="M134">
        <f t="shared" si="2"/>
        <v>54</v>
      </c>
    </row>
    <row r="135" spans="1:13" x14ac:dyDescent="0.25">
      <c r="A135" t="s">
        <v>138</v>
      </c>
      <c r="B135" t="s">
        <v>380</v>
      </c>
      <c r="C135" t="s">
        <v>180</v>
      </c>
      <c r="D135" t="s">
        <v>183</v>
      </c>
      <c r="E135">
        <f>SUMIF(DATA!$A:$A,PPL!$A135,DATA!C:C)</f>
        <v>578</v>
      </c>
      <c r="F135">
        <f>SUMIF(DATA!$A:$A,PPL!$A135,DATA!D:D)</f>
        <v>0</v>
      </c>
      <c r="G135">
        <f>SUMIF(DATA!$A:$A,PPL!$A135,DATA!E:E)</f>
        <v>15</v>
      </c>
      <c r="H135">
        <f>SUMIF(DATA!$A:$A,PPL!$A135,DATA!F:F)</f>
        <v>549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14</v>
      </c>
      <c r="L135">
        <f>SUMIF(DATA!$A:$A,PPL!$A135,DATA!J:J)</f>
        <v>0</v>
      </c>
      <c r="M135">
        <f t="shared" si="2"/>
        <v>29</v>
      </c>
    </row>
    <row r="136" spans="1:13" x14ac:dyDescent="0.25">
      <c r="A136" t="s">
        <v>139</v>
      </c>
      <c r="B136" t="s">
        <v>381</v>
      </c>
      <c r="C136" t="s">
        <v>179</v>
      </c>
      <c r="D136" t="s">
        <v>184</v>
      </c>
      <c r="E136">
        <f>SUMIF(DATA!$A:$A,PPL!$A136,DATA!C:C)</f>
        <v>505</v>
      </c>
      <c r="F136">
        <f>SUMIF(DATA!$A:$A,PPL!$A136,DATA!D:D)</f>
        <v>0</v>
      </c>
      <c r="G136">
        <f>SUMIF(DATA!$A:$A,PPL!$A136,DATA!E:E)</f>
        <v>23</v>
      </c>
      <c r="H136">
        <f>SUMIF(DATA!$A:$A,PPL!$A136,DATA!F:F)</f>
        <v>457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24</v>
      </c>
      <c r="L136">
        <f>SUMIF(DATA!$A:$A,PPL!$A136,DATA!J:J)</f>
        <v>0</v>
      </c>
      <c r="M136">
        <f t="shared" si="2"/>
        <v>48</v>
      </c>
    </row>
    <row r="137" spans="1:13" x14ac:dyDescent="0.25">
      <c r="A137" t="s">
        <v>140</v>
      </c>
      <c r="B137" t="s">
        <v>382</v>
      </c>
      <c r="C137" t="s">
        <v>179</v>
      </c>
      <c r="D137" t="s">
        <v>184</v>
      </c>
      <c r="E137">
        <f>SUMIF(DATA!$A:$A,PPL!$A137,DATA!C:C)</f>
        <v>562</v>
      </c>
      <c r="F137">
        <f>SUMIF(DATA!$A:$A,PPL!$A137,DATA!D:D)</f>
        <v>0</v>
      </c>
      <c r="G137">
        <f>SUMIF(DATA!$A:$A,PPL!$A137,DATA!E:E)</f>
        <v>28</v>
      </c>
      <c r="H137">
        <f>SUMIF(DATA!$A:$A,PPL!$A137,DATA!F:F)</f>
        <v>477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55</v>
      </c>
      <c r="L137">
        <f>SUMIF(DATA!$A:$A,PPL!$A137,DATA!J:J)</f>
        <v>0</v>
      </c>
      <c r="M137">
        <f t="shared" si="2"/>
        <v>85</v>
      </c>
    </row>
    <row r="138" spans="1:13" x14ac:dyDescent="0.25">
      <c r="A138" t="s">
        <v>141</v>
      </c>
      <c r="B138" t="s">
        <v>383</v>
      </c>
      <c r="C138" t="s">
        <v>179</v>
      </c>
      <c r="D138" t="s">
        <v>184</v>
      </c>
      <c r="E138">
        <f>SUMIF(DATA!$A:$A,PPL!$A138,DATA!C:C)</f>
        <v>587</v>
      </c>
      <c r="F138">
        <f>SUMIF(DATA!$A:$A,PPL!$A138,DATA!D:D)</f>
        <v>0</v>
      </c>
      <c r="G138">
        <f>SUMIF(DATA!$A:$A,PPL!$A138,DATA!E:E)</f>
        <v>63</v>
      </c>
      <c r="H138">
        <f>SUMIF(DATA!$A:$A,PPL!$A138,DATA!F:F)</f>
        <v>478</v>
      </c>
      <c r="I138">
        <f>SUMIF(DATA!$A:$A,PPL!$A138,DATA!G:G)</f>
        <v>2</v>
      </c>
      <c r="J138">
        <f>SUMIF(DATA!$A:$A,PPL!$A138,DATA!H:H)</f>
        <v>0</v>
      </c>
      <c r="K138">
        <f>SUMIF(DATA!$A:$A,PPL!$A138,DATA!I:I)</f>
        <v>44</v>
      </c>
      <c r="L138">
        <f>SUMIF(DATA!$A:$A,PPL!$A138,DATA!J:J)</f>
        <v>0</v>
      </c>
      <c r="M138">
        <f t="shared" si="2"/>
        <v>109</v>
      </c>
    </row>
    <row r="139" spans="1:13" x14ac:dyDescent="0.25">
      <c r="A139" t="s">
        <v>142</v>
      </c>
      <c r="B139" t="s">
        <v>384</v>
      </c>
      <c r="C139" t="s">
        <v>179</v>
      </c>
      <c r="D139" t="s">
        <v>184</v>
      </c>
      <c r="E139">
        <f>SUMIF(DATA!$A:$A,PPL!$A139,DATA!C:C)</f>
        <v>659</v>
      </c>
      <c r="F139">
        <f>SUMIF(DATA!$A:$A,PPL!$A139,DATA!D:D)</f>
        <v>0</v>
      </c>
      <c r="G139">
        <f>SUMIF(DATA!$A:$A,PPL!$A139,DATA!E:E)</f>
        <v>12</v>
      </c>
      <c r="H139">
        <f>SUMIF(DATA!$A:$A,PPL!$A139,DATA!F:F)</f>
        <v>609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38</v>
      </c>
      <c r="L139">
        <f>SUMIF(DATA!$A:$A,PPL!$A139,DATA!J:J)</f>
        <v>0</v>
      </c>
      <c r="M139">
        <f t="shared" si="2"/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20"/>
  <sheetViews>
    <sheetView tabSelected="1" workbookViewId="0">
      <selection activeCell="C3" sqref="C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385</v>
      </c>
    </row>
    <row r="2" spans="1:11" x14ac:dyDescent="0.25">
      <c r="A2" t="s">
        <v>162</v>
      </c>
      <c r="B2" t="s">
        <v>198</v>
      </c>
      <c r="C2">
        <f>SUMIF(PPL!$C:$C,PML!$A2,PPL!E:E)</f>
        <v>4187</v>
      </c>
      <c r="D2">
        <f>SUMIF(PPL!$C:$C,PML!$A2,PPL!F:F)</f>
        <v>85</v>
      </c>
      <c r="E2">
        <f>SUMIF(PPL!$C:$C,PML!$A2,PPL!G:G)</f>
        <v>66</v>
      </c>
      <c r="F2">
        <f>SUMIF(PPL!$C:$C,PML!$A2,PPL!H:H)</f>
        <v>3615</v>
      </c>
      <c r="G2">
        <f>SUMIF(PPL!$C:$C,PML!$A2,PPL!I:I)</f>
        <v>1</v>
      </c>
      <c r="H2">
        <f>SUMIF(PPL!$C:$C,PML!$A2,PPL!J:J)</f>
        <v>0</v>
      </c>
      <c r="I2">
        <f>SUMIF(PPL!$C:$C,PML!$A2,PPL!K:K)</f>
        <v>420</v>
      </c>
      <c r="J2">
        <f>SUMIF(PPL!$C:$C,PML!$A2,PPL!L:L)</f>
        <v>0</v>
      </c>
      <c r="K2">
        <f>D2+G2+H2</f>
        <v>86</v>
      </c>
    </row>
    <row r="3" spans="1:11" x14ac:dyDescent="0.25">
      <c r="A3" t="s">
        <v>163</v>
      </c>
      <c r="B3" t="s">
        <v>187</v>
      </c>
      <c r="C3">
        <f>SUMIF(PPL!$C:$C,PML!$A3,PPL!E:E)</f>
        <v>4086</v>
      </c>
      <c r="D3">
        <f>SUMIF(PPL!$C:$C,PML!$A3,PPL!F:F)</f>
        <v>18</v>
      </c>
      <c r="E3">
        <f>SUMIF(PPL!$C:$C,PML!$A3,PPL!G:G)</f>
        <v>103</v>
      </c>
      <c r="F3">
        <f>SUMIF(PPL!$C:$C,PML!$A3,PPL!H:H)</f>
        <v>3634</v>
      </c>
      <c r="G3">
        <f>SUMIF(PPL!$C:$C,PML!$A3,PPL!I:I)</f>
        <v>1</v>
      </c>
      <c r="H3">
        <f>SUMIF(PPL!$C:$C,PML!$A3,PPL!J:J)</f>
        <v>0</v>
      </c>
      <c r="I3">
        <f>SUMIF(PPL!$C:$C,PML!$A3,PPL!K:K)</f>
        <v>330</v>
      </c>
      <c r="J3">
        <f>SUMIF(PPL!$C:$C,PML!$A3,PPL!L:L)</f>
        <v>0</v>
      </c>
      <c r="K3">
        <f t="shared" ref="K3:K66" si="0">D3+G3+H3</f>
        <v>19</v>
      </c>
    </row>
    <row r="4" spans="1:11" x14ac:dyDescent="0.25">
      <c r="A4" t="s">
        <v>164</v>
      </c>
      <c r="B4" t="s">
        <v>190</v>
      </c>
      <c r="C4">
        <f>SUMIF(PPL!$C:$C,PML!$A4,PPL!E:E)</f>
        <v>4169</v>
      </c>
      <c r="D4">
        <f>SUMIF(PPL!$C:$C,PML!$A4,PPL!F:F)</f>
        <v>17</v>
      </c>
      <c r="E4">
        <f>SUMIF(PPL!$C:$C,PML!$A4,PPL!G:G)</f>
        <v>57</v>
      </c>
      <c r="F4">
        <f>SUMIF(PPL!$C:$C,PML!$A4,PPL!H:H)</f>
        <v>3572</v>
      </c>
      <c r="G4">
        <f>SUMIF(PPL!$C:$C,PML!$A4,PPL!I:I)</f>
        <v>25</v>
      </c>
      <c r="H4">
        <f>SUMIF(PPL!$C:$C,PML!$A4,PPL!J:J)</f>
        <v>0</v>
      </c>
      <c r="I4">
        <f>SUMIF(PPL!$C:$C,PML!$A4,PPL!K:K)</f>
        <v>497</v>
      </c>
      <c r="J4">
        <f>SUMIF(PPL!$C:$C,PML!$A4,PPL!L:L)</f>
        <v>1</v>
      </c>
      <c r="K4">
        <f t="shared" si="0"/>
        <v>42</v>
      </c>
    </row>
    <row r="5" spans="1:11" x14ac:dyDescent="0.25">
      <c r="A5" t="s">
        <v>165</v>
      </c>
      <c r="B5" t="s">
        <v>181</v>
      </c>
      <c r="C5">
        <f>SUMIF(PPL!$C:$C,PML!$A5,PPL!E:E)</f>
        <v>4898</v>
      </c>
      <c r="D5">
        <f>SUMIF(PPL!$C:$C,PML!$A5,PPL!F:F)</f>
        <v>197</v>
      </c>
      <c r="E5">
        <f>SUMIF(PPL!$C:$C,PML!$A5,PPL!G:G)</f>
        <v>207</v>
      </c>
      <c r="F5">
        <f>SUMIF(PPL!$C:$C,PML!$A5,PPL!H:H)</f>
        <v>4264</v>
      </c>
      <c r="G5">
        <f>SUMIF(PPL!$C:$C,PML!$A5,PPL!I:I)</f>
        <v>81</v>
      </c>
      <c r="H5">
        <f>SUMIF(PPL!$C:$C,PML!$A5,PPL!J:J)</f>
        <v>0</v>
      </c>
      <c r="I5">
        <f>SUMIF(PPL!$C:$C,PML!$A5,PPL!K:K)</f>
        <v>149</v>
      </c>
      <c r="J5">
        <f>SUMIF(PPL!$C:$C,PML!$A5,PPL!L:L)</f>
        <v>0</v>
      </c>
      <c r="K5">
        <f t="shared" si="0"/>
        <v>278</v>
      </c>
    </row>
    <row r="6" spans="1:11" x14ac:dyDescent="0.25">
      <c r="A6" t="s">
        <v>166</v>
      </c>
      <c r="B6" t="s">
        <v>189</v>
      </c>
      <c r="C6">
        <f>SUMIF(PPL!$C:$C,PML!$A6,PPL!E:E)</f>
        <v>4224</v>
      </c>
      <c r="D6">
        <f>SUMIF(PPL!$C:$C,PML!$A6,PPL!F:F)</f>
        <v>27</v>
      </c>
      <c r="E6">
        <f>SUMIF(PPL!$C:$C,PML!$A6,PPL!G:G)</f>
        <v>39</v>
      </c>
      <c r="F6">
        <f>SUMIF(PPL!$C:$C,PML!$A6,PPL!H:H)</f>
        <v>3830</v>
      </c>
      <c r="G6">
        <f>SUMIF(PPL!$C:$C,PML!$A6,PPL!I:I)</f>
        <v>20</v>
      </c>
      <c r="H6">
        <f>SUMIF(PPL!$C:$C,PML!$A6,PPL!J:J)</f>
        <v>0</v>
      </c>
      <c r="I6">
        <f>SUMIF(PPL!$C:$C,PML!$A6,PPL!K:K)</f>
        <v>308</v>
      </c>
      <c r="J6">
        <f>SUMIF(PPL!$C:$C,PML!$A6,PPL!L:L)</f>
        <v>0</v>
      </c>
      <c r="K6">
        <f t="shared" si="0"/>
        <v>47</v>
      </c>
    </row>
    <row r="7" spans="1:11" x14ac:dyDescent="0.25">
      <c r="A7" t="s">
        <v>167</v>
      </c>
      <c r="B7" t="s">
        <v>182</v>
      </c>
      <c r="C7">
        <f>SUMIF(PPL!$C:$C,PML!$A7,PPL!E:E)</f>
        <v>4713</v>
      </c>
      <c r="D7">
        <f>SUMIF(PPL!$C:$C,PML!$A7,PPL!F:F)</f>
        <v>3</v>
      </c>
      <c r="E7">
        <f>SUMIF(PPL!$C:$C,PML!$A7,PPL!G:G)</f>
        <v>88</v>
      </c>
      <c r="F7">
        <f>SUMIF(PPL!$C:$C,PML!$A7,PPL!H:H)</f>
        <v>4283</v>
      </c>
      <c r="G7">
        <f>SUMIF(PPL!$C:$C,PML!$A7,PPL!I:I)</f>
        <v>0</v>
      </c>
      <c r="H7">
        <f>SUMIF(PPL!$C:$C,PML!$A7,PPL!J:J)</f>
        <v>0</v>
      </c>
      <c r="I7">
        <f>SUMIF(PPL!$C:$C,PML!$A7,PPL!K:K)</f>
        <v>339</v>
      </c>
      <c r="J7">
        <f>SUMIF(PPL!$C:$C,PML!$A7,PPL!L:L)</f>
        <v>0</v>
      </c>
      <c r="K7">
        <f t="shared" si="0"/>
        <v>3</v>
      </c>
    </row>
    <row r="8" spans="1:11" x14ac:dyDescent="0.25">
      <c r="A8" t="s">
        <v>168</v>
      </c>
      <c r="B8" t="s">
        <v>199</v>
      </c>
      <c r="C8">
        <f>SUMIF(PPL!$C:$C,PML!$A8,PPL!E:E)</f>
        <v>4603</v>
      </c>
      <c r="D8">
        <f>SUMIF(PPL!$C:$C,PML!$A8,PPL!F:F)</f>
        <v>1</v>
      </c>
      <c r="E8">
        <f>SUMIF(PPL!$C:$C,PML!$A8,PPL!G:G)</f>
        <v>83</v>
      </c>
      <c r="F8">
        <f>SUMIF(PPL!$C:$C,PML!$A8,PPL!H:H)</f>
        <v>4198</v>
      </c>
      <c r="G8">
        <f>SUMIF(PPL!$C:$C,PML!$A8,PPL!I:I)</f>
        <v>1</v>
      </c>
      <c r="H8">
        <f>SUMIF(PPL!$C:$C,PML!$A8,PPL!J:J)</f>
        <v>0</v>
      </c>
      <c r="I8">
        <f>SUMIF(PPL!$C:$C,PML!$A8,PPL!K:K)</f>
        <v>320</v>
      </c>
      <c r="J8">
        <f>SUMIF(PPL!$C:$C,PML!$A8,PPL!L:L)</f>
        <v>0</v>
      </c>
      <c r="K8">
        <f t="shared" si="0"/>
        <v>2</v>
      </c>
    </row>
    <row r="9" spans="1:11" x14ac:dyDescent="0.25">
      <c r="A9" t="s">
        <v>169</v>
      </c>
      <c r="B9" t="s">
        <v>197</v>
      </c>
      <c r="C9">
        <f>SUMIF(PPL!$C:$C,PML!$A9,PPL!E:E)</f>
        <v>5132</v>
      </c>
      <c r="D9">
        <f>SUMIF(PPL!$C:$C,PML!$A9,PPL!F:F)</f>
        <v>2</v>
      </c>
      <c r="E9">
        <f>SUMIF(PPL!$C:$C,PML!$A9,PPL!G:G)</f>
        <v>138</v>
      </c>
      <c r="F9">
        <f>SUMIF(PPL!$C:$C,PML!$A9,PPL!H:H)</f>
        <v>4465</v>
      </c>
      <c r="G9">
        <f>SUMIF(PPL!$C:$C,PML!$A9,PPL!I:I)</f>
        <v>12</v>
      </c>
      <c r="H9">
        <f>SUMIF(PPL!$C:$C,PML!$A9,PPL!J:J)</f>
        <v>0</v>
      </c>
      <c r="I9">
        <f>SUMIF(PPL!$C:$C,PML!$A9,PPL!K:K)</f>
        <v>515</v>
      </c>
      <c r="J9">
        <f>SUMIF(PPL!$C:$C,PML!$A9,PPL!L:L)</f>
        <v>0</v>
      </c>
      <c r="K9">
        <f t="shared" si="0"/>
        <v>14</v>
      </c>
    </row>
    <row r="10" spans="1:11" x14ac:dyDescent="0.25">
      <c r="A10" t="s">
        <v>170</v>
      </c>
      <c r="B10" t="s">
        <v>196</v>
      </c>
      <c r="C10">
        <f>SUMIF(PPL!$C:$C,PML!$A10,PPL!E:E)</f>
        <v>4651</v>
      </c>
      <c r="D10">
        <f>SUMIF(PPL!$C:$C,PML!$A10,PPL!F:F)</f>
        <v>2</v>
      </c>
      <c r="E10">
        <f>SUMIF(PPL!$C:$C,PML!$A10,PPL!G:G)</f>
        <v>134</v>
      </c>
      <c r="F10">
        <f>SUMIF(PPL!$C:$C,PML!$A10,PPL!H:H)</f>
        <v>4046</v>
      </c>
      <c r="G10">
        <f>SUMIF(PPL!$C:$C,PML!$A10,PPL!I:I)</f>
        <v>30</v>
      </c>
      <c r="H10">
        <f>SUMIF(PPL!$C:$C,PML!$A10,PPL!J:J)</f>
        <v>0</v>
      </c>
      <c r="I10">
        <f>SUMIF(PPL!$C:$C,PML!$A10,PPL!K:K)</f>
        <v>439</v>
      </c>
      <c r="J10">
        <f>SUMIF(PPL!$C:$C,PML!$A10,PPL!L:L)</f>
        <v>0</v>
      </c>
      <c r="K10">
        <f t="shared" si="0"/>
        <v>32</v>
      </c>
    </row>
    <row r="11" spans="1:11" x14ac:dyDescent="0.25">
      <c r="A11" t="s">
        <v>171</v>
      </c>
      <c r="B11" t="s">
        <v>195</v>
      </c>
      <c r="C11">
        <f>SUMIF(PPL!$C:$C,PML!$A11,PPL!E:E)</f>
        <v>3757</v>
      </c>
      <c r="D11">
        <f>SUMIF(PPL!$C:$C,PML!$A11,PPL!F:F)</f>
        <v>65</v>
      </c>
      <c r="E11">
        <f>SUMIF(PPL!$C:$C,PML!$A11,PPL!G:G)</f>
        <v>108</v>
      </c>
      <c r="F11">
        <f>SUMIF(PPL!$C:$C,PML!$A11,PPL!H:H)</f>
        <v>3426</v>
      </c>
      <c r="G11">
        <f>SUMIF(PPL!$C:$C,PML!$A11,PPL!I:I)</f>
        <v>7</v>
      </c>
      <c r="H11">
        <f>SUMIF(PPL!$C:$C,PML!$A11,PPL!J:J)</f>
        <v>0</v>
      </c>
      <c r="I11">
        <f>SUMIF(PPL!$C:$C,PML!$A11,PPL!K:K)</f>
        <v>151</v>
      </c>
      <c r="J11">
        <f>SUMIF(PPL!$C:$C,PML!$A11,PPL!L:L)</f>
        <v>0</v>
      </c>
      <c r="K11">
        <f t="shared" si="0"/>
        <v>72</v>
      </c>
    </row>
    <row r="12" spans="1:11" x14ac:dyDescent="0.25">
      <c r="A12" t="s">
        <v>172</v>
      </c>
      <c r="B12" t="s">
        <v>193</v>
      </c>
      <c r="C12">
        <f>SUMIF(PPL!$C:$C,PML!$A12,PPL!E:E)</f>
        <v>3331</v>
      </c>
      <c r="D12">
        <f>SUMIF(PPL!$C:$C,PML!$A12,PPL!F:F)</f>
        <v>0</v>
      </c>
      <c r="E12">
        <f>SUMIF(PPL!$C:$C,PML!$A12,PPL!G:G)</f>
        <v>9</v>
      </c>
      <c r="F12">
        <f>SUMIF(PPL!$C:$C,PML!$A12,PPL!H:H)</f>
        <v>3027</v>
      </c>
      <c r="G12">
        <f>SUMIF(PPL!$C:$C,PML!$A12,PPL!I:I)</f>
        <v>7</v>
      </c>
      <c r="H12">
        <f>SUMIF(PPL!$C:$C,PML!$A12,PPL!J:J)</f>
        <v>0</v>
      </c>
      <c r="I12">
        <f>SUMIF(PPL!$C:$C,PML!$A12,PPL!K:K)</f>
        <v>288</v>
      </c>
      <c r="J12">
        <f>SUMIF(PPL!$C:$C,PML!$A12,PPL!L:L)</f>
        <v>0</v>
      </c>
      <c r="K12">
        <f t="shared" si="0"/>
        <v>7</v>
      </c>
    </row>
    <row r="13" spans="1:11" x14ac:dyDescent="0.25">
      <c r="A13" t="s">
        <v>173</v>
      </c>
      <c r="B13" t="s">
        <v>186</v>
      </c>
      <c r="C13">
        <f>SUMIF(PPL!$C:$C,PML!$A13,PPL!E:E)</f>
        <v>3515</v>
      </c>
      <c r="D13">
        <f>SUMIF(PPL!$C:$C,PML!$A13,PPL!F:F)</f>
        <v>43</v>
      </c>
      <c r="E13">
        <f>SUMIF(PPL!$C:$C,PML!$A13,PPL!G:G)</f>
        <v>81</v>
      </c>
      <c r="F13">
        <f>SUMIF(PPL!$C:$C,PML!$A13,PPL!H:H)</f>
        <v>3105</v>
      </c>
      <c r="G13">
        <f>SUMIF(PPL!$C:$C,PML!$A13,PPL!I:I)</f>
        <v>4</v>
      </c>
      <c r="H13">
        <f>SUMIF(PPL!$C:$C,PML!$A13,PPL!J:J)</f>
        <v>0</v>
      </c>
      <c r="I13">
        <f>SUMIF(PPL!$C:$C,PML!$A13,PPL!K:K)</f>
        <v>282</v>
      </c>
      <c r="J13">
        <f>SUMIF(PPL!$C:$C,PML!$A13,PPL!L:L)</f>
        <v>0</v>
      </c>
      <c r="K13">
        <f t="shared" si="0"/>
        <v>47</v>
      </c>
    </row>
    <row r="14" spans="1:11" x14ac:dyDescent="0.25">
      <c r="A14" t="s">
        <v>174</v>
      </c>
      <c r="B14" t="s">
        <v>185</v>
      </c>
      <c r="C14">
        <f>SUMIF(PPL!$C:$C,PML!$A14,PPL!E:E)</f>
        <v>3392</v>
      </c>
      <c r="D14">
        <f>SUMIF(PPL!$C:$C,PML!$A14,PPL!F:F)</f>
        <v>15</v>
      </c>
      <c r="E14">
        <f>SUMIF(PPL!$C:$C,PML!$A14,PPL!G:G)</f>
        <v>75</v>
      </c>
      <c r="F14">
        <f>SUMIF(PPL!$C:$C,PML!$A14,PPL!H:H)</f>
        <v>3049</v>
      </c>
      <c r="G14">
        <f>SUMIF(PPL!$C:$C,PML!$A14,PPL!I:I)</f>
        <v>2</v>
      </c>
      <c r="H14">
        <f>SUMIF(PPL!$C:$C,PML!$A14,PPL!J:J)</f>
        <v>0</v>
      </c>
      <c r="I14">
        <f>SUMIF(PPL!$C:$C,PML!$A14,PPL!K:K)</f>
        <v>251</v>
      </c>
      <c r="J14">
        <f>SUMIF(PPL!$C:$C,PML!$A14,PPL!L:L)</f>
        <v>0</v>
      </c>
      <c r="K14">
        <f t="shared" si="0"/>
        <v>17</v>
      </c>
    </row>
    <row r="15" spans="1:11" x14ac:dyDescent="0.25">
      <c r="A15" t="s">
        <v>175</v>
      </c>
      <c r="B15" t="s">
        <v>188</v>
      </c>
      <c r="C15">
        <f>SUMIF(PPL!$C:$C,PML!$A15,PPL!E:E)</f>
        <v>3828</v>
      </c>
      <c r="D15">
        <f>SUMIF(PPL!$C:$C,PML!$A15,PPL!F:F)</f>
        <v>50</v>
      </c>
      <c r="E15">
        <f>SUMIF(PPL!$C:$C,PML!$A15,PPL!G:G)</f>
        <v>101</v>
      </c>
      <c r="F15">
        <f>SUMIF(PPL!$C:$C,PML!$A15,PPL!H:H)</f>
        <v>3393</v>
      </c>
      <c r="G15">
        <f>SUMIF(PPL!$C:$C,PML!$A15,PPL!I:I)</f>
        <v>1</v>
      </c>
      <c r="H15">
        <f>SUMIF(PPL!$C:$C,PML!$A15,PPL!J:J)</f>
        <v>0</v>
      </c>
      <c r="I15">
        <f>SUMIF(PPL!$C:$C,PML!$A15,PPL!K:K)</f>
        <v>283</v>
      </c>
      <c r="J15">
        <f>SUMIF(PPL!$C:$C,PML!$A15,PPL!L:L)</f>
        <v>0</v>
      </c>
      <c r="K15">
        <f t="shared" si="0"/>
        <v>51</v>
      </c>
    </row>
    <row r="16" spans="1:11" x14ac:dyDescent="0.25">
      <c r="A16" t="s">
        <v>176</v>
      </c>
      <c r="B16" t="s">
        <v>194</v>
      </c>
      <c r="C16">
        <f>SUMIF(PPL!$C:$C,PML!$A16,PPL!E:E)</f>
        <v>4190</v>
      </c>
      <c r="D16">
        <f>SUMIF(PPL!$C:$C,PML!$A16,PPL!F:F)</f>
        <v>51</v>
      </c>
      <c r="E16">
        <f>SUMIF(PPL!$C:$C,PML!$A16,PPL!G:G)</f>
        <v>172</v>
      </c>
      <c r="F16">
        <f>SUMIF(PPL!$C:$C,PML!$A16,PPL!H:H)</f>
        <v>3741</v>
      </c>
      <c r="G16">
        <f>SUMIF(PPL!$C:$C,PML!$A16,PPL!I:I)</f>
        <v>56</v>
      </c>
      <c r="H16">
        <f>SUMIF(PPL!$C:$C,PML!$A16,PPL!J:J)</f>
        <v>0</v>
      </c>
      <c r="I16">
        <f>SUMIF(PPL!$C:$C,PML!$A16,PPL!K:K)</f>
        <v>170</v>
      </c>
      <c r="J16">
        <f>SUMIF(PPL!$C:$C,PML!$A16,PPL!L:L)</f>
        <v>0</v>
      </c>
      <c r="K16">
        <f t="shared" si="0"/>
        <v>107</v>
      </c>
    </row>
    <row r="17" spans="1:11" x14ac:dyDescent="0.25">
      <c r="A17" t="s">
        <v>177</v>
      </c>
      <c r="B17" t="s">
        <v>192</v>
      </c>
      <c r="C17">
        <f>SUMIF(PPL!$C:$C,PML!$A17,PPL!E:E)</f>
        <v>4135</v>
      </c>
      <c r="D17">
        <f>SUMIF(PPL!$C:$C,PML!$A17,PPL!F:F)</f>
        <v>89</v>
      </c>
      <c r="E17">
        <f>SUMIF(PPL!$C:$C,PML!$A17,PPL!G:G)</f>
        <v>169</v>
      </c>
      <c r="F17">
        <f>SUMIF(PPL!$C:$C,PML!$A17,PPL!H:H)</f>
        <v>3583</v>
      </c>
      <c r="G17">
        <f>SUMIF(PPL!$C:$C,PML!$A17,PPL!I:I)</f>
        <v>8</v>
      </c>
      <c r="H17">
        <f>SUMIF(PPL!$C:$C,PML!$A17,PPL!J:J)</f>
        <v>0</v>
      </c>
      <c r="I17">
        <f>SUMIF(PPL!$C:$C,PML!$A17,PPL!K:K)</f>
        <v>286</v>
      </c>
      <c r="J17">
        <f>SUMIF(PPL!$C:$C,PML!$A17,PPL!L:L)</f>
        <v>0</v>
      </c>
      <c r="K17">
        <f t="shared" si="0"/>
        <v>97</v>
      </c>
    </row>
    <row r="18" spans="1:11" x14ac:dyDescent="0.25">
      <c r="A18" t="s">
        <v>178</v>
      </c>
      <c r="B18" t="s">
        <v>191</v>
      </c>
      <c r="C18">
        <f>SUMIF(PPL!$C:$C,PML!$A18,PPL!E:E)</f>
        <v>4063</v>
      </c>
      <c r="D18">
        <f>SUMIF(PPL!$C:$C,PML!$A18,PPL!F:F)</f>
        <v>192</v>
      </c>
      <c r="E18">
        <f>SUMIF(PPL!$C:$C,PML!$A18,PPL!G:G)</f>
        <v>102</v>
      </c>
      <c r="F18">
        <f>SUMIF(PPL!$C:$C,PML!$A18,PPL!H:H)</f>
        <v>3566</v>
      </c>
      <c r="G18">
        <f>SUMIF(PPL!$C:$C,PML!$A18,PPL!I:I)</f>
        <v>68</v>
      </c>
      <c r="H18">
        <f>SUMIF(PPL!$C:$C,PML!$A18,PPL!J:J)</f>
        <v>0</v>
      </c>
      <c r="I18">
        <f>SUMIF(PPL!$C:$C,PML!$A18,PPL!K:K)</f>
        <v>135</v>
      </c>
      <c r="J18">
        <f>SUMIF(PPL!$C:$C,PML!$A18,PPL!L:L)</f>
        <v>0</v>
      </c>
      <c r="K18">
        <f t="shared" si="0"/>
        <v>260</v>
      </c>
    </row>
    <row r="19" spans="1:11" x14ac:dyDescent="0.25">
      <c r="A19" t="s">
        <v>179</v>
      </c>
      <c r="B19" t="s">
        <v>184</v>
      </c>
      <c r="C19">
        <f>SUMIF(PPL!$C:$C,PML!$A19,PPL!E:E)</f>
        <v>3468</v>
      </c>
      <c r="D19">
        <f>SUMIF(PPL!$C:$C,PML!$A19,PPL!F:F)</f>
        <v>0</v>
      </c>
      <c r="E19">
        <f>SUMIF(PPL!$C:$C,PML!$A19,PPL!G:G)</f>
        <v>158</v>
      </c>
      <c r="F19">
        <f>SUMIF(PPL!$C:$C,PML!$A19,PPL!H:H)</f>
        <v>3073</v>
      </c>
      <c r="G19">
        <f>SUMIF(PPL!$C:$C,PML!$A19,PPL!I:I)</f>
        <v>7</v>
      </c>
      <c r="H19">
        <f>SUMIF(PPL!$C:$C,PML!$A19,PPL!J:J)</f>
        <v>0</v>
      </c>
      <c r="I19">
        <f>SUMIF(PPL!$C:$C,PML!$A19,PPL!K:K)</f>
        <v>230</v>
      </c>
      <c r="J19">
        <f>SUMIF(PPL!$C:$C,PML!$A19,PPL!L:L)</f>
        <v>0</v>
      </c>
      <c r="K19">
        <f t="shared" si="0"/>
        <v>7</v>
      </c>
    </row>
    <row r="20" spans="1:11" x14ac:dyDescent="0.25">
      <c r="A20" t="s">
        <v>180</v>
      </c>
      <c r="B20" t="s">
        <v>183</v>
      </c>
      <c r="C20">
        <f>SUMIF(PPL!$C:$C,PML!$A20,PPL!E:E)</f>
        <v>4009</v>
      </c>
      <c r="D20">
        <f>SUMIF(PPL!$C:$C,PML!$A20,PPL!F:F)</f>
        <v>44</v>
      </c>
      <c r="E20">
        <f>SUMIF(PPL!$C:$C,PML!$A20,PPL!G:G)</f>
        <v>94</v>
      </c>
      <c r="F20">
        <f>SUMIF(PPL!$C:$C,PML!$A20,PPL!H:H)</f>
        <v>3736</v>
      </c>
      <c r="G20">
        <f>SUMIF(PPL!$C:$C,PML!$A20,PPL!I:I)</f>
        <v>16</v>
      </c>
      <c r="H20">
        <f>SUMIF(PPL!$C:$C,PML!$A20,PPL!J:J)</f>
        <v>1</v>
      </c>
      <c r="I20">
        <f>SUMIF(PPL!$C:$C,PML!$A20,PPL!K:K)</f>
        <v>117</v>
      </c>
      <c r="J20">
        <f>SUMIF(PPL!$C:$C,PML!$A20,PPL!L:L)</f>
        <v>1</v>
      </c>
      <c r="K20">
        <f t="shared" si="0"/>
        <v>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region_summary (2)</vt:lpstr>
      <vt:lpstr>DATA</vt:lpstr>
      <vt:lpstr>PPL</vt:lpstr>
      <vt:lpstr>PML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2026-06-22T09:07:04Z</dcterms:modified>
</cp:coreProperties>
</file>