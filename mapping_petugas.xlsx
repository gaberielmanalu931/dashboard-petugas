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4432FB1A-9AF4-431D-8EA8-CDC82D1685E1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<sst xmlns="http://schemas.openxmlformats.org/spreadsheetml/2006/main" count="9521" uniqueCount="2066">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</sst>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E1012" sqref="E101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100</v>
      </c>
      <c r="D2">
        <f>VLOOKUP(B2,raw!A:K,3,0)+VLOOKUP(B2,raw!A:K,7,0)</f>
        <v>68</v>
      </c>
      <c r="E2">
        <f>VLOOKUP(B2,raw!A:K,4,0)</f>
        <v>20</v>
      </c>
      <c r="F2">
        <f>VLOOKUP(B2,raw!A:K,5,0)</f>
        <v>12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144</v>
      </c>
      <c r="E9">
        <f>VLOOKUP(B9,raw!A:K,4,0)</f>
        <v>3</v>
      </c>
      <c r="F9">
        <f>VLOOKUP(B9,raw!A:K,5,0)</f>
        <v>1</v>
      </c>
      <c r="G9">
        <f>VLOOKUP(B9,raw!A:K,2,0)+VLOOKUP(B9,raw!A:K,10,0)</f>
        <v>6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85</v>
      </c>
      <c r="D10">
        <f>VLOOKUP(B10,raw!A:K,3,0)+VLOOKUP(B10,raw!A:K,7,0)</f>
        <v>64</v>
      </c>
      <c r="E10">
        <f>VLOOKUP(B10,raw!A:K,4,0)</f>
        <v>12</v>
      </c>
      <c r="F10">
        <f>VLOOKUP(B10,raw!A:K,5,0)</f>
        <v>9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7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64</v>
      </c>
      <c r="D14">
        <f>VLOOKUP(B14,raw!A:K,3,0)+VLOOKUP(B14,raw!A:K,7,0)</f>
        <v>32</v>
      </c>
      <c r="E14">
        <f>VLOOKUP(B14,raw!A:K,4,0)</f>
        <v>15</v>
      </c>
      <c r="F14">
        <f>VLOOKUP(B14,raw!A:K,5,0)</f>
        <v>15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30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17</v>
      </c>
      <c r="E22">
        <f>VLOOKUP(B22,raw!A:K,4,0)</f>
        <v>2</v>
      </c>
      <c r="F22">
        <f>VLOOKUP(B22,raw!A:K,5,0)</f>
        <v>10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12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10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8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58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4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2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41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7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68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47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11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9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72</v>
      </c>
      <c r="D44">
        <f>VLOOKUP(B44,raw!A:K,3,0)+VLOOKUP(B44,raw!A:K,7,0)</f>
        <v>0</v>
      </c>
      <c r="E44">
        <f>VLOOKUP(B44,raw!A:K,4,0)</f>
        <v>5</v>
      </c>
      <c r="F44">
        <f>VLOOKUP(B44,raw!A:K,5,0)</f>
        <v>22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108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1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87</v>
      </c>
      <c r="D53">
        <f>VLOOKUP(B53,raw!A:K,3,0)+VLOOKUP(B53,raw!A:K,7,0)</f>
        <v>86</v>
      </c>
      <c r="E53">
        <f>VLOOKUP(B53,raw!A:K,4,0)</f>
        <v>0</v>
      </c>
      <c r="F53">
        <f>VLOOKUP(B53,raw!A:K,5,0)</f>
        <v>1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3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3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71</v>
      </c>
      <c r="D57">
        <f>VLOOKUP(B57,raw!A:K,3,0)+VLOOKUP(B57,raw!A:K,7,0)</f>
        <v>62</v>
      </c>
      <c r="E57">
        <f>VLOOKUP(B57,raw!A:K,4,0)</f>
        <v>1</v>
      </c>
      <c r="F57">
        <f>VLOOKUP(B57,raw!A:K,5,0)</f>
        <v>3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46</v>
      </c>
      <c r="D58">
        <f>VLOOKUP(B58,raw!A:K,3,0)+VLOOKUP(B58,raw!A:K,7,0)</f>
        <v>34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11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54</v>
      </c>
      <c r="E59">
        <f>VLOOKUP(B59,raw!A:K,4,0)</f>
        <v>1</v>
      </c>
      <c r="F59">
        <f>VLOOKUP(B59,raw!A:K,5,0)</f>
        <v>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18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67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0</v>
      </c>
      <c r="F62">
        <f>VLOOKUP(B62,raw!A:K,5,0)</f>
        <v>13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59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28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14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64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2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45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82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17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2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42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30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4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16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6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28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16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30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22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35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41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38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45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20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38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64</v>
      </c>
      <c r="D123">
        <f>VLOOKUP(B123,raw!A:K,3,0)+VLOOKUP(B123,raw!A:K,7,0)</f>
        <v>0</v>
      </c>
      <c r="E123">
        <f>VLOOKUP(B123,raw!A:K,4,0)</f>
        <v>14</v>
      </c>
      <c r="F123">
        <f>VLOOKUP(B123,raw!A:K,5,0)</f>
        <v>4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46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73</v>
      </c>
      <c r="D124">
        <f>VLOOKUP(B124,raw!A:K,3,0)+VLOOKUP(B124,raw!A:K,7,0)</f>
        <v>69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4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24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55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53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28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12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37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6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36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5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119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1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117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32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69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19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154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9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83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70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3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22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33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3</v>
      </c>
      <c r="F153">
        <f>VLOOKUP(B153,raw!A:K,5,0)</f>
        <v>11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18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17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5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192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242</v>
      </c>
      <c r="D156">
        <f>VLOOKUP(B156,raw!A:K,3,0)+VLOOKUP(B156,raw!A:K,7,0)</f>
        <v>95</v>
      </c>
      <c r="E156">
        <f>VLOOKUP(B156,raw!A:K,4,0)</f>
        <v>6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231</v>
      </c>
      <c r="D157">
        <f>VLOOKUP(B157,raw!A:K,3,0)+VLOOKUP(B157,raw!A:K,7,0)</f>
        <v>220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7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1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9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44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25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39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45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102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209</v>
      </c>
      <c r="D180">
        <f>VLOOKUP(B180,raw!A:K,3,0)+VLOOKUP(B180,raw!A:K,7,0)</f>
        <v>81</v>
      </c>
      <c r="E180">
        <f>VLOOKUP(B180,raw!A:K,4,0)</f>
        <v>0</v>
      </c>
      <c r="F180">
        <f>VLOOKUP(B180,raw!A:K,5,0)</f>
        <v>27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101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3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140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60</v>
      </c>
      <c r="D183">
        <f>VLOOKUP(B183,raw!A:K,3,0)+VLOOKUP(B183,raw!A:K,7,0)</f>
        <v>24</v>
      </c>
      <c r="E183">
        <f>VLOOKUP(B183,raw!A:K,4,0)</f>
        <v>0</v>
      </c>
      <c r="F183">
        <f>VLOOKUP(B183,raw!A:K,5,0)</f>
        <v>13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23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115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34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45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32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50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1</v>
      </c>
      <c r="H193">
        <f>VLOOKUP(B193,raw!A:K,6,0)</f>
        <v>0</v>
      </c>
      <c r="I193">
        <f>VLOOKUP(B193,raw!A:K,9,0)</f>
        <v>8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90</v>
      </c>
      <c r="D194">
        <f>VLOOKUP(B194,raw!A:K,3,0)+VLOOKUP(B194,raw!A:K,7,0)</f>
        <v>86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1</v>
      </c>
      <c r="H199">
        <f>VLOOKUP(B199,raw!A:K,6,0)</f>
        <v>0</v>
      </c>
      <c r="I199">
        <f>VLOOKUP(B199,raw!A:K,9,0)</f>
        <v>15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112</v>
      </c>
      <c r="D207">
        <f>VLOOKUP(B207,raw!A:K,3,0)+VLOOKUP(B207,raw!A:K,7,0)</f>
        <v>53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8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3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6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112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5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27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98</v>
      </c>
      <c r="D217">
        <f>VLOOKUP(B217,raw!A:K,3,0)+VLOOKUP(B217,raw!A:K,7,0)</f>
        <v>12</v>
      </c>
      <c r="E217">
        <f>VLOOKUP(B217,raw!A:K,4,0)</f>
        <v>4</v>
      </c>
      <c r="F217">
        <f>VLOOKUP(B217,raw!A:K,5,0)</f>
        <v>43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39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124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5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6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4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164</v>
      </c>
      <c r="D230">
        <f>VLOOKUP(B230,raw!A:K,3,0)+VLOOKUP(B230,raw!A:K,7,0)</f>
        <v>39</v>
      </c>
      <c r="E230">
        <f>VLOOKUP(B230,raw!A:K,4,0)</f>
        <v>12</v>
      </c>
      <c r="F230">
        <f>VLOOKUP(B230,raw!A:K,5,0)</f>
        <v>24</v>
      </c>
      <c r="G230">
        <f>VLOOKUP(B230,raw!A:K,2,0)+VLOOKUP(B230,raw!A:K,10,0)</f>
        <v>4</v>
      </c>
      <c r="H230">
        <f>VLOOKUP(B230,raw!A:K,6,0)</f>
        <v>0</v>
      </c>
      <c r="I230">
        <f>VLOOKUP(B230,raw!A:K,9,0)</f>
        <v>85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117</v>
      </c>
      <c r="D232">
        <f>VLOOKUP(B232,raw!A:K,3,0)+VLOOKUP(B232,raw!A:K,7,0)</f>
        <v>0</v>
      </c>
      <c r="E232">
        <f>VLOOKUP(B232,raw!A:K,4,0)</f>
        <v>17</v>
      </c>
      <c r="F232">
        <f>VLOOKUP(B232,raw!A:K,5,0)</f>
        <v>57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36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169</v>
      </c>
      <c r="D235">
        <f>VLOOKUP(B235,raw!A:K,3,0)+VLOOKUP(B235,raw!A:K,7,0)</f>
        <v>6</v>
      </c>
      <c r="E235">
        <f>VLOOKUP(B235,raw!A:K,4,0)</f>
        <v>29</v>
      </c>
      <c r="F235">
        <f>VLOOKUP(B235,raw!A:K,5,0)</f>
        <v>80</v>
      </c>
      <c r="G235">
        <f>VLOOKUP(B235,raw!A:K,2,0)+VLOOKUP(B235,raw!A:K,10,0)</f>
        <v>26</v>
      </c>
      <c r="H235">
        <f>VLOOKUP(B235,raw!A:K,6,0)</f>
        <v>0</v>
      </c>
      <c r="I235">
        <f>VLOOKUP(B235,raw!A:K,9,0)</f>
        <v>28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153</v>
      </c>
      <c r="D237">
        <f>VLOOKUP(B237,raw!A:K,3,0)+VLOOKUP(B237,raw!A:K,7,0)</f>
        <v>85</v>
      </c>
      <c r="E237">
        <f>VLOOKUP(B237,raw!A:K,4,0)</f>
        <v>10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24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18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26</v>
      </c>
      <c r="F239">
        <f>VLOOKUP(B239,raw!A:K,5,0)</f>
        <v>4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22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39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91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15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26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287</v>
      </c>
      <c r="D249">
        <f>VLOOKUP(B249,raw!A:K,3,0)+VLOOKUP(B249,raw!A:K,7,0)</f>
        <v>47</v>
      </c>
      <c r="E249">
        <f>VLOOKUP(B249,raw!A:K,4,0)</f>
        <v>29</v>
      </c>
      <c r="F249">
        <f>VLOOKUP(B249,raw!A:K,5,0)</f>
        <v>86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125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9</v>
      </c>
      <c r="F250">
        <f>VLOOKUP(B250,raw!A:K,5,0)</f>
        <v>22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35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14</v>
      </c>
      <c r="F255">
        <f>VLOOKUP(B255,raw!A:K,5,0)</f>
        <v>4</v>
      </c>
      <c r="G255">
        <f>VLOOKUP(B255,raw!A:K,2,0)+VLOOKUP(B255,raw!A:K,10,0)</f>
        <v>1</v>
      </c>
      <c r="H255">
        <f>VLOOKUP(B255,raw!A:K,6,0)</f>
        <v>0</v>
      </c>
      <c r="I255">
        <f>VLOOKUP(B255,raw!A:K,9,0)</f>
        <v>53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29</v>
      </c>
      <c r="F256">
        <f>VLOOKUP(B256,raw!A:K,5,0)</f>
        <v>39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21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41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212</v>
      </c>
      <c r="D261">
        <f>VLOOKUP(B261,raw!A:K,3,0)+VLOOKUP(B261,raw!A:K,7,0)</f>
        <v>113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99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228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12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49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145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13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108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4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141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73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54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67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39</v>
      </c>
      <c r="H272">
        <f>VLOOKUP(B272,raw!A:K,6,0)</f>
        <v>1</v>
      </c>
      <c r="I272">
        <f>VLOOKUP(B272,raw!A:K,9,0)</f>
        <v>10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128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12</v>
      </c>
      <c r="F278">
        <f>VLOOKUP(B278,raw!A:K,5,0)</f>
        <v>35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20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132</v>
      </c>
      <c r="D281">
        <f>VLOOKUP(B281,raw!A:K,3,0)+VLOOKUP(B281,raw!A:K,7,0)</f>
        <v>45</v>
      </c>
      <c r="E281">
        <f>VLOOKUP(B281,raw!A:K,4,0)</f>
        <v>14</v>
      </c>
      <c r="F281">
        <f>VLOOKUP(B281,raw!A:K,5,0)</f>
        <v>36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37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142</v>
      </c>
      <c r="D282">
        <f>VLOOKUP(B282,raw!A:K,3,0)+VLOOKUP(B282,raw!A:K,7,0)</f>
        <v>64</v>
      </c>
      <c r="E282">
        <f>VLOOKUP(B282,raw!A:K,4,0)</f>
        <v>22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69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32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49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59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27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118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11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24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8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16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37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1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0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18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6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18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89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13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69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379</v>
      </c>
      <c r="D313">
        <f>VLOOKUP(B313,raw!A:K,3,0)+VLOOKUP(B313,raw!A:K,7,0)</f>
        <v>201</v>
      </c>
      <c r="E313">
        <f>VLOOKUP(B313,raw!A:K,4,0)</f>
        <v>15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73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61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258</v>
      </c>
      <c r="D326">
        <f>VLOOKUP(B326,raw!A:K,3,0)+VLOOKUP(B326,raw!A:K,7,0)</f>
        <v>29</v>
      </c>
      <c r="E326">
        <f>VLOOKUP(B326,raw!A:K,4,0)</f>
        <v>9</v>
      </c>
      <c r="F326">
        <f>VLOOKUP(B326,raw!A:K,5,0)</f>
        <v>42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177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143</v>
      </c>
      <c r="D327">
        <f>VLOOKUP(B327,raw!A:K,3,0)+VLOOKUP(B327,raw!A:K,7,0)</f>
        <v>40</v>
      </c>
      <c r="E327">
        <f>VLOOKUP(B327,raw!A:K,4,0)</f>
        <v>3</v>
      </c>
      <c r="F327">
        <f>VLOOKUP(B327,raw!A:K,5,0)</f>
        <v>41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58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134</v>
      </c>
      <c r="D328">
        <f>VLOOKUP(B328,raw!A:K,3,0)+VLOOKUP(B328,raw!A:K,7,0)</f>
        <v>104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3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60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48</v>
      </c>
      <c r="F334">
        <f>VLOOKUP(B334,raw!A:K,5,0)</f>
        <v>15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15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103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33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26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26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11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50</v>
      </c>
      <c r="H347">
        <f>VLOOKUP(B347,raw!A:K,6,0)</f>
        <v>1</v>
      </c>
      <c r="I347">
        <f>VLOOKUP(B347,raw!A:K,9,0)</f>
        <v>6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17</v>
      </c>
      <c r="G350">
        <f>VLOOKUP(B350,raw!A:K,2,0)+VLOOKUP(B350,raw!A:K,10,0)</f>
        <v>5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5</v>
      </c>
      <c r="F352">
        <f>VLOOKUP(B352,raw!A:K,5,0)</f>
        <v>31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3</v>
      </c>
      <c r="F354">
        <f>VLOOKUP(B354,raw!A:K,5,0)</f>
        <v>16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6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46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61</v>
      </c>
      <c r="E360">
        <f>VLOOKUP(B360,raw!A:K,4,0)</f>
        <v>32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5</v>
      </c>
      <c r="F366">
        <f>VLOOKUP(B366,raw!A:K,5,0)</f>
        <v>1</v>
      </c>
      <c r="G366">
        <f>VLOOKUP(B366,raw!A:K,2,0)+VLOOKUP(B366,raw!A:K,10,0)</f>
        <v>2</v>
      </c>
      <c r="H366">
        <f>VLOOKUP(B366,raw!A:K,6,0)</f>
        <v>0</v>
      </c>
      <c r="I366">
        <f>VLOOKUP(B366,raw!A:K,9,0)</f>
        <v>96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216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47</v>
      </c>
      <c r="G367">
        <f>VLOOKUP(B367,raw!A:K,2,0)+VLOOKUP(B367,raw!A:K,10,0)</f>
        <v>5</v>
      </c>
      <c r="H367">
        <f>VLOOKUP(B367,raw!A:K,6,0)</f>
        <v>0</v>
      </c>
      <c r="I367">
        <f>VLOOKUP(B367,raw!A:K,9,0)</f>
        <v>127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2</v>
      </c>
      <c r="F368">
        <f>VLOOKUP(B368,raw!A:K,5,0)</f>
        <v>2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145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2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190</v>
      </c>
      <c r="D370">
        <f>VLOOKUP(B370,raw!A:K,3,0)+VLOOKUP(B370,raw!A:K,7,0)</f>
        <v>81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108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312</v>
      </c>
      <c r="D371">
        <f>VLOOKUP(B371,raw!A:K,3,0)+VLOOKUP(B371,raw!A:K,7,0)</f>
        <v>305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5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258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37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96</v>
      </c>
      <c r="E374">
        <f>VLOOKUP(B374,raw!A:K,4,0)</f>
        <v>5</v>
      </c>
      <c r="F374">
        <f>VLOOKUP(B374,raw!A:K,5,0)</f>
        <v>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41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192</v>
      </c>
      <c r="D375">
        <f>VLOOKUP(B375,raw!A:K,3,0)+VLOOKUP(B375,raw!A:K,7,0)</f>
        <v>167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95</v>
      </c>
      <c r="D376">
        <f>VLOOKUP(B376,raw!A:K,3,0)+VLOOKUP(B376,raw!A:K,7,0)</f>
        <v>0</v>
      </c>
      <c r="E376">
        <f>VLOOKUP(B376,raw!A:K,4,0)</f>
        <v>11</v>
      </c>
      <c r="F376">
        <f>VLOOKUP(B376,raw!A:K,5,0)</f>
        <v>76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8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20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86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83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3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123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39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43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1</v>
      </c>
      <c r="H392">
        <f>VLOOKUP(B392,raw!A:K,6,0)</f>
        <v>0</v>
      </c>
      <c r="I392">
        <f>VLOOKUP(B392,raw!A:K,9,0)</f>
        <v>18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47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54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111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13</v>
      </c>
      <c r="E398">
        <f>VLOOKUP(B398,raw!A:K,4,0)</f>
        <v>4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67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1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1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8</v>
      </c>
      <c r="F406">
        <f>VLOOKUP(B406,raw!A:K,5,0)</f>
        <v>1</v>
      </c>
      <c r="G406">
        <f>VLOOKUP(B406,raw!A:K,2,0)+VLOOKUP(B406,raw!A:K,10,0)</f>
        <v>1</v>
      </c>
      <c r="H406">
        <f>VLOOKUP(B406,raw!A:K,6,0)</f>
        <v>1</v>
      </c>
      <c r="I406">
        <f>VLOOKUP(B406,raw!A:K,9,0)</f>
        <v>59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14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43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98</v>
      </c>
      <c r="D410">
        <f>VLOOKUP(B410,raw!A:K,3,0)+VLOOKUP(B410,raw!A:K,7,0)</f>
        <v>21</v>
      </c>
      <c r="E410">
        <f>VLOOKUP(B410,raw!A:K,4,0)</f>
        <v>6</v>
      </c>
      <c r="F410">
        <f>VLOOKUP(B410,raw!A:K,5,0)</f>
        <v>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62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16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57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197</v>
      </c>
      <c r="D415">
        <f>VLOOKUP(B415,raw!A:K,3,0)+VLOOKUP(B415,raw!A:K,7,0)</f>
        <v>91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105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84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2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176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10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26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2</v>
      </c>
      <c r="F424">
        <f>VLOOKUP(B424,raw!A:K,5,0)</f>
        <v>2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117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1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5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88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107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219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197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1</v>
      </c>
      <c r="F438">
        <f>VLOOKUP(B438,raw!A:K,5,0)</f>
        <v>2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94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10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108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108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1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79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102</v>
      </c>
      <c r="D446">
        <f>VLOOKUP(B446,raw!A:K,3,0)+VLOOKUP(B446,raw!A:K,7,0)</f>
        <v>16</v>
      </c>
      <c r="E446">
        <f>VLOOKUP(B446,raw!A:K,4,0)</f>
        <v>9</v>
      </c>
      <c r="F446">
        <f>VLOOKUP(B446,raw!A:K,5,0)</f>
        <v>39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38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15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38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149</v>
      </c>
      <c r="D460">
        <f>VLOOKUP(B460,raw!A:K,3,0)+VLOOKUP(B460,raw!A:K,7,0)</f>
        <v>119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11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94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2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14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56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105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54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44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9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37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9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84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75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9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58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23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24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1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149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134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150</v>
      </c>
      <c r="D492">
        <f>VLOOKUP(B492,raw!A:K,3,0)+VLOOKUP(B492,raw!A:K,7,0)</f>
        <v>92</v>
      </c>
      <c r="E492">
        <f>VLOOKUP(B492,raw!A:K,4,0)</f>
        <v>12</v>
      </c>
      <c r="F492">
        <f>VLOOKUP(B492,raw!A:K,5,0)</f>
        <v>0</v>
      </c>
      <c r="G492">
        <f>VLOOKUP(B492,raw!A:K,2,0)+VLOOKUP(B492,raw!A:K,10,0)</f>
        <v>3</v>
      </c>
      <c r="H492">
        <f>VLOOKUP(B492,raw!A:K,6,0)</f>
        <v>0</v>
      </c>
      <c r="I492">
        <f>VLOOKUP(B492,raw!A:K,9,0)</f>
        <v>43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129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6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137</v>
      </c>
      <c r="D494">
        <f>VLOOKUP(B494,raw!A:K,3,0)+VLOOKUP(B494,raw!A:K,7,0)</f>
        <v>111</v>
      </c>
      <c r="E494">
        <f>VLOOKUP(B494,raw!A:K,4,0)</f>
        <v>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22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122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283</v>
      </c>
      <c r="D497">
        <f>VLOOKUP(B497,raw!A:K,3,0)+VLOOKUP(B497,raw!A:K,7,0)</f>
        <v>182</v>
      </c>
      <c r="E497">
        <f>VLOOKUP(B497,raw!A:K,4,0)</f>
        <v>16</v>
      </c>
      <c r="F497">
        <f>VLOOKUP(B497,raw!A:K,5,0)</f>
        <v>13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72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220</v>
      </c>
      <c r="D498">
        <f>VLOOKUP(B498,raw!A:K,3,0)+VLOOKUP(B498,raw!A:K,7,0)</f>
        <v>185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75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33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52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0</v>
      </c>
      <c r="F503">
        <f>VLOOKUP(B503,raw!A:K,5,0)</f>
        <v>0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78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4</v>
      </c>
      <c r="G505">
        <f>VLOOKUP(B505,raw!A:K,2,0)+VLOOKUP(B505,raw!A:K,10,0)</f>
        <v>5</v>
      </c>
      <c r="H505">
        <f>VLOOKUP(B505,raw!A:K,6,0)</f>
        <v>0</v>
      </c>
      <c r="I505">
        <f>VLOOKUP(B505,raw!A:K,9,0)</f>
        <v>40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107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2</v>
      </c>
      <c r="F509">
        <f>VLOOKUP(B509,raw!A:K,5,0)</f>
        <v>2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38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11</v>
      </c>
      <c r="F510">
        <f>VLOOKUP(B510,raw!A:K,5,0)</f>
        <v>37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19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8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59</v>
      </c>
      <c r="D517">
        <f>VLOOKUP(B517,raw!A:K,3,0)+VLOOKUP(B517,raw!A:K,7,0)</f>
        <v>18</v>
      </c>
      <c r="E517">
        <f>VLOOKUP(B517,raw!A:K,4,0)</f>
        <v>0</v>
      </c>
      <c r="F517">
        <f>VLOOKUP(B517,raw!A:K,5,0)</f>
        <v>19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72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100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28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49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10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53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101</v>
      </c>
      <c r="D539">
        <f>VLOOKUP(B539,raw!A:K,3,0)+VLOOKUP(B539,raw!A:K,7,0)</f>
        <v>29</v>
      </c>
      <c r="E539">
        <f>VLOOKUP(B539,raw!A:K,4,0)</f>
        <v>0</v>
      </c>
      <c r="F539">
        <f>VLOOKUP(B539,raw!A:K,5,0)</f>
        <v>28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44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81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40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20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25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51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28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7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108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79</v>
      </c>
      <c r="E575">
        <f>VLOOKUP(B575,raw!A:K,4,0)</f>
        <v>25</v>
      </c>
      <c r="F575">
        <f>VLOOKUP(B575,raw!A:K,5,0)</f>
        <v>1</v>
      </c>
      <c r="G575">
        <f>VLOOKUP(B575,raw!A:K,2,0)+VLOOKUP(B575,raw!A:K,10,0)</f>
        <v>1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111</v>
      </c>
      <c r="D576">
        <f>VLOOKUP(B576,raw!A:K,3,0)+VLOOKUP(B576,raw!A:K,7,0)</f>
        <v>93</v>
      </c>
      <c r="E576">
        <f>VLOOKUP(B576,raw!A:K,4,0)</f>
        <v>12</v>
      </c>
      <c r="F576">
        <f>VLOOKUP(B576,raw!A:K,5,0)</f>
        <v>5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99</v>
      </c>
      <c r="D577">
        <f>VLOOKUP(B577,raw!A:K,3,0)+VLOOKUP(B577,raw!A:K,7,0)</f>
        <v>90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2</v>
      </c>
      <c r="F583">
        <f>VLOOKUP(B583,raw!A:K,5,0)</f>
        <v>1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13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49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8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35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5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39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40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8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7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10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75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9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70</v>
      </c>
      <c r="D617">
        <f>VLOOKUP(B617,raw!A:K,3,0)+VLOOKUP(B617,raw!A:K,7,0)</f>
        <v>51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7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44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14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34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32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0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6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136</v>
      </c>
      <c r="D634">
        <f>VLOOKUP(B634,raw!A:K,3,0)+VLOOKUP(B634,raw!A:K,7,0)</f>
        <v>58</v>
      </c>
      <c r="E634">
        <f>VLOOKUP(B634,raw!A:K,4,0)</f>
        <v>0</v>
      </c>
      <c r="F634">
        <f>VLOOKUP(B634,raw!A:K,5,0)</f>
        <v>55</v>
      </c>
      <c r="G634">
        <f>VLOOKUP(B634,raw!A:K,2,0)+VLOOKUP(B634,raw!A:K,10,0)</f>
        <v>3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17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24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5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6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36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119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18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5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17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37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32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20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182</v>
      </c>
      <c r="D656">
        <f>VLOOKUP(B656,raw!A:K,3,0)+VLOOKUP(B656,raw!A:K,7,0)</f>
        <v>78</v>
      </c>
      <c r="E656">
        <f>VLOOKUP(B656,raw!A:K,4,0)</f>
        <v>3</v>
      </c>
      <c r="F656">
        <f>VLOOKUP(B656,raw!A:K,5,0)</f>
        <v>69</v>
      </c>
      <c r="G656">
        <f>VLOOKUP(B656,raw!A:K,2,0)+VLOOKUP(B656,raw!A:K,10,0)</f>
        <v>1</v>
      </c>
      <c r="H656">
        <f>VLOOKUP(B656,raw!A:K,6,0)</f>
        <v>0</v>
      </c>
      <c r="I656">
        <f>VLOOKUP(B656,raw!A:K,9,0)</f>
        <v>31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43</v>
      </c>
      <c r="E657">
        <f>VLOOKUP(B657,raw!A:K,4,0)</f>
        <v>5</v>
      </c>
      <c r="F657">
        <f>VLOOKUP(B657,raw!A:K,5,0)</f>
        <v>12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27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59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45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1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80</v>
      </c>
      <c r="D667">
        <f>VLOOKUP(B667,raw!A:K,3,0)+VLOOKUP(B667,raw!A:K,7,0)</f>
        <v>21</v>
      </c>
      <c r="E667">
        <f>VLOOKUP(B667,raw!A:K,4,0)</f>
        <v>1</v>
      </c>
      <c r="F667">
        <f>VLOOKUP(B667,raw!A:K,5,0)</f>
        <v>58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63</v>
      </c>
      <c r="D668">
        <f>VLOOKUP(B668,raw!A:K,3,0)+VLOOKUP(B668,raw!A:K,7,0)</f>
        <v>15</v>
      </c>
      <c r="E668">
        <f>VLOOKUP(B668,raw!A:K,4,0)</f>
        <v>13</v>
      </c>
      <c r="F668">
        <f>VLOOKUP(B668,raw!A:K,5,0)</f>
        <v>16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24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34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65</v>
      </c>
      <c r="D673">
        <f>VLOOKUP(B673,raw!A:K,3,0)+VLOOKUP(B673,raw!A:K,7,0)</f>
        <v>6</v>
      </c>
      <c r="E673">
        <f>VLOOKUP(B673,raw!A:K,4,0)</f>
        <v>2</v>
      </c>
      <c r="F673">
        <f>VLOOKUP(B673,raw!A:K,5,0)</f>
        <v>16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40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12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25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21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43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69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5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22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64</v>
      </c>
      <c r="D703">
        <f>VLOOKUP(B703,raw!A:K,3,0)+VLOOKUP(B703,raw!A:K,7,0)</f>
        <v>10</v>
      </c>
      <c r="E703">
        <f>VLOOKUP(B703,raw!A:K,4,0)</f>
        <v>13</v>
      </c>
      <c r="F703">
        <f>VLOOKUP(B703,raw!A:K,5,0)</f>
        <v>29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12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11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10</v>
      </c>
      <c r="F709">
        <f>VLOOKUP(B709,raw!A:K,5,0)</f>
        <v>16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7</v>
      </c>
      <c r="F710">
        <f>VLOOKUP(B710,raw!A:K,5,0)</f>
        <v>9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8</v>
      </c>
      <c r="F711">
        <f>VLOOKUP(B711,raw!A:K,5,0)</f>
        <v>58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87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102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59</v>
      </c>
      <c r="G726">
        <f>VLOOKUP(B726,raw!A:K,2,0)+VLOOKUP(B726,raw!A:K,10,0)</f>
        <v>3</v>
      </c>
      <c r="H726">
        <f>VLOOKUP(B726,raw!A:K,6,0)</f>
        <v>0</v>
      </c>
      <c r="I726">
        <f>VLOOKUP(B726,raw!A:K,9,0)</f>
        <v>29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27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67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18</v>
      </c>
      <c r="F735">
        <f>VLOOKUP(B735,raw!A:K,5,0)</f>
        <v>5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67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250</v>
      </c>
      <c r="D738">
        <f>VLOOKUP(B738,raw!A:K,3,0)+VLOOKUP(B738,raw!A:K,7,0)</f>
        <v>177</v>
      </c>
      <c r="E738">
        <f>VLOOKUP(B738,raw!A:K,4,0)</f>
        <v>3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69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87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56</v>
      </c>
      <c r="E740">
        <f>VLOOKUP(B740,raw!A:K,4,0)</f>
        <v>3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25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93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46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9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245</v>
      </c>
      <c r="D746">
        <f>VLOOKUP(B746,raw!A:K,3,0)+VLOOKUP(B746,raw!A:K,7,0)</f>
        <v>42</v>
      </c>
      <c r="E746">
        <f>VLOOKUP(B746,raw!A:K,4,0)</f>
        <v>1</v>
      </c>
      <c r="F746">
        <f>VLOOKUP(B746,raw!A:K,5,0)</f>
        <v>49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13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1</v>
      </c>
      <c r="G751">
        <f>VLOOKUP(B751,raw!A:K,2,0)+VLOOKUP(B751,raw!A:K,10,0)</f>
        <v>1</v>
      </c>
      <c r="H751">
        <f>VLOOKUP(B751,raw!A:K,6,0)</f>
        <v>0</v>
      </c>
      <c r="I751">
        <f>VLOOKUP(B751,raw!A:K,9,0)</f>
        <v>19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4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110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3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68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261</v>
      </c>
      <c r="D756">
        <f>VLOOKUP(B756,raw!A:K,3,0)+VLOOKUP(B756,raw!A:K,7,0)</f>
        <v>7</v>
      </c>
      <c r="E756">
        <f>VLOOKUP(B756,raw!A:K,4,0)</f>
        <v>17</v>
      </c>
      <c r="F756">
        <f>VLOOKUP(B756,raw!A:K,5,0)</f>
        <v>130</v>
      </c>
      <c r="G756">
        <f>VLOOKUP(B756,raw!A:K,2,0)+VLOOKUP(B756,raw!A:K,10,0)</f>
        <v>13</v>
      </c>
      <c r="H756">
        <f>VLOOKUP(B756,raw!A:K,6,0)</f>
        <v>0</v>
      </c>
      <c r="I756">
        <f>VLOOKUP(B756,raw!A:K,9,0)</f>
        <v>94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164</v>
      </c>
      <c r="D758">
        <f>VLOOKUP(B758,raw!A:K,3,0)+VLOOKUP(B758,raw!A:K,7,0)</f>
        <v>0</v>
      </c>
      <c r="E758">
        <f>VLOOKUP(B758,raw!A:K,4,0)</f>
        <v>23</v>
      </c>
      <c r="F758">
        <f>VLOOKUP(B758,raw!A:K,5,0)</f>
        <v>44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41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10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28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1</v>
      </c>
      <c r="F764">
        <f>VLOOKUP(B764,raw!A:K,5,0)</f>
        <v>49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7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21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11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33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116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10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2</v>
      </c>
      <c r="F776">
        <f>VLOOKUP(B776,raw!A:K,5,0)</f>
        <v>19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25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127</v>
      </c>
      <c r="D784">
        <f>VLOOKUP(B784,raw!A:K,3,0)+VLOOKUP(B784,raw!A:K,7,0)</f>
        <v>18</v>
      </c>
      <c r="E784">
        <f>VLOOKUP(B784,raw!A:K,4,0)</f>
        <v>23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113</v>
      </c>
      <c r="D785">
        <f>VLOOKUP(B785,raw!A:K,3,0)+VLOOKUP(B785,raw!A:K,7,0)</f>
        <v>67</v>
      </c>
      <c r="E785">
        <f>VLOOKUP(B785,raw!A:K,4,0)</f>
        <v>11</v>
      </c>
      <c r="F785">
        <f>VLOOKUP(B785,raw!A:K,5,0)</f>
        <v>25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51</v>
      </c>
      <c r="D792">
        <f>VLOOKUP(B792,raw!A:K,3,0)+VLOOKUP(B792,raw!A:K,7,0)</f>
        <v>38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5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1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8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3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15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1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38</v>
      </c>
      <c r="E799">
        <f>VLOOKUP(B799,raw!A:K,4,0)</f>
        <v>10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11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69</v>
      </c>
      <c r="D800">
        <f>VLOOKUP(B800,raw!A:K,3,0)+VLOOKUP(B800,raw!A:K,7,0)</f>
        <v>43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150</v>
      </c>
      <c r="D806">
        <f>VLOOKUP(B806,raw!A:K,3,0)+VLOOKUP(B806,raw!A:K,7,0)</f>
        <v>129</v>
      </c>
      <c r="E806">
        <f>VLOOKUP(B806,raw!A:K,4,0)</f>
        <v>7</v>
      </c>
      <c r="F806">
        <f>VLOOKUP(B806,raw!A:K,5,0)</f>
        <v>2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32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113</v>
      </c>
      <c r="D816">
        <f>VLOOKUP(B816,raw!A:K,3,0)+VLOOKUP(B816,raw!A:K,7,0)</f>
        <v>8</v>
      </c>
      <c r="E816">
        <f>VLOOKUP(B816,raw!A:K,4,0)</f>
        <v>52</v>
      </c>
      <c r="F816">
        <f>VLOOKUP(B816,raw!A:K,5,0)</f>
        <v>45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8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42</v>
      </c>
      <c r="D822">
        <f>VLOOKUP(B822,raw!A:K,3,0)+VLOOKUP(B822,raw!A:K,7,0)</f>
        <v>18</v>
      </c>
      <c r="E822">
        <f>VLOOKUP(B822,raw!A:K,4,0)</f>
        <v>3</v>
      </c>
      <c r="F822">
        <f>VLOOKUP(B822,raw!A:K,5,0)</f>
        <v>21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22</v>
      </c>
      <c r="E826">
        <f>VLOOKUP(B826,raw!A:K,4,0)</f>
        <v>0</v>
      </c>
      <c r="F826">
        <f>VLOOKUP(B826,raw!A:K,5,0)</f>
        <v>14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9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140</v>
      </c>
      <c r="D836">
        <f>VLOOKUP(B836,raw!A:K,3,0)+VLOOKUP(B836,raw!A:K,7,0)</f>
        <v>60</v>
      </c>
      <c r="E836">
        <f>VLOOKUP(B836,raw!A:K,4,0)</f>
        <v>1</v>
      </c>
      <c r="F836">
        <f>VLOOKUP(B836,raw!A:K,5,0)</f>
        <v>76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74</v>
      </c>
      <c r="D841">
        <f>VLOOKUP(B841,raw!A:K,3,0)+VLOOKUP(B841,raw!A:K,7,0)</f>
        <v>65</v>
      </c>
      <c r="E841">
        <f>VLOOKUP(B841,raw!A:K,4,0)</f>
        <v>7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95</v>
      </c>
      <c r="D842">
        <f>VLOOKUP(B842,raw!A:K,3,0)+VLOOKUP(B842,raw!A:K,7,0)</f>
        <v>59</v>
      </c>
      <c r="E842">
        <f>VLOOKUP(B842,raw!A:K,4,0)</f>
        <v>5</v>
      </c>
      <c r="F842">
        <f>VLOOKUP(B842,raw!A:K,5,0)</f>
        <v>30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62</v>
      </c>
      <c r="D843">
        <f>VLOOKUP(B843,raw!A:K,3,0)+VLOOKUP(B843,raw!A:K,7,0)</f>
        <v>55</v>
      </c>
      <c r="E843">
        <f>VLOOKUP(B843,raw!A:K,4,0)</f>
        <v>4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122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150</v>
      </c>
      <c r="D846">
        <f>VLOOKUP(B846,raw!A:K,3,0)+VLOOKUP(B846,raw!A:K,7,0)</f>
        <v>136</v>
      </c>
      <c r="E846">
        <f>VLOOKUP(B846,raw!A:K,4,0)</f>
        <v>8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55</v>
      </c>
      <c r="D847">
        <f>VLOOKUP(B847,raw!A:K,3,0)+VLOOKUP(B847,raw!A:K,7,0)</f>
        <v>34</v>
      </c>
      <c r="E847">
        <f>VLOOKUP(B847,raw!A:K,4,0)</f>
        <v>3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36</v>
      </c>
      <c r="E848">
        <f>VLOOKUP(B848,raw!A:K,4,0)</f>
        <v>1</v>
      </c>
      <c r="F848">
        <f>VLOOKUP(B848,raw!A:K,5,0)</f>
        <v>8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17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66</v>
      </c>
      <c r="D849">
        <f>VLOOKUP(B849,raw!A:K,3,0)+VLOOKUP(B849,raw!A:K,7,0)</f>
        <v>41</v>
      </c>
      <c r="E849">
        <f>VLOOKUP(B849,raw!A:K,4,0)</f>
        <v>10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17</v>
      </c>
      <c r="E853">
        <f>VLOOKUP(B853,raw!A:K,4,0)</f>
        <v>20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4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174</v>
      </c>
      <c r="D863">
        <f>VLOOKUP(B863,raw!A:K,3,0)+VLOOKUP(B863,raw!A:K,7,0)</f>
        <v>124</v>
      </c>
      <c r="E863">
        <f>VLOOKUP(B863,raw!A:K,4,0)</f>
        <v>6</v>
      </c>
      <c r="F863">
        <f>VLOOKUP(B863,raw!A:K,5,0)</f>
        <v>34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36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96</v>
      </c>
      <c r="D873">
        <f>VLOOKUP(B873,raw!A:K,3,0)+VLOOKUP(B873,raw!A:K,7,0)</f>
        <v>41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1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1</v>
      </c>
      <c r="F875">
        <f>VLOOKUP(B875,raw!A:K,5,0)</f>
        <v>27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3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141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12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164</v>
      </c>
      <c r="D887">
        <f>VLOOKUP(B887,raw!A:K,3,0)+VLOOKUP(B887,raw!A:K,7,0)</f>
        <v>25</v>
      </c>
      <c r="E887">
        <f>VLOOKUP(B887,raw!A:K,4,0)</f>
        <v>53</v>
      </c>
      <c r="F887">
        <f>VLOOKUP(B887,raw!A:K,5,0)</f>
        <v>22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163</v>
      </c>
      <c r="D888">
        <f>VLOOKUP(B888,raw!A:K,3,0)+VLOOKUP(B888,raw!A:K,7,0)</f>
        <v>80</v>
      </c>
      <c r="E888">
        <f>VLOOKUP(B888,raw!A:K,4,0)</f>
        <v>22</v>
      </c>
      <c r="F888">
        <f>VLOOKUP(B888,raw!A:K,5,0)</f>
        <v>14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41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45</v>
      </c>
      <c r="F889">
        <f>VLOOKUP(B889,raw!A:K,5,0)</f>
        <v>11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31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108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56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207</v>
      </c>
      <c r="D893">
        <f>VLOOKUP(B893,raw!A:K,3,0)+VLOOKUP(B893,raw!A:K,7,0)</f>
        <v>148</v>
      </c>
      <c r="E893">
        <f>VLOOKUP(B893,raw!A:K,4,0)</f>
        <v>27</v>
      </c>
      <c r="F893">
        <f>VLOOKUP(B893,raw!A:K,5,0)</f>
        <v>28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160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2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172</v>
      </c>
      <c r="E899">
        <f>VLOOKUP(B899,raw!A:K,4,0)</f>
        <v>14</v>
      </c>
      <c r="F899">
        <f>VLOOKUP(B899,raw!A:K,5,0)</f>
        <v>7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16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140</v>
      </c>
      <c r="D901">
        <f>VLOOKUP(B901,raw!A:K,3,0)+VLOOKUP(B901,raw!A:K,7,0)</f>
        <v>129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9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86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19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242</v>
      </c>
      <c r="D903">
        <f>VLOOKUP(B903,raw!A:K,3,0)+VLOOKUP(B903,raw!A:K,7,0)</f>
        <v>168</v>
      </c>
      <c r="E903">
        <f>VLOOKUP(B903,raw!A:K,4,0)</f>
        <v>38</v>
      </c>
      <c r="F903">
        <f>VLOOKUP(B903,raw!A:K,5,0)</f>
        <v>29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166</v>
      </c>
      <c r="D904">
        <f>VLOOKUP(B904,raw!A:K,3,0)+VLOOKUP(B904,raw!A:K,7,0)</f>
        <v>162</v>
      </c>
      <c r="E904">
        <f>VLOOKUP(B904,raw!A:K,4,0)</f>
        <v>1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108</v>
      </c>
      <c r="D905">
        <f>VLOOKUP(B905,raw!A:K,3,0)+VLOOKUP(B905,raw!A:K,7,0)</f>
        <v>37</v>
      </c>
      <c r="E905">
        <f>VLOOKUP(B905,raw!A:K,4,0)</f>
        <v>4</v>
      </c>
      <c r="F905">
        <f>VLOOKUP(B905,raw!A:K,5,0)</f>
        <v>67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9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139</v>
      </c>
      <c r="D910">
        <f>VLOOKUP(B910,raw!A:K,3,0)+VLOOKUP(B910,raw!A:K,7,0)</f>
        <v>130</v>
      </c>
      <c r="E910">
        <f>VLOOKUP(B910,raw!A:K,4,0)</f>
        <v>5</v>
      </c>
      <c r="F910">
        <f>VLOOKUP(B910,raw!A:K,5,0)</f>
        <v>2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80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34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5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17</v>
      </c>
      <c r="F916">
        <f>VLOOKUP(B916,raw!A:K,5,0)</f>
        <v>43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124</v>
      </c>
      <c r="D924">
        <f>VLOOKUP(B924,raw!A:K,3,0)+VLOOKUP(B924,raw!A:K,7,0)</f>
        <v>41</v>
      </c>
      <c r="E924">
        <f>VLOOKUP(B924,raw!A:K,4,0)</f>
        <v>9</v>
      </c>
      <c r="F924">
        <f>VLOOKUP(B924,raw!A:K,5,0)</f>
        <v>59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95</v>
      </c>
      <c r="D928">
        <f>VLOOKUP(B928,raw!A:K,3,0)+VLOOKUP(B928,raw!A:K,7,0)</f>
        <v>16</v>
      </c>
      <c r="E928">
        <f>VLOOKUP(B928,raw!A:K,4,0)</f>
        <v>8</v>
      </c>
      <c r="F928">
        <f>VLOOKUP(B928,raw!A:K,5,0)</f>
        <v>25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46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75</v>
      </c>
      <c r="D931">
        <f>VLOOKUP(B931,raw!A:K,3,0)+VLOOKUP(B931,raw!A:K,7,0)</f>
        <v>39</v>
      </c>
      <c r="E931">
        <f>VLOOKUP(B931,raw!A:K,4,0)</f>
        <v>0</v>
      </c>
      <c r="F931">
        <f>VLOOKUP(B931,raw!A:K,5,0)</f>
        <v>11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25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93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2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102</v>
      </c>
      <c r="D941">
        <f>VLOOKUP(B941,raw!A:K,3,0)+VLOOKUP(B941,raw!A:K,7,0)</f>
        <v>9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80</v>
      </c>
      <c r="D949">
        <f>VLOOKUP(B949,raw!A:K,3,0)+VLOOKUP(B949,raw!A:K,7,0)</f>
        <v>8</v>
      </c>
      <c r="E949">
        <f>VLOOKUP(B949,raw!A:K,4,0)</f>
        <v>11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41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71</v>
      </c>
      <c r="D953">
        <f>VLOOKUP(B953,raw!A:K,3,0)+VLOOKUP(B953,raw!A:K,7,0)</f>
        <v>61</v>
      </c>
      <c r="E953">
        <f>VLOOKUP(B953,raw!A:K,4,0)</f>
        <v>0</v>
      </c>
      <c r="F953">
        <f>VLOOKUP(B953,raw!A:K,5,0)</f>
        <v>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2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60</v>
      </c>
      <c r="D954">
        <f>VLOOKUP(B954,raw!A:K,3,0)+VLOOKUP(B954,raw!A:K,7,0)</f>
        <v>41</v>
      </c>
      <c r="E954">
        <f>VLOOKUP(B954,raw!A:K,4,0)</f>
        <v>4</v>
      </c>
      <c r="F954">
        <f>VLOOKUP(B954,raw!A:K,5,0)</f>
        <v>10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5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85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49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30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11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12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38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13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6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13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31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76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1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49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220</v>
      </c>
      <c r="D974">
        <f>VLOOKUP(B974,raw!A:K,3,0)+VLOOKUP(B974,raw!A:K,7,0)</f>
        <v>65</v>
      </c>
      <c r="E974">
        <f>VLOOKUP(B974,raw!A:K,4,0)</f>
        <v>53</v>
      </c>
      <c r="F974">
        <f>VLOOKUP(B974,raw!A:K,5,0)</f>
        <v>96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19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2</v>
      </c>
      <c r="F987">
        <f>VLOOKUP(B987,raw!A:K,5,0)</f>
        <v>21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54</v>
      </c>
      <c r="D990">
        <f>VLOOKUP(B990,raw!A:K,3,0)+VLOOKUP(B990,raw!A:K,7,0)</f>
        <v>29</v>
      </c>
      <c r="E990">
        <f>VLOOKUP(B990,raw!A:K,4,0)</f>
        <v>12</v>
      </c>
      <c r="F990">
        <f>VLOOKUP(B990,raw!A:K,5,0)</f>
        <v>6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7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94</v>
      </c>
      <c r="D993">
        <f>VLOOKUP(B993,raw!A:K,3,0)+VLOOKUP(B993,raw!A:K,7,0)</f>
        <v>25</v>
      </c>
      <c r="E993">
        <f>VLOOKUP(B993,raw!A:K,4,0)</f>
        <v>52</v>
      </c>
      <c r="F993">
        <f>VLOOKUP(B993,raw!A:K,5,0)</f>
        <v>16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127</v>
      </c>
      <c r="D999">
        <f>VLOOKUP(B999,raw!A:K,3,0)+VLOOKUP(B999,raw!A:K,7,0)</f>
        <v>73</v>
      </c>
      <c r="E999">
        <f>VLOOKUP(B999,raw!A:K,4,0)</f>
        <v>1</v>
      </c>
      <c r="F999">
        <f>VLOOKUP(B999,raw!A:K,5,0)</f>
        <v>39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108</v>
      </c>
      <c r="E1001">
        <f>VLOOKUP(B1001,raw!A:K,4,0)</f>
        <v>9</v>
      </c>
      <c r="F1001">
        <f>VLOOKUP(B1001,raw!A:K,5,0)</f>
        <v>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152</v>
      </c>
      <c r="D1002">
        <f>VLOOKUP(B1002,raw!A:K,3,0)+VLOOKUP(B1002,raw!A:K,7,0)</f>
        <v>116</v>
      </c>
      <c r="E1002">
        <f>VLOOKUP(B1002,raw!A:K,4,0)</f>
        <v>1</v>
      </c>
      <c r="F1002">
        <f>VLOOKUP(B1002,raw!A:K,5,0)</f>
        <v>28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7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46</v>
      </c>
      <c r="E1007">
        <f>VLOOKUP(B1007,raw!A:K,4,0)</f>
        <v>0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83</v>
      </c>
      <c r="D1008">
        <f>VLOOKUP(B1008,raw!A:K,3,0)+VLOOKUP(B1008,raw!A:K,7,0)</f>
        <v>18</v>
      </c>
      <c r="E1008">
        <f>VLOOKUP(B1008,raw!A:K,4,0)</f>
        <v>0</v>
      </c>
      <c r="F1008">
        <f>VLOOKUP(B1008,raw!A:K,5,0)</f>
        <v>58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7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76</v>
      </c>
      <c r="E1009">
        <f>VLOOKUP(B1009,raw!A:K,4,0)</f>
        <v>6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37</v>
      </c>
      <c r="E1020">
        <f>VLOOKUP(B1020,raw!A:K,4,0)</f>
        <v>11</v>
      </c>
      <c r="F1020">
        <f>VLOOKUP(B1020,raw!A:K,5,0)</f>
        <v>10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39</v>
      </c>
      <c r="E1021">
        <f>VLOOKUP(B1021,raw!A:K,4,0)</f>
        <v>5</v>
      </c>
      <c r="F1021">
        <f>VLOOKUP(B1021,raw!A:K,5,0)</f>
        <v>8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8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80</v>
      </c>
      <c r="E1022">
        <f>VLOOKUP(B1022,raw!A:K,4,0)</f>
        <v>12</v>
      </c>
      <c r="F1022">
        <f>VLOOKUP(B1022,raw!A:K,5,0)</f>
        <v>6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23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12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19</v>
      </c>
      <c r="E1025">
        <f>VLOOKUP(B1025,raw!A:K,4,0)</f>
        <v>19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9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14</v>
      </c>
      <c r="E1026">
        <f>VLOOKUP(B1026,raw!A:K,4,0)</f>
        <v>21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86</v>
      </c>
      <c r="D1028">
        <f>VLOOKUP(B1028,raw!A:K,3,0)+VLOOKUP(B1028,raw!A:K,7,0)</f>
        <v>54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13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65</v>
      </c>
      <c r="D1029">
        <f>VLOOKUP(B1029,raw!A:K,3,0)+VLOOKUP(B1029,raw!A:K,7,0)</f>
        <v>15</v>
      </c>
      <c r="E1029">
        <f>VLOOKUP(B1029,raw!A:K,4,0)</f>
        <v>20</v>
      </c>
      <c r="F1029">
        <f>VLOOKUP(B1029,raw!A:K,5,0)</f>
        <v>23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13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45</v>
      </c>
      <c r="D1041">
        <f>VLOOKUP(B1041,raw!A:K,3,0)+VLOOKUP(B1041,raw!A:K,7,0)</f>
        <v>37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7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82</v>
      </c>
      <c r="D1043">
        <f>VLOOKUP(B1043,raw!A:K,3,0)+VLOOKUP(B1043,raw!A:K,7,0)</f>
        <v>26</v>
      </c>
      <c r="E1043">
        <f>VLOOKUP(B1043,raw!A:K,4,0)</f>
        <v>17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33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10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21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2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15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11</v>
      </c>
      <c r="F1050">
        <f>VLOOKUP(B1050,raw!A:K,5,0)</f>
        <v>11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11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8</v>
      </c>
      <c r="F1053">
        <f>VLOOKUP(B1053,raw!A:K,5,0)</f>
        <v>29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13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9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20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16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51</v>
      </c>
      <c r="D1058">
        <f>VLOOKUP(B1058,raw!A:K,3,0)+VLOOKUP(B1058,raw!A:K,7,0)</f>
        <v>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41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B5" sqref="B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t="s">
        <v>2056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999</v>
      </c>
      <c r="B3">
        <v>0</v>
      </c>
      <c r="C3">
        <v>68</v>
      </c>
      <c r="D3">
        <v>20</v>
      </c>
      <c r="E3">
        <v>12</v>
      </c>
      <c r="F3">
        <v>0</v>
      </c>
      <c r="G3">
        <v>0</v>
      </c>
      <c r="H3">
        <v>0</v>
      </c>
      <c r="I3">
        <v>0</v>
      </c>
      <c r="J3">
        <v>0</v>
      </c>
      <c r="K3">
        <v>100</v>
      </c>
    </row>
    <row r="4" spans="1:11" x14ac:dyDescent="0.25">
      <c r="A4" t="s">
        <v>1000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1001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1002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1003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1004</v>
      </c>
      <c r="B8">
        <v>0</v>
      </c>
      <c r="C8">
        <v>140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3</v>
      </c>
      <c r="K8">
        <v>144</v>
      </c>
    </row>
    <row r="9" spans="1:11" x14ac:dyDescent="0.25">
      <c r="A9" t="s">
        <v>1005</v>
      </c>
      <c r="B9">
        <v>0</v>
      </c>
      <c r="C9">
        <v>86</v>
      </c>
      <c r="D9">
        <v>14</v>
      </c>
      <c r="E9">
        <v>5</v>
      </c>
      <c r="F9">
        <v>0</v>
      </c>
      <c r="G9">
        <v>0</v>
      </c>
      <c r="H9">
        <v>0</v>
      </c>
      <c r="I9">
        <v>58</v>
      </c>
      <c r="J9">
        <v>9</v>
      </c>
      <c r="K9">
        <v>172</v>
      </c>
    </row>
    <row r="10" spans="1:11" x14ac:dyDescent="0.25">
      <c r="A10" t="s">
        <v>1006</v>
      </c>
      <c r="B10">
        <v>0</v>
      </c>
      <c r="C10">
        <v>143</v>
      </c>
      <c r="D10">
        <v>3</v>
      </c>
      <c r="E10">
        <v>1</v>
      </c>
      <c r="F10">
        <v>0</v>
      </c>
      <c r="G10">
        <v>1</v>
      </c>
      <c r="H10">
        <v>0</v>
      </c>
      <c r="I10">
        <v>0</v>
      </c>
      <c r="J10">
        <v>6</v>
      </c>
      <c r="K10">
        <v>154</v>
      </c>
    </row>
    <row r="11" spans="1:11" x14ac:dyDescent="0.25">
      <c r="A11" t="s">
        <v>1007</v>
      </c>
      <c r="B11">
        <v>0</v>
      </c>
      <c r="C11">
        <v>63</v>
      </c>
      <c r="D11">
        <v>12</v>
      </c>
      <c r="E11">
        <v>9</v>
      </c>
      <c r="F11">
        <v>0</v>
      </c>
      <c r="G11">
        <v>1</v>
      </c>
      <c r="H11">
        <v>0</v>
      </c>
      <c r="I11">
        <v>0</v>
      </c>
      <c r="J11">
        <v>0</v>
      </c>
      <c r="K11">
        <v>85</v>
      </c>
    </row>
    <row r="12" spans="1:11" x14ac:dyDescent="0.25">
      <c r="A12" t="s">
        <v>1008</v>
      </c>
      <c r="B12">
        <v>0</v>
      </c>
      <c r="C12">
        <v>194</v>
      </c>
      <c r="D12">
        <v>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198</v>
      </c>
    </row>
    <row r="13" spans="1:11" x14ac:dyDescent="0.25">
      <c r="A13" t="s">
        <v>1009</v>
      </c>
      <c r="B13">
        <v>0</v>
      </c>
      <c r="C13">
        <v>189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1010</v>
      </c>
      <c r="B14">
        <v>0</v>
      </c>
      <c r="C14">
        <v>96</v>
      </c>
      <c r="D14">
        <v>7</v>
      </c>
      <c r="E14">
        <v>15</v>
      </c>
      <c r="F14">
        <v>0</v>
      </c>
      <c r="G14">
        <v>14</v>
      </c>
      <c r="H14">
        <v>0</v>
      </c>
      <c r="I14">
        <v>0</v>
      </c>
      <c r="J14">
        <v>0</v>
      </c>
      <c r="K14">
        <v>132</v>
      </c>
    </row>
    <row r="15" spans="1:11" x14ac:dyDescent="0.25">
      <c r="A15" t="s">
        <v>1011</v>
      </c>
      <c r="B15">
        <v>0</v>
      </c>
      <c r="C15">
        <v>32</v>
      </c>
      <c r="D15">
        <v>15</v>
      </c>
      <c r="E15">
        <v>15</v>
      </c>
      <c r="F15">
        <v>0</v>
      </c>
      <c r="G15">
        <v>0</v>
      </c>
      <c r="H15">
        <v>0</v>
      </c>
      <c r="I15">
        <v>2</v>
      </c>
      <c r="J15">
        <v>0</v>
      </c>
      <c r="K15">
        <v>64</v>
      </c>
    </row>
    <row r="16" spans="1:11" x14ac:dyDescent="0.25">
      <c r="A16" t="s">
        <v>1012</v>
      </c>
      <c r="B16">
        <v>0</v>
      </c>
      <c r="C16">
        <v>99</v>
      </c>
      <c r="D16">
        <v>9</v>
      </c>
      <c r="E16">
        <v>30</v>
      </c>
      <c r="F16">
        <v>0</v>
      </c>
      <c r="G16">
        <v>5</v>
      </c>
      <c r="H16">
        <v>0</v>
      </c>
      <c r="I16">
        <v>2</v>
      </c>
      <c r="J16">
        <v>0</v>
      </c>
      <c r="K16">
        <v>145</v>
      </c>
    </row>
    <row r="17" spans="1:11" x14ac:dyDescent="0.25">
      <c r="A17" t="s">
        <v>1013</v>
      </c>
      <c r="B17">
        <v>0</v>
      </c>
      <c r="C17">
        <v>99</v>
      </c>
      <c r="D17">
        <v>2</v>
      </c>
      <c r="E17">
        <v>6</v>
      </c>
      <c r="F17">
        <v>0</v>
      </c>
      <c r="G17">
        <v>9</v>
      </c>
      <c r="H17">
        <v>0</v>
      </c>
      <c r="I17">
        <v>0</v>
      </c>
      <c r="J17">
        <v>0</v>
      </c>
      <c r="K17">
        <v>116</v>
      </c>
    </row>
    <row r="18" spans="1:11" x14ac:dyDescent="0.25">
      <c r="A18" t="s">
        <v>1014</v>
      </c>
      <c r="B18">
        <v>0</v>
      </c>
      <c r="C18">
        <v>77</v>
      </c>
      <c r="D18">
        <v>8</v>
      </c>
      <c r="E18">
        <v>19</v>
      </c>
      <c r="F18">
        <v>0</v>
      </c>
      <c r="G18">
        <v>1</v>
      </c>
      <c r="H18">
        <v>0</v>
      </c>
      <c r="I18">
        <v>0</v>
      </c>
      <c r="J18">
        <v>1</v>
      </c>
      <c r="K18">
        <v>106</v>
      </c>
    </row>
    <row r="19" spans="1:11" x14ac:dyDescent="0.25">
      <c r="A19" t="s">
        <v>1015</v>
      </c>
      <c r="B19">
        <v>0</v>
      </c>
      <c r="C19">
        <v>0</v>
      </c>
      <c r="D19">
        <v>1</v>
      </c>
      <c r="E19">
        <v>9</v>
      </c>
      <c r="F19">
        <v>0</v>
      </c>
      <c r="G19">
        <v>0</v>
      </c>
      <c r="H19">
        <v>0</v>
      </c>
      <c r="I19">
        <v>3</v>
      </c>
      <c r="J19">
        <v>0</v>
      </c>
      <c r="K19">
        <v>13</v>
      </c>
    </row>
    <row r="20" spans="1:11" x14ac:dyDescent="0.25">
      <c r="A20" t="s">
        <v>1016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1017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1018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1019</v>
      </c>
      <c r="B23">
        <v>0</v>
      </c>
      <c r="C23">
        <v>17</v>
      </c>
      <c r="D23">
        <v>2</v>
      </c>
      <c r="E23">
        <v>10</v>
      </c>
      <c r="F23">
        <v>0</v>
      </c>
      <c r="G23">
        <v>0</v>
      </c>
      <c r="H23">
        <v>0</v>
      </c>
      <c r="I23">
        <v>0</v>
      </c>
      <c r="J23">
        <v>0</v>
      </c>
      <c r="K23">
        <v>29</v>
      </c>
    </row>
    <row r="24" spans="1:11" x14ac:dyDescent="0.25">
      <c r="A24" t="s">
        <v>1020</v>
      </c>
      <c r="B24">
        <v>0</v>
      </c>
      <c r="C24">
        <v>0</v>
      </c>
      <c r="D24">
        <v>0</v>
      </c>
      <c r="E24">
        <v>12</v>
      </c>
      <c r="F24">
        <v>0</v>
      </c>
      <c r="G24">
        <v>0</v>
      </c>
      <c r="H24">
        <v>0</v>
      </c>
      <c r="I24">
        <v>10</v>
      </c>
      <c r="J24">
        <v>0</v>
      </c>
      <c r="K24">
        <v>22</v>
      </c>
    </row>
    <row r="25" spans="1:11" x14ac:dyDescent="0.25">
      <c r="A25" t="s">
        <v>1021</v>
      </c>
      <c r="B25">
        <v>0</v>
      </c>
      <c r="C25">
        <v>54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54</v>
      </c>
    </row>
    <row r="26" spans="1:11" x14ac:dyDescent="0.25">
      <c r="A26" t="s">
        <v>1022</v>
      </c>
      <c r="B26">
        <v>0</v>
      </c>
      <c r="C26">
        <v>43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43</v>
      </c>
    </row>
    <row r="27" spans="1:11" x14ac:dyDescent="0.25">
      <c r="A27" t="s">
        <v>1023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1024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1025</v>
      </c>
      <c r="B29">
        <v>0</v>
      </c>
      <c r="C29">
        <v>31</v>
      </c>
      <c r="D29">
        <v>0</v>
      </c>
      <c r="E29">
        <v>2</v>
      </c>
      <c r="F29">
        <v>0</v>
      </c>
      <c r="G29">
        <v>1</v>
      </c>
      <c r="H29">
        <v>0</v>
      </c>
      <c r="I29">
        <v>0</v>
      </c>
      <c r="J29">
        <v>0</v>
      </c>
      <c r="K29">
        <v>34</v>
      </c>
    </row>
    <row r="30" spans="1:11" x14ac:dyDescent="0.25">
      <c r="A30" t="s">
        <v>1026</v>
      </c>
      <c r="B30">
        <v>0</v>
      </c>
      <c r="C30">
        <v>47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48</v>
      </c>
    </row>
    <row r="31" spans="1:11" x14ac:dyDescent="0.25">
      <c r="A31" t="s">
        <v>1027</v>
      </c>
      <c r="B31">
        <v>0</v>
      </c>
      <c r="C31">
        <v>8</v>
      </c>
      <c r="D31">
        <v>0</v>
      </c>
      <c r="E31">
        <v>3</v>
      </c>
      <c r="F31">
        <v>0</v>
      </c>
      <c r="G31">
        <v>0</v>
      </c>
      <c r="H31">
        <v>0</v>
      </c>
      <c r="I31">
        <v>58</v>
      </c>
      <c r="J31">
        <v>0</v>
      </c>
      <c r="K31">
        <v>69</v>
      </c>
    </row>
    <row r="32" spans="1:11" x14ac:dyDescent="0.25">
      <c r="A32" t="s">
        <v>1028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1029</v>
      </c>
      <c r="B33">
        <v>0</v>
      </c>
      <c r="C33">
        <v>42</v>
      </c>
      <c r="D33">
        <v>1</v>
      </c>
      <c r="E33">
        <v>2</v>
      </c>
      <c r="F33">
        <v>0</v>
      </c>
      <c r="G33">
        <v>2</v>
      </c>
      <c r="H33">
        <v>0</v>
      </c>
      <c r="I33">
        <v>1</v>
      </c>
      <c r="J33">
        <v>0</v>
      </c>
      <c r="K33">
        <v>48</v>
      </c>
    </row>
    <row r="34" spans="1:11" x14ac:dyDescent="0.25">
      <c r="A34" t="s">
        <v>1030</v>
      </c>
      <c r="B34">
        <v>0</v>
      </c>
      <c r="C34">
        <v>50</v>
      </c>
      <c r="D34">
        <v>0</v>
      </c>
      <c r="E34">
        <v>7</v>
      </c>
      <c r="F34">
        <v>0</v>
      </c>
      <c r="G34">
        <v>0</v>
      </c>
      <c r="H34">
        <v>0</v>
      </c>
      <c r="I34">
        <v>4</v>
      </c>
      <c r="J34">
        <v>0</v>
      </c>
      <c r="K34">
        <v>61</v>
      </c>
    </row>
    <row r="35" spans="1:11" x14ac:dyDescent="0.25">
      <c r="A35" t="s">
        <v>1031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1032</v>
      </c>
      <c r="B36">
        <v>0</v>
      </c>
      <c r="C36">
        <v>56</v>
      </c>
      <c r="D36">
        <v>1</v>
      </c>
      <c r="E36">
        <v>1</v>
      </c>
      <c r="F36">
        <v>0</v>
      </c>
      <c r="G36">
        <v>1</v>
      </c>
      <c r="H36">
        <v>0</v>
      </c>
      <c r="I36">
        <v>2</v>
      </c>
      <c r="J36">
        <v>0</v>
      </c>
      <c r="K36">
        <v>61</v>
      </c>
    </row>
    <row r="37" spans="1:11" x14ac:dyDescent="0.25">
      <c r="A37" t="s">
        <v>1033</v>
      </c>
      <c r="B37">
        <v>0</v>
      </c>
      <c r="C37">
        <v>41</v>
      </c>
      <c r="D37">
        <v>1</v>
      </c>
      <c r="E37">
        <v>1</v>
      </c>
      <c r="F37">
        <v>0</v>
      </c>
      <c r="G37">
        <v>0</v>
      </c>
      <c r="H37">
        <v>0</v>
      </c>
      <c r="I37">
        <v>22</v>
      </c>
      <c r="J37">
        <v>0</v>
      </c>
      <c r="K37">
        <v>65</v>
      </c>
    </row>
    <row r="38" spans="1:11" x14ac:dyDescent="0.25">
      <c r="A38" t="s">
        <v>1034</v>
      </c>
      <c r="B38">
        <v>0</v>
      </c>
      <c r="C38">
        <v>10</v>
      </c>
      <c r="D38">
        <v>0</v>
      </c>
      <c r="E38">
        <v>11</v>
      </c>
      <c r="F38">
        <v>0</v>
      </c>
      <c r="G38">
        <v>0</v>
      </c>
      <c r="H38">
        <v>0</v>
      </c>
      <c r="I38">
        <v>41</v>
      </c>
      <c r="J38">
        <v>0</v>
      </c>
      <c r="K38">
        <v>62</v>
      </c>
    </row>
    <row r="39" spans="1:11" x14ac:dyDescent="0.25">
      <c r="A39" t="s">
        <v>1035</v>
      </c>
      <c r="B39">
        <v>0</v>
      </c>
      <c r="C39">
        <v>19</v>
      </c>
      <c r="D39">
        <v>0</v>
      </c>
      <c r="E39">
        <v>4</v>
      </c>
      <c r="F39">
        <v>0</v>
      </c>
      <c r="G39">
        <v>0</v>
      </c>
      <c r="H39">
        <v>0</v>
      </c>
      <c r="I39">
        <v>28</v>
      </c>
      <c r="J39">
        <v>0</v>
      </c>
      <c r="K39">
        <v>51</v>
      </c>
    </row>
    <row r="40" spans="1:11" x14ac:dyDescent="0.25">
      <c r="A40" t="s">
        <v>1036</v>
      </c>
      <c r="B40">
        <v>0</v>
      </c>
      <c r="C40">
        <v>15</v>
      </c>
      <c r="D40">
        <v>0</v>
      </c>
      <c r="E40">
        <v>7</v>
      </c>
      <c r="F40">
        <v>0</v>
      </c>
      <c r="G40">
        <v>0</v>
      </c>
      <c r="H40">
        <v>0</v>
      </c>
      <c r="I40">
        <v>30</v>
      </c>
      <c r="J40">
        <v>0</v>
      </c>
      <c r="K40">
        <v>52</v>
      </c>
    </row>
    <row r="41" spans="1:11" x14ac:dyDescent="0.25">
      <c r="A41" t="s">
        <v>1037</v>
      </c>
      <c r="B41">
        <v>0</v>
      </c>
      <c r="C41">
        <v>0</v>
      </c>
      <c r="D41">
        <v>0</v>
      </c>
      <c r="E41">
        <v>21</v>
      </c>
      <c r="F41">
        <v>0</v>
      </c>
      <c r="G41">
        <v>0</v>
      </c>
      <c r="H41">
        <v>0</v>
      </c>
      <c r="I41">
        <v>47</v>
      </c>
      <c r="J41">
        <v>0</v>
      </c>
      <c r="K41">
        <v>68</v>
      </c>
    </row>
    <row r="42" spans="1:11" x14ac:dyDescent="0.25">
      <c r="A42" t="s">
        <v>1038</v>
      </c>
      <c r="B42">
        <v>0</v>
      </c>
      <c r="C42">
        <v>0</v>
      </c>
      <c r="D42">
        <v>0</v>
      </c>
      <c r="E42">
        <v>11</v>
      </c>
      <c r="F42">
        <v>0</v>
      </c>
      <c r="G42">
        <v>0</v>
      </c>
      <c r="H42">
        <v>0</v>
      </c>
      <c r="I42">
        <v>9</v>
      </c>
      <c r="J42">
        <v>0</v>
      </c>
      <c r="K42">
        <v>20</v>
      </c>
    </row>
    <row r="43" spans="1:11" x14ac:dyDescent="0.25">
      <c r="A43" t="s">
        <v>1039</v>
      </c>
      <c r="B43">
        <v>0</v>
      </c>
      <c r="C43">
        <v>0</v>
      </c>
      <c r="D43">
        <v>0</v>
      </c>
      <c r="E43">
        <v>54</v>
      </c>
      <c r="F43">
        <v>0</v>
      </c>
      <c r="G43">
        <v>0</v>
      </c>
      <c r="H43">
        <v>0</v>
      </c>
      <c r="I43">
        <v>0</v>
      </c>
      <c r="J43">
        <v>0</v>
      </c>
      <c r="K43">
        <v>54</v>
      </c>
    </row>
    <row r="44" spans="1:11" x14ac:dyDescent="0.25">
      <c r="A44" t="s">
        <v>1040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1041</v>
      </c>
      <c r="B45">
        <v>0</v>
      </c>
      <c r="C45">
        <v>0</v>
      </c>
      <c r="D45">
        <v>5</v>
      </c>
      <c r="E45">
        <v>22</v>
      </c>
      <c r="F45">
        <v>0</v>
      </c>
      <c r="G45">
        <v>0</v>
      </c>
      <c r="H45">
        <v>0</v>
      </c>
      <c r="I45">
        <v>45</v>
      </c>
      <c r="J45">
        <v>0</v>
      </c>
      <c r="K45">
        <v>72</v>
      </c>
    </row>
    <row r="46" spans="1:11" x14ac:dyDescent="0.25">
      <c r="A46" t="s">
        <v>1042</v>
      </c>
      <c r="B46">
        <v>0</v>
      </c>
      <c r="C46">
        <v>0</v>
      </c>
      <c r="D46">
        <v>3</v>
      </c>
      <c r="E46">
        <v>31</v>
      </c>
      <c r="F46">
        <v>0</v>
      </c>
      <c r="G46">
        <v>0</v>
      </c>
      <c r="H46">
        <v>0</v>
      </c>
      <c r="I46">
        <v>25</v>
      </c>
      <c r="J46">
        <v>0</v>
      </c>
      <c r="K46">
        <v>59</v>
      </c>
    </row>
    <row r="47" spans="1:11" x14ac:dyDescent="0.25">
      <c r="A47" t="s">
        <v>1043</v>
      </c>
      <c r="B47">
        <v>0</v>
      </c>
      <c r="C47">
        <v>0</v>
      </c>
      <c r="D47">
        <v>6</v>
      </c>
      <c r="E47">
        <v>3</v>
      </c>
      <c r="F47">
        <v>0</v>
      </c>
      <c r="G47">
        <v>0</v>
      </c>
      <c r="H47">
        <v>0</v>
      </c>
      <c r="I47">
        <v>49</v>
      </c>
      <c r="J47">
        <v>0</v>
      </c>
      <c r="K47">
        <v>58</v>
      </c>
    </row>
    <row r="48" spans="1:11" x14ac:dyDescent="0.25">
      <c r="A48" t="s">
        <v>1044</v>
      </c>
      <c r="B48">
        <v>0</v>
      </c>
      <c r="C48">
        <v>0</v>
      </c>
      <c r="D48">
        <v>1</v>
      </c>
      <c r="E48">
        <v>3</v>
      </c>
      <c r="F48">
        <v>0</v>
      </c>
      <c r="G48">
        <v>0</v>
      </c>
      <c r="H48">
        <v>0</v>
      </c>
      <c r="I48">
        <v>49</v>
      </c>
      <c r="J48">
        <v>0</v>
      </c>
      <c r="K48">
        <v>53</v>
      </c>
    </row>
    <row r="49" spans="1:11" x14ac:dyDescent="0.25">
      <c r="A49" t="s">
        <v>1045</v>
      </c>
      <c r="B49">
        <v>0</v>
      </c>
      <c r="C49">
        <v>2</v>
      </c>
      <c r="D49">
        <v>2</v>
      </c>
      <c r="E49">
        <v>5</v>
      </c>
      <c r="F49">
        <v>0</v>
      </c>
      <c r="G49">
        <v>0</v>
      </c>
      <c r="H49">
        <v>0</v>
      </c>
      <c r="I49">
        <v>82</v>
      </c>
      <c r="J49">
        <v>0</v>
      </c>
      <c r="K49">
        <v>91</v>
      </c>
    </row>
    <row r="50" spans="1:11" x14ac:dyDescent="0.25">
      <c r="A50" t="s">
        <v>1046</v>
      </c>
      <c r="B50">
        <v>0</v>
      </c>
      <c r="C50">
        <v>85</v>
      </c>
      <c r="D50">
        <v>1</v>
      </c>
      <c r="E50">
        <v>1</v>
      </c>
      <c r="F50">
        <v>0</v>
      </c>
      <c r="G50">
        <v>1</v>
      </c>
      <c r="H50">
        <v>0</v>
      </c>
      <c r="I50">
        <v>6</v>
      </c>
      <c r="J50">
        <v>0</v>
      </c>
      <c r="K50">
        <v>94</v>
      </c>
    </row>
    <row r="51" spans="1:11" x14ac:dyDescent="0.25">
      <c r="A51" t="s">
        <v>1047</v>
      </c>
      <c r="B51">
        <v>0</v>
      </c>
      <c r="C51">
        <v>92</v>
      </c>
      <c r="D51">
        <v>3</v>
      </c>
      <c r="E51">
        <v>3</v>
      </c>
      <c r="F51">
        <v>0</v>
      </c>
      <c r="G51">
        <v>3</v>
      </c>
      <c r="H51">
        <v>0</v>
      </c>
      <c r="I51">
        <v>3</v>
      </c>
      <c r="J51">
        <v>0</v>
      </c>
      <c r="K51">
        <v>104</v>
      </c>
    </row>
    <row r="52" spans="1:11" x14ac:dyDescent="0.25">
      <c r="A52" t="s">
        <v>1048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1049</v>
      </c>
      <c r="B53">
        <v>0</v>
      </c>
      <c r="C53">
        <v>104</v>
      </c>
      <c r="D53">
        <v>0</v>
      </c>
      <c r="E53">
        <v>1</v>
      </c>
      <c r="F53">
        <v>0</v>
      </c>
      <c r="G53">
        <v>3</v>
      </c>
      <c r="H53">
        <v>0</v>
      </c>
      <c r="I53">
        <v>0</v>
      </c>
      <c r="J53">
        <v>0</v>
      </c>
      <c r="K53">
        <v>108</v>
      </c>
    </row>
    <row r="54" spans="1:11" x14ac:dyDescent="0.25">
      <c r="A54" t="s">
        <v>1050</v>
      </c>
      <c r="B54">
        <v>0</v>
      </c>
      <c r="C54">
        <v>86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0</v>
      </c>
      <c r="K54">
        <v>87</v>
      </c>
    </row>
    <row r="55" spans="1:11" x14ac:dyDescent="0.25">
      <c r="A55" t="s">
        <v>1051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1052</v>
      </c>
      <c r="B56">
        <v>0</v>
      </c>
      <c r="C56">
        <v>92</v>
      </c>
      <c r="D56">
        <v>3</v>
      </c>
      <c r="E56">
        <v>1</v>
      </c>
      <c r="F56">
        <v>0</v>
      </c>
      <c r="G56">
        <v>0</v>
      </c>
      <c r="H56">
        <v>0</v>
      </c>
      <c r="I56">
        <v>0</v>
      </c>
      <c r="J56">
        <v>1</v>
      </c>
      <c r="K56">
        <v>97</v>
      </c>
    </row>
    <row r="57" spans="1:11" x14ac:dyDescent="0.25">
      <c r="A57" t="s">
        <v>1053</v>
      </c>
      <c r="B57">
        <v>0</v>
      </c>
      <c r="C57">
        <v>127</v>
      </c>
      <c r="D57">
        <v>0</v>
      </c>
      <c r="E57">
        <v>0</v>
      </c>
      <c r="F57">
        <v>0</v>
      </c>
      <c r="G57">
        <v>2</v>
      </c>
      <c r="H57">
        <v>0</v>
      </c>
      <c r="I57">
        <v>3</v>
      </c>
      <c r="J57">
        <v>1</v>
      </c>
      <c r="K57">
        <v>133</v>
      </c>
    </row>
    <row r="58" spans="1:11" x14ac:dyDescent="0.25">
      <c r="A58" t="s">
        <v>1054</v>
      </c>
      <c r="B58">
        <v>0</v>
      </c>
      <c r="C58">
        <v>61</v>
      </c>
      <c r="D58">
        <v>1</v>
      </c>
      <c r="E58">
        <v>3</v>
      </c>
      <c r="F58">
        <v>0</v>
      </c>
      <c r="G58">
        <v>1</v>
      </c>
      <c r="H58">
        <v>0</v>
      </c>
      <c r="I58">
        <v>5</v>
      </c>
      <c r="J58">
        <v>0</v>
      </c>
      <c r="K58">
        <v>71</v>
      </c>
    </row>
    <row r="59" spans="1:11" x14ac:dyDescent="0.25">
      <c r="A59" t="s">
        <v>1055</v>
      </c>
      <c r="B59">
        <v>0</v>
      </c>
      <c r="C59">
        <v>34</v>
      </c>
      <c r="D59">
        <v>0</v>
      </c>
      <c r="E59">
        <v>1</v>
      </c>
      <c r="F59">
        <v>0</v>
      </c>
      <c r="G59">
        <v>0</v>
      </c>
      <c r="H59">
        <v>0</v>
      </c>
      <c r="I59">
        <v>11</v>
      </c>
      <c r="J59">
        <v>0</v>
      </c>
      <c r="K59">
        <v>46</v>
      </c>
    </row>
    <row r="60" spans="1:11" x14ac:dyDescent="0.25">
      <c r="A60" t="s">
        <v>1056</v>
      </c>
      <c r="B60">
        <v>0</v>
      </c>
      <c r="C60">
        <v>54</v>
      </c>
      <c r="D60">
        <v>1</v>
      </c>
      <c r="E60">
        <v>4</v>
      </c>
      <c r="F60">
        <v>0</v>
      </c>
      <c r="G60">
        <v>0</v>
      </c>
      <c r="H60">
        <v>0</v>
      </c>
      <c r="I60">
        <v>18</v>
      </c>
      <c r="J60">
        <v>0</v>
      </c>
      <c r="K60">
        <v>77</v>
      </c>
    </row>
    <row r="61" spans="1:11" x14ac:dyDescent="0.25">
      <c r="A61" t="s">
        <v>1057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1058</v>
      </c>
      <c r="B62">
        <v>0</v>
      </c>
      <c r="C62">
        <v>47</v>
      </c>
      <c r="D62">
        <v>0</v>
      </c>
      <c r="E62">
        <v>17</v>
      </c>
      <c r="F62">
        <v>0</v>
      </c>
      <c r="G62">
        <v>2</v>
      </c>
      <c r="H62">
        <v>0</v>
      </c>
      <c r="I62">
        <v>0</v>
      </c>
      <c r="J62">
        <v>1</v>
      </c>
      <c r="K62">
        <v>67</v>
      </c>
    </row>
    <row r="63" spans="1:11" x14ac:dyDescent="0.25">
      <c r="A63" t="s">
        <v>1059</v>
      </c>
      <c r="B63">
        <v>0</v>
      </c>
      <c r="C63">
        <v>0</v>
      </c>
      <c r="D63">
        <v>0</v>
      </c>
      <c r="E63">
        <v>13</v>
      </c>
      <c r="F63">
        <v>0</v>
      </c>
      <c r="G63">
        <v>0</v>
      </c>
      <c r="H63">
        <v>0</v>
      </c>
      <c r="I63">
        <v>59</v>
      </c>
      <c r="J63">
        <v>0</v>
      </c>
      <c r="K63">
        <v>72</v>
      </c>
    </row>
    <row r="64" spans="1:11" x14ac:dyDescent="0.25">
      <c r="A64" t="s">
        <v>1060</v>
      </c>
      <c r="B64">
        <v>0</v>
      </c>
      <c r="C64">
        <v>3</v>
      </c>
      <c r="D64">
        <v>0</v>
      </c>
      <c r="E64">
        <v>11</v>
      </c>
      <c r="F64">
        <v>0</v>
      </c>
      <c r="G64">
        <v>0</v>
      </c>
      <c r="H64">
        <v>0</v>
      </c>
      <c r="I64">
        <v>14</v>
      </c>
      <c r="J64">
        <v>0</v>
      </c>
      <c r="K64">
        <v>28</v>
      </c>
    </row>
    <row r="65" spans="1:11" x14ac:dyDescent="0.25">
      <c r="A65" t="s">
        <v>1061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1062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1063</v>
      </c>
      <c r="B67">
        <v>0</v>
      </c>
      <c r="C67">
        <v>0</v>
      </c>
      <c r="D67">
        <v>0</v>
      </c>
      <c r="E67">
        <v>64</v>
      </c>
      <c r="F67">
        <v>0</v>
      </c>
      <c r="G67">
        <v>0</v>
      </c>
      <c r="H67">
        <v>0</v>
      </c>
      <c r="I67">
        <v>2</v>
      </c>
      <c r="J67">
        <v>0</v>
      </c>
      <c r="K67">
        <v>66</v>
      </c>
    </row>
    <row r="68" spans="1:11" x14ac:dyDescent="0.25">
      <c r="A68" t="s">
        <v>1064</v>
      </c>
      <c r="B68">
        <v>0</v>
      </c>
      <c r="C68">
        <v>4</v>
      </c>
      <c r="D68">
        <v>0</v>
      </c>
      <c r="E68">
        <v>10</v>
      </c>
      <c r="F68">
        <v>0</v>
      </c>
      <c r="G68">
        <v>0</v>
      </c>
      <c r="H68">
        <v>0</v>
      </c>
      <c r="I68">
        <v>45</v>
      </c>
      <c r="J68">
        <v>0</v>
      </c>
      <c r="K68">
        <v>59</v>
      </c>
    </row>
    <row r="69" spans="1:11" x14ac:dyDescent="0.25">
      <c r="A69" t="s">
        <v>1065</v>
      </c>
      <c r="B69">
        <v>0</v>
      </c>
      <c r="C69">
        <v>36</v>
      </c>
      <c r="D69">
        <v>1</v>
      </c>
      <c r="E69">
        <v>2</v>
      </c>
      <c r="F69">
        <v>1</v>
      </c>
      <c r="G69">
        <v>2</v>
      </c>
      <c r="H69">
        <v>0</v>
      </c>
      <c r="I69">
        <v>11</v>
      </c>
      <c r="J69">
        <v>0</v>
      </c>
      <c r="K69">
        <v>53</v>
      </c>
    </row>
    <row r="70" spans="1:11" x14ac:dyDescent="0.25">
      <c r="A70" t="s">
        <v>1066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1067</v>
      </c>
      <c r="B71">
        <v>0</v>
      </c>
      <c r="C71">
        <v>62</v>
      </c>
      <c r="D71">
        <v>0</v>
      </c>
      <c r="E71">
        <v>1</v>
      </c>
      <c r="F71">
        <v>0</v>
      </c>
      <c r="G71">
        <v>2</v>
      </c>
      <c r="H71">
        <v>0</v>
      </c>
      <c r="I71">
        <v>17</v>
      </c>
      <c r="J71">
        <v>0</v>
      </c>
      <c r="K71">
        <v>82</v>
      </c>
    </row>
    <row r="72" spans="1:11" x14ac:dyDescent="0.25">
      <c r="A72" t="s">
        <v>1068</v>
      </c>
      <c r="B72">
        <v>0</v>
      </c>
      <c r="C72">
        <v>40</v>
      </c>
      <c r="D72">
        <v>0</v>
      </c>
      <c r="E72">
        <v>0</v>
      </c>
      <c r="F72">
        <v>0</v>
      </c>
      <c r="G72">
        <v>2</v>
      </c>
      <c r="H72">
        <v>0</v>
      </c>
      <c r="I72">
        <v>5</v>
      </c>
      <c r="J72">
        <v>0</v>
      </c>
      <c r="K72">
        <v>47</v>
      </c>
    </row>
    <row r="73" spans="1:11" x14ac:dyDescent="0.25">
      <c r="A73" t="s">
        <v>1069</v>
      </c>
      <c r="B73">
        <v>0</v>
      </c>
      <c r="C73">
        <v>50</v>
      </c>
      <c r="D73">
        <v>0</v>
      </c>
      <c r="E73">
        <v>3</v>
      </c>
      <c r="F73">
        <v>0</v>
      </c>
      <c r="G73">
        <v>5</v>
      </c>
      <c r="H73">
        <v>0</v>
      </c>
      <c r="I73">
        <v>21</v>
      </c>
      <c r="J73">
        <v>0</v>
      </c>
      <c r="K73">
        <v>79</v>
      </c>
    </row>
    <row r="74" spans="1:11" x14ac:dyDescent="0.25">
      <c r="A74" t="s">
        <v>1070</v>
      </c>
      <c r="B74">
        <v>0</v>
      </c>
      <c r="C74">
        <v>0</v>
      </c>
      <c r="D74">
        <v>0</v>
      </c>
      <c r="E74">
        <v>2</v>
      </c>
      <c r="F74">
        <v>0</v>
      </c>
      <c r="G74">
        <v>0</v>
      </c>
      <c r="H74">
        <v>0</v>
      </c>
      <c r="I74">
        <v>75</v>
      </c>
      <c r="J74">
        <v>0</v>
      </c>
      <c r="K74">
        <v>77</v>
      </c>
    </row>
    <row r="75" spans="1:11" x14ac:dyDescent="0.25">
      <c r="A75" t="s">
        <v>1071</v>
      </c>
      <c r="B75">
        <v>0</v>
      </c>
      <c r="C75">
        <v>20</v>
      </c>
      <c r="D75">
        <v>1</v>
      </c>
      <c r="E75">
        <v>10</v>
      </c>
      <c r="F75">
        <v>0</v>
      </c>
      <c r="G75">
        <v>0</v>
      </c>
      <c r="H75">
        <v>0</v>
      </c>
      <c r="I75">
        <v>38</v>
      </c>
      <c r="J75">
        <v>0</v>
      </c>
      <c r="K75">
        <v>69</v>
      </c>
    </row>
    <row r="76" spans="1:11" x14ac:dyDescent="0.25">
      <c r="A76" t="s">
        <v>1072</v>
      </c>
      <c r="B76">
        <v>0</v>
      </c>
      <c r="C76">
        <v>80</v>
      </c>
      <c r="D76">
        <v>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86</v>
      </c>
    </row>
    <row r="77" spans="1:11" x14ac:dyDescent="0.25">
      <c r="A77" t="s">
        <v>1073</v>
      </c>
      <c r="B77">
        <v>0</v>
      </c>
      <c r="C77">
        <v>25</v>
      </c>
      <c r="D77">
        <v>0</v>
      </c>
      <c r="E77">
        <v>2</v>
      </c>
      <c r="F77">
        <v>0</v>
      </c>
      <c r="G77">
        <v>3</v>
      </c>
      <c r="H77">
        <v>0</v>
      </c>
      <c r="I77">
        <v>10</v>
      </c>
      <c r="J77">
        <v>0</v>
      </c>
      <c r="K77">
        <v>40</v>
      </c>
    </row>
    <row r="78" spans="1:11" x14ac:dyDescent="0.25">
      <c r="A78" t="s">
        <v>1074</v>
      </c>
      <c r="B78">
        <v>0</v>
      </c>
      <c r="C78">
        <v>0</v>
      </c>
      <c r="D78">
        <v>0</v>
      </c>
      <c r="E78">
        <v>5</v>
      </c>
      <c r="F78">
        <v>0</v>
      </c>
      <c r="G78">
        <v>0</v>
      </c>
      <c r="H78">
        <v>0</v>
      </c>
      <c r="I78">
        <v>42</v>
      </c>
      <c r="J78">
        <v>0</v>
      </c>
      <c r="K78">
        <v>47</v>
      </c>
    </row>
    <row r="79" spans="1:11" x14ac:dyDescent="0.25">
      <c r="A79" t="s">
        <v>1075</v>
      </c>
      <c r="B79">
        <v>0</v>
      </c>
      <c r="C79">
        <v>0</v>
      </c>
      <c r="D79">
        <v>0</v>
      </c>
      <c r="E79">
        <v>5</v>
      </c>
      <c r="F79">
        <v>0</v>
      </c>
      <c r="G79">
        <v>0</v>
      </c>
      <c r="H79">
        <v>0</v>
      </c>
      <c r="I79">
        <v>30</v>
      </c>
      <c r="J79">
        <v>0</v>
      </c>
      <c r="K79">
        <v>35</v>
      </c>
    </row>
    <row r="80" spans="1:11" x14ac:dyDescent="0.25">
      <c r="A80" t="s">
        <v>1076</v>
      </c>
      <c r="B80">
        <v>0</v>
      </c>
      <c r="C80">
        <v>0</v>
      </c>
      <c r="D80">
        <v>0</v>
      </c>
      <c r="E80">
        <v>4</v>
      </c>
      <c r="F80">
        <v>0</v>
      </c>
      <c r="G80">
        <v>0</v>
      </c>
      <c r="H80">
        <v>0</v>
      </c>
      <c r="I80">
        <v>42</v>
      </c>
      <c r="J80">
        <v>0</v>
      </c>
      <c r="K80">
        <v>46</v>
      </c>
    </row>
    <row r="81" spans="1:11" x14ac:dyDescent="0.25">
      <c r="A81" t="s">
        <v>1077</v>
      </c>
      <c r="B81">
        <v>0</v>
      </c>
      <c r="C81">
        <v>0</v>
      </c>
      <c r="D81">
        <v>0</v>
      </c>
      <c r="E81">
        <v>3</v>
      </c>
      <c r="F81">
        <v>0</v>
      </c>
      <c r="G81">
        <v>0</v>
      </c>
      <c r="H81">
        <v>0</v>
      </c>
      <c r="I81">
        <v>16</v>
      </c>
      <c r="J81">
        <v>0</v>
      </c>
      <c r="K81">
        <v>19</v>
      </c>
    </row>
    <row r="82" spans="1:11" x14ac:dyDescent="0.25">
      <c r="A82" t="s">
        <v>1078</v>
      </c>
      <c r="B82">
        <v>0</v>
      </c>
      <c r="C82">
        <v>0</v>
      </c>
      <c r="D82">
        <v>0</v>
      </c>
      <c r="E82">
        <v>6</v>
      </c>
      <c r="F82">
        <v>0</v>
      </c>
      <c r="G82">
        <v>0</v>
      </c>
      <c r="H82">
        <v>0</v>
      </c>
      <c r="I82">
        <v>28</v>
      </c>
      <c r="J82">
        <v>0</v>
      </c>
      <c r="K82">
        <v>34</v>
      </c>
    </row>
    <row r="83" spans="1:11" x14ac:dyDescent="0.25">
      <c r="A83" t="s">
        <v>1079</v>
      </c>
      <c r="B83">
        <v>0</v>
      </c>
      <c r="C83">
        <v>18</v>
      </c>
      <c r="D83">
        <v>0</v>
      </c>
      <c r="E83">
        <v>15</v>
      </c>
      <c r="F83">
        <v>0</v>
      </c>
      <c r="G83">
        <v>0</v>
      </c>
      <c r="H83">
        <v>0</v>
      </c>
      <c r="I83">
        <v>16</v>
      </c>
      <c r="J83">
        <v>0</v>
      </c>
      <c r="K83">
        <v>49</v>
      </c>
    </row>
    <row r="84" spans="1:11" x14ac:dyDescent="0.25">
      <c r="A84" t="s">
        <v>1080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1081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1082</v>
      </c>
      <c r="B86">
        <v>0</v>
      </c>
      <c r="C86">
        <v>21</v>
      </c>
      <c r="D86">
        <v>0</v>
      </c>
      <c r="E86">
        <v>0</v>
      </c>
      <c r="F86">
        <v>0</v>
      </c>
      <c r="G86">
        <v>0</v>
      </c>
      <c r="H86">
        <v>0</v>
      </c>
      <c r="I86">
        <v>15</v>
      </c>
      <c r="J86">
        <v>0</v>
      </c>
      <c r="K86">
        <v>36</v>
      </c>
    </row>
    <row r="87" spans="1:11" x14ac:dyDescent="0.25">
      <c r="A87" t="s">
        <v>1083</v>
      </c>
      <c r="B87">
        <v>0</v>
      </c>
      <c r="C87">
        <v>0</v>
      </c>
      <c r="D87">
        <v>1</v>
      </c>
      <c r="E87">
        <v>7</v>
      </c>
      <c r="F87">
        <v>0</v>
      </c>
      <c r="G87">
        <v>0</v>
      </c>
      <c r="H87">
        <v>0</v>
      </c>
      <c r="I87">
        <v>32</v>
      </c>
      <c r="J87">
        <v>0</v>
      </c>
      <c r="K87">
        <v>40</v>
      </c>
    </row>
    <row r="88" spans="1:11" x14ac:dyDescent="0.25">
      <c r="A88" t="s">
        <v>1084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1085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1086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1087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1088</v>
      </c>
      <c r="B92">
        <v>0</v>
      </c>
      <c r="C92">
        <v>0</v>
      </c>
      <c r="D92">
        <v>0</v>
      </c>
      <c r="E92">
        <v>4</v>
      </c>
      <c r="F92">
        <v>0</v>
      </c>
      <c r="G92">
        <v>0</v>
      </c>
      <c r="H92">
        <v>0</v>
      </c>
      <c r="I92">
        <v>38</v>
      </c>
      <c r="J92">
        <v>0</v>
      </c>
      <c r="K92">
        <v>42</v>
      </c>
    </row>
    <row r="93" spans="1:11" x14ac:dyDescent="0.25">
      <c r="A93" t="s">
        <v>1089</v>
      </c>
      <c r="B93">
        <v>0</v>
      </c>
      <c r="C93">
        <v>0</v>
      </c>
      <c r="D93">
        <v>1</v>
      </c>
      <c r="E93">
        <v>0</v>
      </c>
      <c r="F93">
        <v>0</v>
      </c>
      <c r="G93">
        <v>0</v>
      </c>
      <c r="H93">
        <v>0</v>
      </c>
      <c r="I93">
        <v>30</v>
      </c>
      <c r="J93">
        <v>0</v>
      </c>
      <c r="K93">
        <v>31</v>
      </c>
    </row>
    <row r="94" spans="1:11" x14ac:dyDescent="0.25">
      <c r="A94" t="s">
        <v>1090</v>
      </c>
      <c r="B94">
        <v>0</v>
      </c>
      <c r="C94">
        <v>17</v>
      </c>
      <c r="D94">
        <v>0</v>
      </c>
      <c r="E94">
        <v>1</v>
      </c>
      <c r="F94">
        <v>0</v>
      </c>
      <c r="G94">
        <v>0</v>
      </c>
      <c r="H94">
        <v>0</v>
      </c>
      <c r="I94">
        <v>22</v>
      </c>
      <c r="J94">
        <v>0</v>
      </c>
      <c r="K94">
        <v>40</v>
      </c>
    </row>
    <row r="95" spans="1:11" x14ac:dyDescent="0.25">
      <c r="A95" t="s">
        <v>1091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1092</v>
      </c>
      <c r="B96">
        <v>0</v>
      </c>
      <c r="C96">
        <v>12</v>
      </c>
      <c r="D96">
        <v>0</v>
      </c>
      <c r="E96">
        <v>1</v>
      </c>
      <c r="F96">
        <v>0</v>
      </c>
      <c r="G96">
        <v>0</v>
      </c>
      <c r="H96">
        <v>0</v>
      </c>
      <c r="I96">
        <v>54</v>
      </c>
      <c r="J96">
        <v>0</v>
      </c>
      <c r="K96">
        <v>67</v>
      </c>
    </row>
    <row r="97" spans="1:11" x14ac:dyDescent="0.25">
      <c r="A97" t="s">
        <v>1093</v>
      </c>
      <c r="B97">
        <v>0</v>
      </c>
      <c r="C97">
        <v>0</v>
      </c>
      <c r="D97">
        <v>2</v>
      </c>
      <c r="E97">
        <v>7</v>
      </c>
      <c r="F97">
        <v>0</v>
      </c>
      <c r="G97">
        <v>0</v>
      </c>
      <c r="H97">
        <v>0</v>
      </c>
      <c r="I97">
        <v>64</v>
      </c>
      <c r="J97">
        <v>0</v>
      </c>
      <c r="K97">
        <v>73</v>
      </c>
    </row>
    <row r="98" spans="1:11" x14ac:dyDescent="0.25">
      <c r="A98" t="s">
        <v>1094</v>
      </c>
      <c r="B98">
        <v>0</v>
      </c>
      <c r="C98">
        <v>0</v>
      </c>
      <c r="D98">
        <v>1</v>
      </c>
      <c r="E98">
        <v>35</v>
      </c>
      <c r="F98">
        <v>0</v>
      </c>
      <c r="G98">
        <v>0</v>
      </c>
      <c r="H98">
        <v>0</v>
      </c>
      <c r="I98">
        <v>3</v>
      </c>
      <c r="J98">
        <v>0</v>
      </c>
      <c r="K98">
        <v>39</v>
      </c>
    </row>
    <row r="99" spans="1:11" x14ac:dyDescent="0.25">
      <c r="A99" t="s">
        <v>1095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1096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1097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1098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1099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1100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1101</v>
      </c>
      <c r="B105">
        <v>0</v>
      </c>
      <c r="C105">
        <v>3</v>
      </c>
      <c r="D105">
        <v>3</v>
      </c>
      <c r="E105">
        <v>1</v>
      </c>
      <c r="F105">
        <v>0</v>
      </c>
      <c r="G105">
        <v>0</v>
      </c>
      <c r="H105">
        <v>0</v>
      </c>
      <c r="I105">
        <v>41</v>
      </c>
      <c r="J105">
        <v>0</v>
      </c>
      <c r="K105">
        <v>48</v>
      </c>
    </row>
    <row r="106" spans="1:11" x14ac:dyDescent="0.25">
      <c r="A106" t="s">
        <v>1102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1103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0</v>
      </c>
      <c r="H107">
        <v>0</v>
      </c>
      <c r="I107">
        <v>38</v>
      </c>
      <c r="J107">
        <v>0</v>
      </c>
      <c r="K107">
        <v>39</v>
      </c>
    </row>
    <row r="108" spans="1:11" x14ac:dyDescent="0.25">
      <c r="A108" t="s">
        <v>1104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45</v>
      </c>
      <c r="J108">
        <v>0</v>
      </c>
      <c r="K108">
        <v>45</v>
      </c>
    </row>
    <row r="109" spans="1:11" x14ac:dyDescent="0.25">
      <c r="A109" t="s">
        <v>1105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27</v>
      </c>
      <c r="J109">
        <v>0</v>
      </c>
      <c r="K109">
        <v>90</v>
      </c>
    </row>
    <row r="110" spans="1:11" x14ac:dyDescent="0.25">
      <c r="A110" t="s">
        <v>1106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51</v>
      </c>
      <c r="J111">
        <v>0</v>
      </c>
      <c r="K111">
        <v>51</v>
      </c>
    </row>
    <row r="112" spans="1:11" x14ac:dyDescent="0.25">
      <c r="A112" t="s">
        <v>1108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1109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1110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1111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1112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1113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1114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1115</v>
      </c>
      <c r="B119">
        <v>0</v>
      </c>
      <c r="C119">
        <v>0</v>
      </c>
      <c r="D119">
        <v>3</v>
      </c>
      <c r="E119">
        <v>5</v>
      </c>
      <c r="F119">
        <v>0</v>
      </c>
      <c r="G119">
        <v>0</v>
      </c>
      <c r="H119">
        <v>0</v>
      </c>
      <c r="I119">
        <v>55</v>
      </c>
      <c r="J119">
        <v>0</v>
      </c>
      <c r="K119">
        <v>63</v>
      </c>
    </row>
    <row r="120" spans="1:11" x14ac:dyDescent="0.25">
      <c r="A120" t="s">
        <v>1116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77</v>
      </c>
      <c r="J121">
        <v>0</v>
      </c>
      <c r="K121">
        <v>77</v>
      </c>
    </row>
    <row r="122" spans="1:11" x14ac:dyDescent="0.25">
      <c r="A122" t="s">
        <v>1118</v>
      </c>
      <c r="B122">
        <v>0</v>
      </c>
      <c r="C122">
        <v>2</v>
      </c>
      <c r="D122">
        <v>1</v>
      </c>
      <c r="E122">
        <v>1</v>
      </c>
      <c r="F122">
        <v>0</v>
      </c>
      <c r="G122">
        <v>0</v>
      </c>
      <c r="H122">
        <v>0</v>
      </c>
      <c r="I122">
        <v>111</v>
      </c>
      <c r="J122">
        <v>0</v>
      </c>
      <c r="K122">
        <v>115</v>
      </c>
    </row>
    <row r="123" spans="1:11" x14ac:dyDescent="0.25">
      <c r="A123" t="s">
        <v>1119</v>
      </c>
      <c r="B123">
        <v>0</v>
      </c>
      <c r="C123">
        <v>0</v>
      </c>
      <c r="D123">
        <v>0</v>
      </c>
      <c r="E123">
        <v>20</v>
      </c>
      <c r="F123">
        <v>0</v>
      </c>
      <c r="G123">
        <v>0</v>
      </c>
      <c r="H123">
        <v>0</v>
      </c>
      <c r="I123">
        <v>38</v>
      </c>
      <c r="J123">
        <v>0</v>
      </c>
      <c r="K123">
        <v>58</v>
      </c>
    </row>
    <row r="124" spans="1:11" x14ac:dyDescent="0.25">
      <c r="A124" t="s">
        <v>1120</v>
      </c>
      <c r="B124">
        <v>0</v>
      </c>
      <c r="C124">
        <v>0</v>
      </c>
      <c r="D124">
        <v>14</v>
      </c>
      <c r="E124">
        <v>4</v>
      </c>
      <c r="F124">
        <v>0</v>
      </c>
      <c r="G124">
        <v>0</v>
      </c>
      <c r="H124">
        <v>0</v>
      </c>
      <c r="I124">
        <v>46</v>
      </c>
      <c r="J124">
        <v>0</v>
      </c>
      <c r="K124">
        <v>64</v>
      </c>
    </row>
    <row r="125" spans="1:11" x14ac:dyDescent="0.25">
      <c r="A125" t="s">
        <v>1121</v>
      </c>
      <c r="B125">
        <v>0</v>
      </c>
      <c r="C125">
        <v>68</v>
      </c>
      <c r="D125">
        <v>0</v>
      </c>
      <c r="E125">
        <v>0</v>
      </c>
      <c r="F125">
        <v>0</v>
      </c>
      <c r="G125">
        <v>1</v>
      </c>
      <c r="H125">
        <v>0</v>
      </c>
      <c r="I125">
        <v>4</v>
      </c>
      <c r="J125">
        <v>0</v>
      </c>
      <c r="K125">
        <v>73</v>
      </c>
    </row>
    <row r="126" spans="1:11" x14ac:dyDescent="0.25">
      <c r="A126" t="s">
        <v>1122</v>
      </c>
      <c r="B126">
        <v>0</v>
      </c>
      <c r="C126">
        <v>39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24</v>
      </c>
      <c r="J126">
        <v>0</v>
      </c>
      <c r="K126">
        <v>63</v>
      </c>
    </row>
    <row r="127" spans="1:11" x14ac:dyDescent="0.25">
      <c r="A127" t="s">
        <v>1123</v>
      </c>
      <c r="B127">
        <v>0</v>
      </c>
      <c r="C127">
        <v>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73</v>
      </c>
      <c r="J127">
        <v>0</v>
      </c>
      <c r="K127">
        <v>80</v>
      </c>
    </row>
    <row r="128" spans="1:11" x14ac:dyDescent="0.25">
      <c r="A128" t="s">
        <v>1124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0</v>
      </c>
      <c r="I128">
        <v>43</v>
      </c>
      <c r="J128">
        <v>0</v>
      </c>
      <c r="K128">
        <v>44</v>
      </c>
    </row>
    <row r="129" spans="1:11" x14ac:dyDescent="0.25">
      <c r="A129" t="s">
        <v>1125</v>
      </c>
      <c r="B129">
        <v>0</v>
      </c>
      <c r="C129">
        <v>52</v>
      </c>
      <c r="D129">
        <v>1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1126</v>
      </c>
      <c r="B130">
        <v>0</v>
      </c>
      <c r="C130">
        <v>33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55</v>
      </c>
      <c r="J130">
        <v>0</v>
      </c>
      <c r="K130">
        <v>88</v>
      </c>
    </row>
    <row r="131" spans="1:11" x14ac:dyDescent="0.25">
      <c r="A131" t="s">
        <v>1127</v>
      </c>
      <c r="B131">
        <v>0</v>
      </c>
      <c r="C131">
        <v>0</v>
      </c>
      <c r="D131">
        <v>7</v>
      </c>
      <c r="E131">
        <v>53</v>
      </c>
      <c r="F131">
        <v>0</v>
      </c>
      <c r="G131">
        <v>0</v>
      </c>
      <c r="H131">
        <v>0</v>
      </c>
      <c r="I131">
        <v>7</v>
      </c>
      <c r="J131">
        <v>0</v>
      </c>
      <c r="K131">
        <v>67</v>
      </c>
    </row>
    <row r="132" spans="1:11" x14ac:dyDescent="0.25">
      <c r="A132" t="s">
        <v>1128</v>
      </c>
      <c r="B132">
        <v>0</v>
      </c>
      <c r="C132">
        <v>0</v>
      </c>
      <c r="D132">
        <v>11</v>
      </c>
      <c r="E132">
        <v>34</v>
      </c>
      <c r="F132">
        <v>0</v>
      </c>
      <c r="G132">
        <v>0</v>
      </c>
      <c r="H132">
        <v>0</v>
      </c>
      <c r="I132">
        <v>5</v>
      </c>
      <c r="J132">
        <v>0</v>
      </c>
      <c r="K132">
        <v>50</v>
      </c>
    </row>
    <row r="133" spans="1:11" x14ac:dyDescent="0.25">
      <c r="A133" t="s">
        <v>1129</v>
      </c>
      <c r="B133">
        <v>0</v>
      </c>
      <c r="C133">
        <v>0</v>
      </c>
      <c r="D133">
        <v>0</v>
      </c>
      <c r="E133">
        <v>28</v>
      </c>
      <c r="F133">
        <v>0</v>
      </c>
      <c r="G133">
        <v>0</v>
      </c>
      <c r="H133">
        <v>0</v>
      </c>
      <c r="I133">
        <v>12</v>
      </c>
      <c r="J133">
        <v>0</v>
      </c>
      <c r="K133">
        <v>40</v>
      </c>
    </row>
    <row r="134" spans="1:11" x14ac:dyDescent="0.25">
      <c r="A134" t="s">
        <v>1130</v>
      </c>
      <c r="B134">
        <v>0</v>
      </c>
      <c r="C134">
        <v>37</v>
      </c>
      <c r="D134">
        <v>0</v>
      </c>
      <c r="E134">
        <v>1</v>
      </c>
      <c r="F134">
        <v>0</v>
      </c>
      <c r="G134">
        <v>0</v>
      </c>
      <c r="H134">
        <v>0</v>
      </c>
      <c r="I134">
        <v>6</v>
      </c>
      <c r="J134">
        <v>0</v>
      </c>
      <c r="K134">
        <v>44</v>
      </c>
    </row>
    <row r="135" spans="1:11" x14ac:dyDescent="0.25">
      <c r="A135" t="s">
        <v>1131</v>
      </c>
      <c r="B135">
        <v>0</v>
      </c>
      <c r="C135">
        <v>36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5</v>
      </c>
      <c r="J135">
        <v>0</v>
      </c>
      <c r="K135">
        <v>41</v>
      </c>
    </row>
    <row r="136" spans="1:11" x14ac:dyDescent="0.25">
      <c r="A136" t="s">
        <v>1132</v>
      </c>
      <c r="B136">
        <v>0</v>
      </c>
      <c r="C136">
        <v>0</v>
      </c>
      <c r="D136">
        <v>0</v>
      </c>
      <c r="E136">
        <v>22</v>
      </c>
      <c r="F136">
        <v>0</v>
      </c>
      <c r="G136">
        <v>0</v>
      </c>
      <c r="H136">
        <v>0</v>
      </c>
      <c r="I136">
        <v>27</v>
      </c>
      <c r="J136">
        <v>0</v>
      </c>
      <c r="K136">
        <v>49</v>
      </c>
    </row>
    <row r="137" spans="1:11" x14ac:dyDescent="0.25">
      <c r="A137" t="s">
        <v>1133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1134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1135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1136</v>
      </c>
      <c r="B140">
        <v>0</v>
      </c>
      <c r="C140">
        <v>210</v>
      </c>
      <c r="D140">
        <v>0</v>
      </c>
      <c r="E140">
        <v>4</v>
      </c>
      <c r="F140">
        <v>0</v>
      </c>
      <c r="G140">
        <v>0</v>
      </c>
      <c r="H140">
        <v>0</v>
      </c>
      <c r="I140">
        <v>1</v>
      </c>
      <c r="J140">
        <v>0</v>
      </c>
      <c r="K140">
        <v>215</v>
      </c>
    </row>
    <row r="141" spans="1:11" x14ac:dyDescent="0.25">
      <c r="A141" t="s">
        <v>1137</v>
      </c>
      <c r="B141">
        <v>0</v>
      </c>
      <c r="C141">
        <v>0</v>
      </c>
      <c r="D141">
        <v>0</v>
      </c>
      <c r="E141">
        <v>1</v>
      </c>
      <c r="F141">
        <v>0</v>
      </c>
      <c r="G141">
        <v>0</v>
      </c>
      <c r="H141">
        <v>0</v>
      </c>
      <c r="I141">
        <v>117</v>
      </c>
      <c r="J141">
        <v>1</v>
      </c>
      <c r="K141">
        <v>119</v>
      </c>
    </row>
    <row r="142" spans="1:11" x14ac:dyDescent="0.25">
      <c r="A142" t="s">
        <v>1138</v>
      </c>
      <c r="B142">
        <v>0</v>
      </c>
      <c r="C142">
        <v>0</v>
      </c>
      <c r="D142">
        <v>0</v>
      </c>
      <c r="E142">
        <v>32</v>
      </c>
      <c r="F142">
        <v>0</v>
      </c>
      <c r="G142">
        <v>0</v>
      </c>
      <c r="H142">
        <v>0</v>
      </c>
      <c r="I142">
        <v>37</v>
      </c>
      <c r="J142">
        <v>0</v>
      </c>
      <c r="K142">
        <v>69</v>
      </c>
    </row>
    <row r="143" spans="1:11" x14ac:dyDescent="0.25">
      <c r="A143" t="s">
        <v>1139</v>
      </c>
      <c r="B143">
        <v>0</v>
      </c>
      <c r="C143">
        <v>123</v>
      </c>
      <c r="D143">
        <v>2</v>
      </c>
      <c r="E143">
        <v>1</v>
      </c>
      <c r="F143">
        <v>0</v>
      </c>
      <c r="G143">
        <v>4</v>
      </c>
      <c r="H143">
        <v>0</v>
      </c>
      <c r="I143">
        <v>20</v>
      </c>
      <c r="J143">
        <v>0</v>
      </c>
      <c r="K143">
        <v>150</v>
      </c>
    </row>
    <row r="144" spans="1:11" x14ac:dyDescent="0.25">
      <c r="A144" t="s">
        <v>1140</v>
      </c>
      <c r="B144">
        <v>0</v>
      </c>
      <c r="C144">
        <v>19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96</v>
      </c>
      <c r="J144">
        <v>0</v>
      </c>
      <c r="K144">
        <v>115</v>
      </c>
    </row>
    <row r="145" spans="1:11" x14ac:dyDescent="0.25">
      <c r="A145" t="s">
        <v>1141</v>
      </c>
      <c r="B145">
        <v>0</v>
      </c>
      <c r="C145">
        <v>69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92</v>
      </c>
      <c r="J145">
        <v>0</v>
      </c>
      <c r="K145">
        <v>161</v>
      </c>
    </row>
    <row r="146" spans="1:11" x14ac:dyDescent="0.25">
      <c r="A146" t="s">
        <v>1142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19</v>
      </c>
      <c r="J146">
        <v>0</v>
      </c>
      <c r="K146">
        <v>19</v>
      </c>
    </row>
    <row r="147" spans="1:11" x14ac:dyDescent="0.25">
      <c r="A147" t="s">
        <v>1143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1144</v>
      </c>
      <c r="B148">
        <v>0</v>
      </c>
      <c r="C148">
        <v>89</v>
      </c>
      <c r="D148">
        <v>0</v>
      </c>
      <c r="E148">
        <v>0</v>
      </c>
      <c r="F148">
        <v>0</v>
      </c>
      <c r="G148">
        <v>6</v>
      </c>
      <c r="H148">
        <v>0</v>
      </c>
      <c r="I148">
        <v>24</v>
      </c>
      <c r="J148">
        <v>0</v>
      </c>
      <c r="K148">
        <v>119</v>
      </c>
    </row>
    <row r="149" spans="1:11" x14ac:dyDescent="0.25">
      <c r="A149" t="s">
        <v>1145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154</v>
      </c>
      <c r="J149">
        <v>0</v>
      </c>
      <c r="K149">
        <v>154</v>
      </c>
    </row>
    <row r="150" spans="1:11" x14ac:dyDescent="0.25">
      <c r="A150" t="s">
        <v>1146</v>
      </c>
      <c r="B150">
        <v>0</v>
      </c>
      <c r="C150">
        <v>0</v>
      </c>
      <c r="D150">
        <v>9</v>
      </c>
      <c r="E150">
        <v>0</v>
      </c>
      <c r="F150">
        <v>0</v>
      </c>
      <c r="G150">
        <v>0</v>
      </c>
      <c r="H150">
        <v>0</v>
      </c>
      <c r="I150">
        <v>83</v>
      </c>
      <c r="J150">
        <v>0</v>
      </c>
      <c r="K150">
        <v>92</v>
      </c>
    </row>
    <row r="151" spans="1:11" x14ac:dyDescent="0.25">
      <c r="A151" t="s">
        <v>1147</v>
      </c>
      <c r="B151">
        <v>0</v>
      </c>
      <c r="C151">
        <v>32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70</v>
      </c>
      <c r="J151">
        <v>0</v>
      </c>
      <c r="K151">
        <v>103</v>
      </c>
    </row>
    <row r="152" spans="1:11" x14ac:dyDescent="0.25">
      <c r="A152" t="s">
        <v>1148</v>
      </c>
      <c r="B152">
        <v>0</v>
      </c>
      <c r="C152">
        <v>33</v>
      </c>
      <c r="D152">
        <v>3</v>
      </c>
      <c r="E152">
        <v>2</v>
      </c>
      <c r="F152">
        <v>0</v>
      </c>
      <c r="G152">
        <v>2</v>
      </c>
      <c r="H152">
        <v>0</v>
      </c>
      <c r="I152">
        <v>22</v>
      </c>
      <c r="J152">
        <v>0</v>
      </c>
      <c r="K152">
        <v>62</v>
      </c>
    </row>
    <row r="153" spans="1:11" x14ac:dyDescent="0.25">
      <c r="A153" t="s">
        <v>1149</v>
      </c>
      <c r="B153">
        <v>0</v>
      </c>
      <c r="C153">
        <v>59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33</v>
      </c>
      <c r="J153">
        <v>0</v>
      </c>
      <c r="K153">
        <v>92</v>
      </c>
    </row>
    <row r="154" spans="1:11" x14ac:dyDescent="0.25">
      <c r="A154" t="s">
        <v>1150</v>
      </c>
      <c r="B154">
        <v>0</v>
      </c>
      <c r="C154">
        <v>36</v>
      </c>
      <c r="D154">
        <v>3</v>
      </c>
      <c r="E154">
        <v>11</v>
      </c>
      <c r="F154">
        <v>0</v>
      </c>
      <c r="G154">
        <v>0</v>
      </c>
      <c r="H154">
        <v>0</v>
      </c>
      <c r="I154">
        <v>18</v>
      </c>
      <c r="J154">
        <v>1</v>
      </c>
      <c r="K154">
        <v>69</v>
      </c>
    </row>
    <row r="155" spans="1:11" x14ac:dyDescent="0.25">
      <c r="A155" t="s">
        <v>1151</v>
      </c>
      <c r="B155">
        <v>0</v>
      </c>
      <c r="C155">
        <v>116</v>
      </c>
      <c r="D155">
        <v>4</v>
      </c>
      <c r="E155">
        <v>4</v>
      </c>
      <c r="F155">
        <v>0</v>
      </c>
      <c r="G155">
        <v>6</v>
      </c>
      <c r="H155">
        <v>0</v>
      </c>
      <c r="I155">
        <v>17</v>
      </c>
      <c r="J155">
        <v>0</v>
      </c>
      <c r="K155">
        <v>147</v>
      </c>
    </row>
    <row r="156" spans="1:11" x14ac:dyDescent="0.25">
      <c r="A156" t="s">
        <v>1152</v>
      </c>
      <c r="B156">
        <v>0</v>
      </c>
      <c r="C156">
        <v>15</v>
      </c>
      <c r="D156">
        <v>5</v>
      </c>
      <c r="E156">
        <v>5</v>
      </c>
      <c r="F156">
        <v>0</v>
      </c>
      <c r="G156">
        <v>0</v>
      </c>
      <c r="H156">
        <v>0</v>
      </c>
      <c r="I156">
        <v>192</v>
      </c>
      <c r="J156">
        <v>1</v>
      </c>
      <c r="K156">
        <v>218</v>
      </c>
    </row>
    <row r="157" spans="1:11" x14ac:dyDescent="0.25">
      <c r="A157" t="s">
        <v>1153</v>
      </c>
      <c r="B157">
        <v>1</v>
      </c>
      <c r="C157">
        <v>94</v>
      </c>
      <c r="D157">
        <v>6</v>
      </c>
      <c r="E157">
        <v>0</v>
      </c>
      <c r="F157">
        <v>0</v>
      </c>
      <c r="G157">
        <v>1</v>
      </c>
      <c r="H157">
        <v>0</v>
      </c>
      <c r="I157">
        <v>140</v>
      </c>
      <c r="J157">
        <v>0</v>
      </c>
      <c r="K157">
        <v>242</v>
      </c>
    </row>
    <row r="158" spans="1:11" x14ac:dyDescent="0.25">
      <c r="A158" t="s">
        <v>1154</v>
      </c>
      <c r="B158">
        <v>3</v>
      </c>
      <c r="C158">
        <v>215</v>
      </c>
      <c r="D158">
        <v>1</v>
      </c>
      <c r="E158">
        <v>0</v>
      </c>
      <c r="F158">
        <v>0</v>
      </c>
      <c r="G158">
        <v>5</v>
      </c>
      <c r="H158">
        <v>0</v>
      </c>
      <c r="I158">
        <v>7</v>
      </c>
      <c r="J158">
        <v>0</v>
      </c>
      <c r="K158">
        <v>231</v>
      </c>
    </row>
    <row r="159" spans="1:11" x14ac:dyDescent="0.25">
      <c r="A159" t="s">
        <v>1155</v>
      </c>
      <c r="B159">
        <v>0</v>
      </c>
      <c r="C159">
        <v>0</v>
      </c>
      <c r="D159">
        <v>1</v>
      </c>
      <c r="E159">
        <v>0</v>
      </c>
      <c r="F159">
        <v>0</v>
      </c>
      <c r="G159">
        <v>0</v>
      </c>
      <c r="H159">
        <v>0</v>
      </c>
      <c r="I159">
        <v>33</v>
      </c>
      <c r="J159">
        <v>0</v>
      </c>
      <c r="K159">
        <v>34</v>
      </c>
    </row>
    <row r="160" spans="1:11" x14ac:dyDescent="0.25">
      <c r="A160" t="s">
        <v>1156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1157</v>
      </c>
      <c r="B161">
        <v>0</v>
      </c>
      <c r="C161">
        <v>0</v>
      </c>
      <c r="D161">
        <v>6</v>
      </c>
      <c r="E161">
        <v>4</v>
      </c>
      <c r="F161">
        <v>0</v>
      </c>
      <c r="G161">
        <v>0</v>
      </c>
      <c r="H161">
        <v>0</v>
      </c>
      <c r="I161">
        <v>45</v>
      </c>
      <c r="J161">
        <v>0</v>
      </c>
      <c r="K161">
        <v>55</v>
      </c>
    </row>
    <row r="162" spans="1:11" x14ac:dyDescent="0.25">
      <c r="A162" t="s">
        <v>1158</v>
      </c>
      <c r="B162">
        <v>0</v>
      </c>
      <c r="C162">
        <v>1</v>
      </c>
      <c r="D162">
        <v>7</v>
      </c>
      <c r="E162">
        <v>9</v>
      </c>
      <c r="F162">
        <v>0</v>
      </c>
      <c r="G162">
        <v>0</v>
      </c>
      <c r="H162">
        <v>0</v>
      </c>
      <c r="I162">
        <v>44</v>
      </c>
      <c r="J162">
        <v>0</v>
      </c>
      <c r="K162">
        <v>61</v>
      </c>
    </row>
    <row r="163" spans="1:11" x14ac:dyDescent="0.25">
      <c r="A163" t="s">
        <v>1159</v>
      </c>
      <c r="B163">
        <v>0</v>
      </c>
      <c r="C163">
        <v>0</v>
      </c>
      <c r="D163">
        <v>6</v>
      </c>
      <c r="E163">
        <v>10</v>
      </c>
      <c r="F163">
        <v>0</v>
      </c>
      <c r="G163">
        <v>0</v>
      </c>
      <c r="H163">
        <v>0</v>
      </c>
      <c r="I163">
        <v>74</v>
      </c>
      <c r="J163">
        <v>0</v>
      </c>
      <c r="K163">
        <v>90</v>
      </c>
    </row>
    <row r="164" spans="1:11" x14ac:dyDescent="0.25">
      <c r="A164" t="s">
        <v>1160</v>
      </c>
      <c r="B164">
        <v>0</v>
      </c>
      <c r="C164">
        <v>0</v>
      </c>
      <c r="D164">
        <v>25</v>
      </c>
      <c r="E164">
        <v>16</v>
      </c>
      <c r="F164">
        <v>0</v>
      </c>
      <c r="G164">
        <v>0</v>
      </c>
      <c r="H164">
        <v>0</v>
      </c>
      <c r="I164">
        <v>39</v>
      </c>
      <c r="J164">
        <v>0</v>
      </c>
      <c r="K164">
        <v>80</v>
      </c>
    </row>
    <row r="165" spans="1:11" x14ac:dyDescent="0.25">
      <c r="A165" t="s">
        <v>1161</v>
      </c>
      <c r="B165">
        <v>0</v>
      </c>
      <c r="C165">
        <v>69</v>
      </c>
      <c r="D165">
        <v>2</v>
      </c>
      <c r="E165">
        <v>3</v>
      </c>
      <c r="F165">
        <v>0</v>
      </c>
      <c r="G165">
        <v>0</v>
      </c>
      <c r="H165">
        <v>0</v>
      </c>
      <c r="I165">
        <v>3</v>
      </c>
      <c r="J165">
        <v>0</v>
      </c>
      <c r="K165">
        <v>77</v>
      </c>
    </row>
    <row r="166" spans="1:11" x14ac:dyDescent="0.25">
      <c r="A166" t="s">
        <v>1162</v>
      </c>
      <c r="B166">
        <v>0</v>
      </c>
      <c r="C166">
        <v>59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4</v>
      </c>
      <c r="J166">
        <v>0</v>
      </c>
      <c r="K166">
        <v>65</v>
      </c>
    </row>
    <row r="167" spans="1:11" x14ac:dyDescent="0.25">
      <c r="A167" t="s">
        <v>1163</v>
      </c>
      <c r="B167">
        <v>0</v>
      </c>
      <c r="C167">
        <v>0</v>
      </c>
      <c r="D167">
        <v>0</v>
      </c>
      <c r="E167">
        <v>3</v>
      </c>
      <c r="F167">
        <v>0</v>
      </c>
      <c r="G167">
        <v>0</v>
      </c>
      <c r="H167">
        <v>0</v>
      </c>
      <c r="I167">
        <v>48</v>
      </c>
      <c r="J167">
        <v>0</v>
      </c>
      <c r="K167">
        <v>51</v>
      </c>
    </row>
    <row r="168" spans="1:11" x14ac:dyDescent="0.25">
      <c r="A168" t="s">
        <v>1164</v>
      </c>
      <c r="B168">
        <v>0</v>
      </c>
      <c r="C168">
        <v>46</v>
      </c>
      <c r="D168">
        <v>0</v>
      </c>
      <c r="E168">
        <v>4</v>
      </c>
      <c r="F168">
        <v>0</v>
      </c>
      <c r="G168">
        <v>1</v>
      </c>
      <c r="H168">
        <v>0</v>
      </c>
      <c r="I168">
        <v>4</v>
      </c>
      <c r="J168">
        <v>0</v>
      </c>
      <c r="K168">
        <v>55</v>
      </c>
    </row>
    <row r="169" spans="1:11" x14ac:dyDescent="0.25">
      <c r="A169" t="s">
        <v>1165</v>
      </c>
      <c r="B169">
        <v>0</v>
      </c>
      <c r="C169">
        <v>9</v>
      </c>
      <c r="D169">
        <v>0</v>
      </c>
      <c r="E169">
        <v>4</v>
      </c>
      <c r="F169">
        <v>0</v>
      </c>
      <c r="G169">
        <v>0</v>
      </c>
      <c r="H169">
        <v>0</v>
      </c>
      <c r="I169">
        <v>24</v>
      </c>
      <c r="J169">
        <v>0</v>
      </c>
      <c r="K169">
        <v>37</v>
      </c>
    </row>
    <row r="170" spans="1:11" x14ac:dyDescent="0.25">
      <c r="A170" t="s">
        <v>1166</v>
      </c>
      <c r="B170">
        <v>0</v>
      </c>
      <c r="C170">
        <v>19</v>
      </c>
      <c r="D170">
        <v>0</v>
      </c>
      <c r="E170">
        <v>4</v>
      </c>
      <c r="F170">
        <v>0</v>
      </c>
      <c r="G170">
        <v>0</v>
      </c>
      <c r="H170">
        <v>0</v>
      </c>
      <c r="I170">
        <v>53</v>
      </c>
      <c r="J170">
        <v>0</v>
      </c>
      <c r="K170">
        <v>76</v>
      </c>
    </row>
    <row r="171" spans="1:11" x14ac:dyDescent="0.25">
      <c r="A171" t="s">
        <v>1167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1168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1169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1170</v>
      </c>
      <c r="B174">
        <v>0</v>
      </c>
      <c r="C174">
        <v>0</v>
      </c>
      <c r="D174">
        <v>5</v>
      </c>
      <c r="E174">
        <v>12</v>
      </c>
      <c r="F174">
        <v>0</v>
      </c>
      <c r="G174">
        <v>0</v>
      </c>
      <c r="H174">
        <v>0</v>
      </c>
      <c r="I174">
        <v>35</v>
      </c>
      <c r="J174">
        <v>0</v>
      </c>
      <c r="K174">
        <v>52</v>
      </c>
    </row>
    <row r="175" spans="1:11" x14ac:dyDescent="0.25">
      <c r="A175" t="s">
        <v>1171</v>
      </c>
      <c r="B175">
        <v>0</v>
      </c>
      <c r="C175">
        <v>90</v>
      </c>
      <c r="D175">
        <v>2</v>
      </c>
      <c r="E175">
        <v>1</v>
      </c>
      <c r="F175">
        <v>0</v>
      </c>
      <c r="G175">
        <v>5</v>
      </c>
      <c r="H175">
        <v>0</v>
      </c>
      <c r="I175">
        <v>3</v>
      </c>
      <c r="J175">
        <v>0</v>
      </c>
      <c r="K175">
        <v>101</v>
      </c>
    </row>
    <row r="176" spans="1:11" x14ac:dyDescent="0.25">
      <c r="A176" t="s">
        <v>1172</v>
      </c>
      <c r="B176">
        <v>0</v>
      </c>
      <c r="C176">
        <v>0</v>
      </c>
      <c r="D176">
        <v>29</v>
      </c>
      <c r="E176">
        <v>45</v>
      </c>
      <c r="F176">
        <v>0</v>
      </c>
      <c r="G176">
        <v>0</v>
      </c>
      <c r="H176">
        <v>0</v>
      </c>
      <c r="I176">
        <v>40</v>
      </c>
      <c r="J176">
        <v>0</v>
      </c>
      <c r="K176">
        <v>114</v>
      </c>
    </row>
    <row r="177" spans="1:11" x14ac:dyDescent="0.25">
      <c r="A177" t="s">
        <v>1173</v>
      </c>
      <c r="B177">
        <v>0</v>
      </c>
      <c r="C177">
        <v>0</v>
      </c>
      <c r="D177">
        <v>1</v>
      </c>
      <c r="E177">
        <v>1</v>
      </c>
      <c r="F177">
        <v>0</v>
      </c>
      <c r="G177">
        <v>0</v>
      </c>
      <c r="H177">
        <v>0</v>
      </c>
      <c r="I177">
        <v>102</v>
      </c>
      <c r="J177">
        <v>0</v>
      </c>
      <c r="K177">
        <v>104</v>
      </c>
    </row>
    <row r="178" spans="1:11" x14ac:dyDescent="0.25">
      <c r="A178" t="s">
        <v>1174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1175</v>
      </c>
      <c r="B179">
        <v>0</v>
      </c>
      <c r="C179">
        <v>32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20</v>
      </c>
      <c r="J179">
        <v>0</v>
      </c>
      <c r="K179">
        <v>60</v>
      </c>
    </row>
    <row r="180" spans="1:11" x14ac:dyDescent="0.25">
      <c r="A180" t="s">
        <v>1176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1177</v>
      </c>
      <c r="B181">
        <v>0</v>
      </c>
      <c r="C181">
        <v>81</v>
      </c>
      <c r="D181">
        <v>0</v>
      </c>
      <c r="E181">
        <v>27</v>
      </c>
      <c r="F181">
        <v>0</v>
      </c>
      <c r="G181">
        <v>0</v>
      </c>
      <c r="H181">
        <v>0</v>
      </c>
      <c r="I181">
        <v>101</v>
      </c>
      <c r="J181">
        <v>0</v>
      </c>
      <c r="K181">
        <v>209</v>
      </c>
    </row>
    <row r="182" spans="1:11" x14ac:dyDescent="0.25">
      <c r="A182" t="s">
        <v>1178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1179</v>
      </c>
      <c r="B183">
        <v>0</v>
      </c>
      <c r="C183">
        <v>34</v>
      </c>
      <c r="D183">
        <v>0</v>
      </c>
      <c r="E183">
        <v>3</v>
      </c>
      <c r="F183">
        <v>0</v>
      </c>
      <c r="G183">
        <v>0</v>
      </c>
      <c r="H183">
        <v>1</v>
      </c>
      <c r="I183">
        <v>140</v>
      </c>
      <c r="J183">
        <v>0</v>
      </c>
      <c r="K183">
        <v>178</v>
      </c>
    </row>
    <row r="184" spans="1:11" x14ac:dyDescent="0.25">
      <c r="A184" t="s">
        <v>1180</v>
      </c>
      <c r="B184">
        <v>0</v>
      </c>
      <c r="C184">
        <v>24</v>
      </c>
      <c r="D184">
        <v>0</v>
      </c>
      <c r="E184">
        <v>13</v>
      </c>
      <c r="F184">
        <v>0</v>
      </c>
      <c r="G184">
        <v>0</v>
      </c>
      <c r="H184">
        <v>0</v>
      </c>
      <c r="I184">
        <v>23</v>
      </c>
      <c r="J184">
        <v>0</v>
      </c>
      <c r="K184">
        <v>60</v>
      </c>
    </row>
    <row r="185" spans="1:11" x14ac:dyDescent="0.25">
      <c r="A185" t="s">
        <v>1181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1182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1183</v>
      </c>
      <c r="B187">
        <v>0</v>
      </c>
      <c r="C187">
        <v>20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1184</v>
      </c>
      <c r="B188">
        <v>0</v>
      </c>
      <c r="C188">
        <v>23</v>
      </c>
      <c r="D188">
        <v>0</v>
      </c>
      <c r="E188">
        <v>34</v>
      </c>
      <c r="F188">
        <v>0</v>
      </c>
      <c r="G188">
        <v>1</v>
      </c>
      <c r="H188">
        <v>0</v>
      </c>
      <c r="I188">
        <v>57</v>
      </c>
      <c r="J188">
        <v>0</v>
      </c>
      <c r="K188">
        <v>115</v>
      </c>
    </row>
    <row r="189" spans="1:11" x14ac:dyDescent="0.25">
      <c r="A189" t="s">
        <v>1185</v>
      </c>
      <c r="B189">
        <v>0</v>
      </c>
      <c r="C189">
        <v>0</v>
      </c>
      <c r="D189">
        <v>0</v>
      </c>
      <c r="E189">
        <v>7</v>
      </c>
      <c r="F189">
        <v>0</v>
      </c>
      <c r="G189">
        <v>0</v>
      </c>
      <c r="H189">
        <v>0</v>
      </c>
      <c r="I189">
        <v>45</v>
      </c>
      <c r="J189">
        <v>0</v>
      </c>
      <c r="K189">
        <v>52</v>
      </c>
    </row>
    <row r="190" spans="1:11" x14ac:dyDescent="0.25">
      <c r="A190" t="s">
        <v>1186</v>
      </c>
      <c r="B190">
        <v>0</v>
      </c>
      <c r="C190">
        <v>5</v>
      </c>
      <c r="D190">
        <v>1</v>
      </c>
      <c r="E190">
        <v>1</v>
      </c>
      <c r="F190">
        <v>0</v>
      </c>
      <c r="G190">
        <v>0</v>
      </c>
      <c r="H190">
        <v>0</v>
      </c>
      <c r="I190">
        <v>32</v>
      </c>
      <c r="J190">
        <v>0</v>
      </c>
      <c r="K190">
        <v>39</v>
      </c>
    </row>
    <row r="191" spans="1:11" x14ac:dyDescent="0.25">
      <c r="A191" t="s">
        <v>1187</v>
      </c>
      <c r="B191">
        <v>0</v>
      </c>
      <c r="C191">
        <v>24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31</v>
      </c>
      <c r="J191">
        <v>0</v>
      </c>
      <c r="K191">
        <v>56</v>
      </c>
    </row>
    <row r="192" spans="1:11" x14ac:dyDescent="0.25">
      <c r="A192" t="s">
        <v>1188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1189</v>
      </c>
      <c r="B193">
        <v>0</v>
      </c>
      <c r="C193">
        <v>50</v>
      </c>
      <c r="D193">
        <v>1</v>
      </c>
      <c r="E193">
        <v>1</v>
      </c>
      <c r="F193">
        <v>0</v>
      </c>
      <c r="G193">
        <v>0</v>
      </c>
      <c r="H193">
        <v>0</v>
      </c>
      <c r="I193">
        <v>7</v>
      </c>
      <c r="J193">
        <v>0</v>
      </c>
      <c r="K193">
        <v>59</v>
      </c>
    </row>
    <row r="194" spans="1:11" x14ac:dyDescent="0.25">
      <c r="A194" t="s">
        <v>1190</v>
      </c>
      <c r="B194">
        <v>0</v>
      </c>
      <c r="C194">
        <v>65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8</v>
      </c>
      <c r="J194">
        <v>1</v>
      </c>
      <c r="K194">
        <v>74</v>
      </c>
    </row>
    <row r="195" spans="1:11" x14ac:dyDescent="0.25">
      <c r="A195" t="s">
        <v>1191</v>
      </c>
      <c r="B195">
        <v>0</v>
      </c>
      <c r="C195">
        <v>86</v>
      </c>
      <c r="D195">
        <v>1</v>
      </c>
      <c r="E195">
        <v>0</v>
      </c>
      <c r="F195">
        <v>0</v>
      </c>
      <c r="G195">
        <v>0</v>
      </c>
      <c r="H195">
        <v>0</v>
      </c>
      <c r="I195">
        <v>3</v>
      </c>
      <c r="J195">
        <v>0</v>
      </c>
      <c r="K195">
        <v>90</v>
      </c>
    </row>
    <row r="196" spans="1:11" x14ac:dyDescent="0.25">
      <c r="A196" t="s">
        <v>1192</v>
      </c>
      <c r="B196">
        <v>3</v>
      </c>
      <c r="C196">
        <v>160</v>
      </c>
      <c r="D196">
        <v>1</v>
      </c>
      <c r="E196">
        <v>0</v>
      </c>
      <c r="F196">
        <v>0</v>
      </c>
      <c r="G196">
        <v>1</v>
      </c>
      <c r="H196">
        <v>0</v>
      </c>
      <c r="I196">
        <v>2</v>
      </c>
      <c r="J196">
        <v>0</v>
      </c>
      <c r="K196">
        <v>167</v>
      </c>
    </row>
    <row r="197" spans="1:11" x14ac:dyDescent="0.25">
      <c r="A197" t="s">
        <v>1193</v>
      </c>
      <c r="B197">
        <v>0</v>
      </c>
      <c r="C197">
        <v>137</v>
      </c>
      <c r="D197">
        <v>0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1194</v>
      </c>
      <c r="B198">
        <v>0</v>
      </c>
      <c r="C198">
        <v>35</v>
      </c>
      <c r="D198">
        <v>0</v>
      </c>
      <c r="E198">
        <v>14</v>
      </c>
      <c r="F198">
        <v>0</v>
      </c>
      <c r="G198">
        <v>0</v>
      </c>
      <c r="H198">
        <v>0</v>
      </c>
      <c r="I198">
        <v>12</v>
      </c>
      <c r="J198">
        <v>0</v>
      </c>
      <c r="K198">
        <v>61</v>
      </c>
    </row>
    <row r="199" spans="1:11" x14ac:dyDescent="0.25">
      <c r="A199" t="s">
        <v>1195</v>
      </c>
      <c r="B199">
        <v>0</v>
      </c>
      <c r="C199">
        <v>48</v>
      </c>
      <c r="D199">
        <v>1</v>
      </c>
      <c r="E199">
        <v>24</v>
      </c>
      <c r="F199">
        <v>0</v>
      </c>
      <c r="G199">
        <v>0</v>
      </c>
      <c r="H199">
        <v>0</v>
      </c>
      <c r="I199">
        <v>14</v>
      </c>
      <c r="J199">
        <v>0</v>
      </c>
      <c r="K199">
        <v>87</v>
      </c>
    </row>
    <row r="200" spans="1:11" x14ac:dyDescent="0.25">
      <c r="A200" t="s">
        <v>1196</v>
      </c>
      <c r="B200">
        <v>0</v>
      </c>
      <c r="C200">
        <v>62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15</v>
      </c>
      <c r="J200">
        <v>1</v>
      </c>
      <c r="K200">
        <v>78</v>
      </c>
    </row>
    <row r="201" spans="1:11" x14ac:dyDescent="0.25">
      <c r="A201" t="s">
        <v>1197</v>
      </c>
      <c r="B201">
        <v>0</v>
      </c>
      <c r="C201">
        <v>41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41</v>
      </c>
    </row>
    <row r="202" spans="1:11" x14ac:dyDescent="0.25">
      <c r="A202" t="s">
        <v>1198</v>
      </c>
      <c r="B202">
        <v>0</v>
      </c>
      <c r="C202">
        <v>100</v>
      </c>
      <c r="D202">
        <v>1</v>
      </c>
      <c r="E202">
        <v>0</v>
      </c>
      <c r="F202">
        <v>0</v>
      </c>
      <c r="G202">
        <v>1</v>
      </c>
      <c r="H202">
        <v>0</v>
      </c>
      <c r="I202">
        <v>0</v>
      </c>
      <c r="J202">
        <v>0</v>
      </c>
      <c r="K202">
        <v>102</v>
      </c>
    </row>
    <row r="203" spans="1:11" x14ac:dyDescent="0.25">
      <c r="A203" t="s">
        <v>1199</v>
      </c>
      <c r="B203">
        <v>0</v>
      </c>
      <c r="C203">
        <v>84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0</v>
      </c>
      <c r="K203">
        <v>85</v>
      </c>
    </row>
    <row r="204" spans="1:11" x14ac:dyDescent="0.25">
      <c r="A204" t="s">
        <v>1200</v>
      </c>
      <c r="B204">
        <v>0</v>
      </c>
      <c r="C204">
        <v>78</v>
      </c>
      <c r="D204">
        <v>0</v>
      </c>
      <c r="E204">
        <v>0</v>
      </c>
      <c r="F204">
        <v>0</v>
      </c>
      <c r="G204">
        <v>1</v>
      </c>
      <c r="H204">
        <v>0</v>
      </c>
      <c r="I204">
        <v>0</v>
      </c>
      <c r="J204">
        <v>0</v>
      </c>
      <c r="K204">
        <v>79</v>
      </c>
    </row>
    <row r="205" spans="1:11" x14ac:dyDescent="0.25">
      <c r="A205" t="s">
        <v>1201</v>
      </c>
      <c r="B205">
        <v>0</v>
      </c>
      <c r="C205">
        <v>100</v>
      </c>
      <c r="D205">
        <v>2</v>
      </c>
      <c r="E205">
        <v>1</v>
      </c>
      <c r="F205">
        <v>0</v>
      </c>
      <c r="G205">
        <v>0</v>
      </c>
      <c r="H205">
        <v>0</v>
      </c>
      <c r="I205">
        <v>0</v>
      </c>
      <c r="J205">
        <v>1</v>
      </c>
      <c r="K205">
        <v>104</v>
      </c>
    </row>
    <row r="206" spans="1:11" x14ac:dyDescent="0.25">
      <c r="A206" t="s">
        <v>1202</v>
      </c>
      <c r="B206">
        <v>0</v>
      </c>
      <c r="C206">
        <v>128</v>
      </c>
      <c r="D206">
        <v>12</v>
      </c>
      <c r="E206">
        <v>9</v>
      </c>
      <c r="F206">
        <v>0</v>
      </c>
      <c r="G206">
        <v>5</v>
      </c>
      <c r="H206">
        <v>0</v>
      </c>
      <c r="I206">
        <v>1</v>
      </c>
      <c r="J206">
        <v>0</v>
      </c>
      <c r="K206">
        <v>155</v>
      </c>
    </row>
    <row r="207" spans="1:11" x14ac:dyDescent="0.25">
      <c r="A207" t="s">
        <v>1203</v>
      </c>
      <c r="B207">
        <v>0</v>
      </c>
      <c r="C207">
        <v>91</v>
      </c>
      <c r="D207">
        <v>4</v>
      </c>
      <c r="E207">
        <v>0</v>
      </c>
      <c r="F207">
        <v>0</v>
      </c>
      <c r="G207">
        <v>3</v>
      </c>
      <c r="H207">
        <v>0</v>
      </c>
      <c r="I207">
        <v>0</v>
      </c>
      <c r="J207">
        <v>0</v>
      </c>
      <c r="K207">
        <v>98</v>
      </c>
    </row>
    <row r="208" spans="1:11" x14ac:dyDescent="0.25">
      <c r="A208" t="s">
        <v>1204</v>
      </c>
      <c r="B208">
        <v>0</v>
      </c>
      <c r="C208">
        <v>53</v>
      </c>
      <c r="D208">
        <v>44</v>
      </c>
      <c r="E208">
        <v>6</v>
      </c>
      <c r="F208">
        <v>0</v>
      </c>
      <c r="G208">
        <v>0</v>
      </c>
      <c r="H208">
        <v>0</v>
      </c>
      <c r="I208">
        <v>8</v>
      </c>
      <c r="J208">
        <v>1</v>
      </c>
      <c r="K208">
        <v>112</v>
      </c>
    </row>
    <row r="209" spans="1:11" x14ac:dyDescent="0.25">
      <c r="A209" t="s">
        <v>1205</v>
      </c>
      <c r="B209">
        <v>0</v>
      </c>
      <c r="C209">
        <v>24</v>
      </c>
      <c r="D209">
        <v>13</v>
      </c>
      <c r="E209">
        <v>15</v>
      </c>
      <c r="F209">
        <v>0</v>
      </c>
      <c r="G209">
        <v>0</v>
      </c>
      <c r="H209">
        <v>0</v>
      </c>
      <c r="I209">
        <v>21</v>
      </c>
      <c r="J209">
        <v>0</v>
      </c>
      <c r="K209">
        <v>73</v>
      </c>
    </row>
    <row r="210" spans="1:11" x14ac:dyDescent="0.25">
      <c r="A210" t="s">
        <v>1206</v>
      </c>
      <c r="B210">
        <v>0</v>
      </c>
      <c r="C210">
        <v>61</v>
      </c>
      <c r="D210">
        <v>7</v>
      </c>
      <c r="E210">
        <v>0</v>
      </c>
      <c r="F210">
        <v>0</v>
      </c>
      <c r="G210">
        <v>0</v>
      </c>
      <c r="H210">
        <v>0</v>
      </c>
      <c r="I210">
        <v>3</v>
      </c>
      <c r="J210">
        <v>0</v>
      </c>
      <c r="K210">
        <v>71</v>
      </c>
    </row>
    <row r="211" spans="1:11" x14ac:dyDescent="0.25">
      <c r="A211" t="s">
        <v>1207</v>
      </c>
      <c r="B211">
        <v>0</v>
      </c>
      <c r="C211">
        <v>62</v>
      </c>
      <c r="D211">
        <v>19</v>
      </c>
      <c r="E211">
        <v>10</v>
      </c>
      <c r="F211">
        <v>0</v>
      </c>
      <c r="G211">
        <v>0</v>
      </c>
      <c r="H211">
        <v>0</v>
      </c>
      <c r="I211">
        <v>9</v>
      </c>
      <c r="J211">
        <v>0</v>
      </c>
      <c r="K211">
        <v>100</v>
      </c>
    </row>
    <row r="212" spans="1:11" x14ac:dyDescent="0.25">
      <c r="A212" t="s">
        <v>1208</v>
      </c>
      <c r="B212">
        <v>0</v>
      </c>
      <c r="C212">
        <v>174</v>
      </c>
      <c r="D212">
        <v>1</v>
      </c>
      <c r="E212">
        <v>5</v>
      </c>
      <c r="F212">
        <v>0</v>
      </c>
      <c r="G212">
        <v>6</v>
      </c>
      <c r="H212">
        <v>0</v>
      </c>
      <c r="I212">
        <v>6</v>
      </c>
      <c r="J212">
        <v>0</v>
      </c>
      <c r="K212">
        <v>192</v>
      </c>
    </row>
    <row r="213" spans="1:11" x14ac:dyDescent="0.25">
      <c r="A213" t="s">
        <v>1209</v>
      </c>
      <c r="B213">
        <v>0</v>
      </c>
      <c r="C213">
        <v>56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28</v>
      </c>
      <c r="J213">
        <v>0</v>
      </c>
      <c r="K213">
        <v>84</v>
      </c>
    </row>
    <row r="214" spans="1:11" x14ac:dyDescent="0.25">
      <c r="A214" t="s">
        <v>1210</v>
      </c>
      <c r="B214">
        <v>0</v>
      </c>
      <c r="C214">
        <v>0</v>
      </c>
      <c r="D214">
        <v>0</v>
      </c>
      <c r="E214">
        <v>8</v>
      </c>
      <c r="F214">
        <v>0</v>
      </c>
      <c r="G214">
        <v>0</v>
      </c>
      <c r="H214">
        <v>0</v>
      </c>
      <c r="I214">
        <v>112</v>
      </c>
      <c r="J214">
        <v>0</v>
      </c>
      <c r="K214">
        <v>120</v>
      </c>
    </row>
    <row r="215" spans="1:11" x14ac:dyDescent="0.25">
      <c r="A215" t="s">
        <v>1211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1212</v>
      </c>
      <c r="B216">
        <v>0</v>
      </c>
      <c r="C216">
        <v>22</v>
      </c>
      <c r="D216">
        <v>10</v>
      </c>
      <c r="E216">
        <v>34</v>
      </c>
      <c r="F216">
        <v>0</v>
      </c>
      <c r="G216">
        <v>0</v>
      </c>
      <c r="H216">
        <v>0</v>
      </c>
      <c r="I216">
        <v>48</v>
      </c>
      <c r="J216">
        <v>0</v>
      </c>
      <c r="K216">
        <v>114</v>
      </c>
    </row>
    <row r="217" spans="1:11" x14ac:dyDescent="0.25">
      <c r="A217" t="s">
        <v>1213</v>
      </c>
      <c r="B217">
        <v>0</v>
      </c>
      <c r="C217">
        <v>48</v>
      </c>
      <c r="D217">
        <v>5</v>
      </c>
      <c r="E217">
        <v>19</v>
      </c>
      <c r="F217">
        <v>0</v>
      </c>
      <c r="G217">
        <v>0</v>
      </c>
      <c r="H217">
        <v>0</v>
      </c>
      <c r="I217">
        <v>27</v>
      </c>
      <c r="J217">
        <v>0</v>
      </c>
      <c r="K217">
        <v>99</v>
      </c>
    </row>
    <row r="218" spans="1:11" x14ac:dyDescent="0.25">
      <c r="A218" t="s">
        <v>1214</v>
      </c>
      <c r="B218">
        <v>0</v>
      </c>
      <c r="C218">
        <v>12</v>
      </c>
      <c r="D218">
        <v>4</v>
      </c>
      <c r="E218">
        <v>43</v>
      </c>
      <c r="F218">
        <v>0</v>
      </c>
      <c r="G218">
        <v>0</v>
      </c>
      <c r="H218">
        <v>0</v>
      </c>
      <c r="I218">
        <v>39</v>
      </c>
      <c r="J218">
        <v>0</v>
      </c>
      <c r="K218">
        <v>98</v>
      </c>
    </row>
    <row r="219" spans="1:11" x14ac:dyDescent="0.25">
      <c r="A219" t="s">
        <v>1215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1216</v>
      </c>
      <c r="B220">
        <v>0</v>
      </c>
      <c r="C220">
        <v>139</v>
      </c>
      <c r="D220">
        <v>1</v>
      </c>
      <c r="E220">
        <v>2</v>
      </c>
      <c r="F220">
        <v>2</v>
      </c>
      <c r="G220">
        <v>9</v>
      </c>
      <c r="H220">
        <v>0</v>
      </c>
      <c r="I220">
        <v>38</v>
      </c>
      <c r="J220">
        <v>0</v>
      </c>
      <c r="K220">
        <v>191</v>
      </c>
    </row>
    <row r="221" spans="1:11" x14ac:dyDescent="0.25">
      <c r="A221" t="s">
        <v>1217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1218</v>
      </c>
      <c r="B222">
        <v>0</v>
      </c>
      <c r="C222">
        <v>38</v>
      </c>
      <c r="D222">
        <v>2</v>
      </c>
      <c r="E222">
        <v>9</v>
      </c>
      <c r="F222">
        <v>0</v>
      </c>
      <c r="G222">
        <v>0</v>
      </c>
      <c r="H222">
        <v>0</v>
      </c>
      <c r="I222">
        <v>3</v>
      </c>
      <c r="J222">
        <v>2</v>
      </c>
      <c r="K222">
        <v>54</v>
      </c>
    </row>
    <row r="223" spans="1:11" x14ac:dyDescent="0.25">
      <c r="A223" t="s">
        <v>1219</v>
      </c>
      <c r="B223">
        <v>0</v>
      </c>
      <c r="C223">
        <v>154</v>
      </c>
      <c r="D223">
        <v>1</v>
      </c>
      <c r="E223">
        <v>6</v>
      </c>
      <c r="F223">
        <v>1</v>
      </c>
      <c r="G223">
        <v>5</v>
      </c>
      <c r="H223">
        <v>0</v>
      </c>
      <c r="I223">
        <v>22</v>
      </c>
      <c r="J223">
        <v>0</v>
      </c>
      <c r="K223">
        <v>189</v>
      </c>
    </row>
    <row r="224" spans="1:11" x14ac:dyDescent="0.25">
      <c r="A224" t="s">
        <v>1220</v>
      </c>
      <c r="B224">
        <v>0</v>
      </c>
      <c r="C224">
        <v>57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7</v>
      </c>
      <c r="J224">
        <v>0</v>
      </c>
      <c r="K224">
        <v>64</v>
      </c>
    </row>
    <row r="225" spans="1:11" x14ac:dyDescent="0.25">
      <c r="A225" t="s">
        <v>1221</v>
      </c>
      <c r="B225">
        <v>0</v>
      </c>
      <c r="C225">
        <v>9</v>
      </c>
      <c r="D225">
        <v>0</v>
      </c>
      <c r="E225">
        <v>1</v>
      </c>
      <c r="F225">
        <v>0</v>
      </c>
      <c r="G225">
        <v>0</v>
      </c>
      <c r="H225">
        <v>0</v>
      </c>
      <c r="I225">
        <v>59</v>
      </c>
      <c r="J225">
        <v>0</v>
      </c>
      <c r="K225">
        <v>69</v>
      </c>
    </row>
    <row r="226" spans="1:11" x14ac:dyDescent="0.25">
      <c r="A226" t="s">
        <v>1222</v>
      </c>
      <c r="B226">
        <v>0</v>
      </c>
      <c r="C226">
        <v>83</v>
      </c>
      <c r="D226">
        <v>5</v>
      </c>
      <c r="E226">
        <v>10</v>
      </c>
      <c r="F226">
        <v>0</v>
      </c>
      <c r="G226">
        <v>1</v>
      </c>
      <c r="H226">
        <v>0</v>
      </c>
      <c r="I226">
        <v>33</v>
      </c>
      <c r="J226">
        <v>0</v>
      </c>
      <c r="K226">
        <v>132</v>
      </c>
    </row>
    <row r="227" spans="1:11" x14ac:dyDescent="0.25">
      <c r="A227" t="s">
        <v>1223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1224</v>
      </c>
      <c r="B228">
        <v>0</v>
      </c>
      <c r="C228">
        <v>110</v>
      </c>
      <c r="D228">
        <v>2</v>
      </c>
      <c r="E228">
        <v>5</v>
      </c>
      <c r="F228">
        <v>0</v>
      </c>
      <c r="G228">
        <v>1</v>
      </c>
      <c r="H228">
        <v>0</v>
      </c>
      <c r="I228">
        <v>6</v>
      </c>
      <c r="J228">
        <v>0</v>
      </c>
      <c r="K228">
        <v>124</v>
      </c>
    </row>
    <row r="229" spans="1:11" x14ac:dyDescent="0.25">
      <c r="A229" t="s">
        <v>1225</v>
      </c>
      <c r="B229">
        <v>0</v>
      </c>
      <c r="C229">
        <v>80</v>
      </c>
      <c r="D229">
        <v>4</v>
      </c>
      <c r="E229">
        <v>5</v>
      </c>
      <c r="F229">
        <v>0</v>
      </c>
      <c r="G229">
        <v>0</v>
      </c>
      <c r="H229">
        <v>0</v>
      </c>
      <c r="I229">
        <v>14</v>
      </c>
      <c r="J229">
        <v>2</v>
      </c>
      <c r="K229">
        <v>105</v>
      </c>
    </row>
    <row r="230" spans="1:11" x14ac:dyDescent="0.25">
      <c r="A230" t="s">
        <v>1226</v>
      </c>
      <c r="B230">
        <v>5</v>
      </c>
      <c r="C230">
        <v>110</v>
      </c>
      <c r="D230">
        <v>0</v>
      </c>
      <c r="E230">
        <v>13</v>
      </c>
      <c r="F230">
        <v>0</v>
      </c>
      <c r="G230">
        <v>3</v>
      </c>
      <c r="H230">
        <v>0</v>
      </c>
      <c r="I230">
        <v>10</v>
      </c>
      <c r="J230">
        <v>0</v>
      </c>
      <c r="K230">
        <v>141</v>
      </c>
    </row>
    <row r="231" spans="1:11" x14ac:dyDescent="0.25">
      <c r="A231" t="s">
        <v>1227</v>
      </c>
      <c r="B231">
        <v>0</v>
      </c>
      <c r="C231">
        <v>39</v>
      </c>
      <c r="D231">
        <v>12</v>
      </c>
      <c r="E231">
        <v>24</v>
      </c>
      <c r="F231">
        <v>0</v>
      </c>
      <c r="G231">
        <v>0</v>
      </c>
      <c r="H231">
        <v>0</v>
      </c>
      <c r="I231">
        <v>85</v>
      </c>
      <c r="J231">
        <v>4</v>
      </c>
      <c r="K231">
        <v>164</v>
      </c>
    </row>
    <row r="232" spans="1:11" x14ac:dyDescent="0.25">
      <c r="A232" t="s">
        <v>1228</v>
      </c>
      <c r="B232">
        <v>0</v>
      </c>
      <c r="C232">
        <v>80</v>
      </c>
      <c r="D232">
        <v>2</v>
      </c>
      <c r="E232">
        <v>0</v>
      </c>
      <c r="F232">
        <v>0</v>
      </c>
      <c r="G232">
        <v>0</v>
      </c>
      <c r="H232">
        <v>0</v>
      </c>
      <c r="I232">
        <v>46</v>
      </c>
      <c r="J232">
        <v>0</v>
      </c>
      <c r="K232">
        <v>128</v>
      </c>
    </row>
    <row r="233" spans="1:11" x14ac:dyDescent="0.25">
      <c r="A233" t="s">
        <v>1229</v>
      </c>
      <c r="B233">
        <v>0</v>
      </c>
      <c r="C233">
        <v>0</v>
      </c>
      <c r="D233">
        <v>17</v>
      </c>
      <c r="E233">
        <v>57</v>
      </c>
      <c r="F233">
        <v>0</v>
      </c>
      <c r="G233">
        <v>0</v>
      </c>
      <c r="H233">
        <v>0</v>
      </c>
      <c r="I233">
        <v>36</v>
      </c>
      <c r="J233">
        <v>7</v>
      </c>
      <c r="K233">
        <v>117</v>
      </c>
    </row>
    <row r="234" spans="1:11" x14ac:dyDescent="0.25">
      <c r="A234" t="s">
        <v>1230</v>
      </c>
      <c r="B234">
        <v>0</v>
      </c>
      <c r="C234">
        <v>176</v>
      </c>
      <c r="D234">
        <v>0</v>
      </c>
      <c r="E234">
        <v>29</v>
      </c>
      <c r="F234">
        <v>0</v>
      </c>
      <c r="G234">
        <v>0</v>
      </c>
      <c r="H234">
        <v>0</v>
      </c>
      <c r="I234">
        <v>3</v>
      </c>
      <c r="J234">
        <v>0</v>
      </c>
      <c r="K234">
        <v>208</v>
      </c>
    </row>
    <row r="235" spans="1:11" x14ac:dyDescent="0.25">
      <c r="A235" t="s">
        <v>1231</v>
      </c>
      <c r="B235">
        <v>0</v>
      </c>
      <c r="C235">
        <v>105</v>
      </c>
      <c r="D235">
        <v>2</v>
      </c>
      <c r="E235">
        <v>8</v>
      </c>
      <c r="F235">
        <v>0</v>
      </c>
      <c r="G235">
        <v>0</v>
      </c>
      <c r="H235">
        <v>0</v>
      </c>
      <c r="I235">
        <v>67</v>
      </c>
      <c r="J235">
        <v>0</v>
      </c>
      <c r="K235">
        <v>182</v>
      </c>
    </row>
    <row r="236" spans="1:11" x14ac:dyDescent="0.25">
      <c r="A236" t="s">
        <v>1232</v>
      </c>
      <c r="B236">
        <v>0</v>
      </c>
      <c r="C236">
        <v>6</v>
      </c>
      <c r="D236">
        <v>29</v>
      </c>
      <c r="E236">
        <v>80</v>
      </c>
      <c r="F236">
        <v>0</v>
      </c>
      <c r="G236">
        <v>0</v>
      </c>
      <c r="H236">
        <v>0</v>
      </c>
      <c r="I236">
        <v>28</v>
      </c>
      <c r="J236">
        <v>26</v>
      </c>
      <c r="K236">
        <v>169</v>
      </c>
    </row>
    <row r="237" spans="1:11" x14ac:dyDescent="0.25">
      <c r="A237" t="s">
        <v>1233</v>
      </c>
      <c r="B237">
        <v>0</v>
      </c>
      <c r="C237">
        <v>115</v>
      </c>
      <c r="D237">
        <v>22</v>
      </c>
      <c r="E237">
        <v>5</v>
      </c>
      <c r="F237">
        <v>0</v>
      </c>
      <c r="G237">
        <v>0</v>
      </c>
      <c r="H237">
        <v>0</v>
      </c>
      <c r="I237">
        <v>103</v>
      </c>
      <c r="J237">
        <v>0</v>
      </c>
      <c r="K237">
        <v>245</v>
      </c>
    </row>
    <row r="238" spans="1:11" x14ac:dyDescent="0.25">
      <c r="A238" t="s">
        <v>1234</v>
      </c>
      <c r="B238">
        <v>0</v>
      </c>
      <c r="C238">
        <v>85</v>
      </c>
      <c r="D238">
        <v>10</v>
      </c>
      <c r="E238">
        <v>28</v>
      </c>
      <c r="F238">
        <v>0</v>
      </c>
      <c r="G238">
        <v>0</v>
      </c>
      <c r="H238">
        <v>0</v>
      </c>
      <c r="I238">
        <v>24</v>
      </c>
      <c r="J238">
        <v>6</v>
      </c>
      <c r="K238">
        <v>153</v>
      </c>
    </row>
    <row r="239" spans="1:11" x14ac:dyDescent="0.25">
      <c r="A239" t="s">
        <v>1235</v>
      </c>
      <c r="B239">
        <v>0</v>
      </c>
      <c r="C239">
        <v>112</v>
      </c>
      <c r="D239">
        <v>18</v>
      </c>
      <c r="E239">
        <v>0</v>
      </c>
      <c r="F239">
        <v>0</v>
      </c>
      <c r="G239">
        <v>2</v>
      </c>
      <c r="H239">
        <v>0</v>
      </c>
      <c r="I239">
        <v>14</v>
      </c>
      <c r="J239">
        <v>0</v>
      </c>
      <c r="K239">
        <v>146</v>
      </c>
    </row>
    <row r="240" spans="1:11" x14ac:dyDescent="0.25">
      <c r="A240" t="s">
        <v>1236</v>
      </c>
      <c r="B240">
        <v>0</v>
      </c>
      <c r="C240">
        <v>39</v>
      </c>
      <c r="D240">
        <v>26</v>
      </c>
      <c r="E240">
        <v>4</v>
      </c>
      <c r="F240">
        <v>0</v>
      </c>
      <c r="G240">
        <v>0</v>
      </c>
      <c r="H240">
        <v>0</v>
      </c>
      <c r="I240">
        <v>92</v>
      </c>
      <c r="J240">
        <v>0</v>
      </c>
      <c r="K240">
        <v>161</v>
      </c>
    </row>
    <row r="241" spans="1:11" x14ac:dyDescent="0.25">
      <c r="A241" t="s">
        <v>1237</v>
      </c>
      <c r="B241">
        <v>0</v>
      </c>
      <c r="C241">
        <v>32</v>
      </c>
      <c r="D241">
        <v>5</v>
      </c>
      <c r="E241">
        <v>22</v>
      </c>
      <c r="F241">
        <v>0</v>
      </c>
      <c r="G241">
        <v>0</v>
      </c>
      <c r="H241">
        <v>0</v>
      </c>
      <c r="I241">
        <v>73</v>
      </c>
      <c r="J241">
        <v>0</v>
      </c>
      <c r="K241">
        <v>132</v>
      </c>
    </row>
    <row r="242" spans="1:11" x14ac:dyDescent="0.25">
      <c r="A242" t="s">
        <v>1238</v>
      </c>
      <c r="B242">
        <v>0</v>
      </c>
      <c r="C242">
        <v>0</v>
      </c>
      <c r="D242">
        <v>0</v>
      </c>
      <c r="E242">
        <v>47</v>
      </c>
      <c r="F242">
        <v>0</v>
      </c>
      <c r="G242">
        <v>0</v>
      </c>
      <c r="H242">
        <v>0</v>
      </c>
      <c r="I242">
        <v>5</v>
      </c>
      <c r="J242">
        <v>0</v>
      </c>
      <c r="K242">
        <v>52</v>
      </c>
    </row>
    <row r="243" spans="1:11" x14ac:dyDescent="0.25">
      <c r="A243" t="s">
        <v>1239</v>
      </c>
      <c r="B243">
        <v>0</v>
      </c>
      <c r="C243">
        <v>195</v>
      </c>
      <c r="D243">
        <v>39</v>
      </c>
      <c r="E243">
        <v>1</v>
      </c>
      <c r="F243">
        <v>0</v>
      </c>
      <c r="G243">
        <v>1</v>
      </c>
      <c r="H243">
        <v>0</v>
      </c>
      <c r="I243">
        <v>29</v>
      </c>
      <c r="J243">
        <v>0</v>
      </c>
      <c r="K243">
        <v>265</v>
      </c>
    </row>
    <row r="244" spans="1:11" x14ac:dyDescent="0.25">
      <c r="A244" t="s">
        <v>1240</v>
      </c>
      <c r="B244">
        <v>0</v>
      </c>
      <c r="C244">
        <v>88</v>
      </c>
      <c r="D244">
        <v>2</v>
      </c>
      <c r="E244">
        <v>0</v>
      </c>
      <c r="F244">
        <v>0</v>
      </c>
      <c r="G244">
        <v>1</v>
      </c>
      <c r="H244">
        <v>0</v>
      </c>
      <c r="I244">
        <v>31</v>
      </c>
      <c r="J244">
        <v>0</v>
      </c>
      <c r="K244">
        <v>122</v>
      </c>
    </row>
    <row r="245" spans="1:11" x14ac:dyDescent="0.25">
      <c r="A245" t="s">
        <v>1241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1242</v>
      </c>
      <c r="B246">
        <v>0</v>
      </c>
      <c r="C246">
        <v>64</v>
      </c>
      <c r="D246">
        <v>18</v>
      </c>
      <c r="E246">
        <v>0</v>
      </c>
      <c r="F246">
        <v>0</v>
      </c>
      <c r="G246">
        <v>2</v>
      </c>
      <c r="H246">
        <v>0</v>
      </c>
      <c r="I246">
        <v>37</v>
      </c>
      <c r="J246">
        <v>0</v>
      </c>
      <c r="K246">
        <v>121</v>
      </c>
    </row>
    <row r="247" spans="1:11" x14ac:dyDescent="0.25">
      <c r="A247" t="s">
        <v>1243</v>
      </c>
      <c r="B247">
        <v>0</v>
      </c>
      <c r="C247">
        <v>88</v>
      </c>
      <c r="D247">
        <v>6</v>
      </c>
      <c r="E247">
        <v>1</v>
      </c>
      <c r="F247">
        <v>0</v>
      </c>
      <c r="G247">
        <v>5</v>
      </c>
      <c r="H247">
        <v>0</v>
      </c>
      <c r="I247">
        <v>15</v>
      </c>
      <c r="J247">
        <v>0</v>
      </c>
      <c r="K247">
        <v>115</v>
      </c>
    </row>
    <row r="248" spans="1:11" x14ac:dyDescent="0.25">
      <c r="A248" t="s">
        <v>1244</v>
      </c>
      <c r="B248">
        <v>0</v>
      </c>
      <c r="C248">
        <v>104</v>
      </c>
      <c r="D248">
        <v>0</v>
      </c>
      <c r="E248">
        <v>0</v>
      </c>
      <c r="F248">
        <v>1</v>
      </c>
      <c r="G248">
        <v>2</v>
      </c>
      <c r="H248">
        <v>0</v>
      </c>
      <c r="I248">
        <v>14</v>
      </c>
      <c r="J248">
        <v>0</v>
      </c>
      <c r="K248">
        <v>121</v>
      </c>
    </row>
    <row r="249" spans="1:11" x14ac:dyDescent="0.25">
      <c r="A249" t="s">
        <v>1245</v>
      </c>
      <c r="B249">
        <v>0</v>
      </c>
      <c r="C249">
        <v>35</v>
      </c>
      <c r="D249">
        <v>8</v>
      </c>
      <c r="E249">
        <v>15</v>
      </c>
      <c r="F249">
        <v>0</v>
      </c>
      <c r="G249">
        <v>1</v>
      </c>
      <c r="H249">
        <v>0</v>
      </c>
      <c r="I249">
        <v>26</v>
      </c>
      <c r="J249">
        <v>6</v>
      </c>
      <c r="K249">
        <v>91</v>
      </c>
    </row>
    <row r="250" spans="1:11" x14ac:dyDescent="0.25">
      <c r="A250" t="s">
        <v>1246</v>
      </c>
      <c r="B250">
        <v>0</v>
      </c>
      <c r="C250">
        <v>47</v>
      </c>
      <c r="D250">
        <v>29</v>
      </c>
      <c r="E250">
        <v>86</v>
      </c>
      <c r="F250">
        <v>0</v>
      </c>
      <c r="G250">
        <v>0</v>
      </c>
      <c r="H250">
        <v>0</v>
      </c>
      <c r="I250">
        <v>125</v>
      </c>
      <c r="J250">
        <v>0</v>
      </c>
      <c r="K250">
        <v>287</v>
      </c>
    </row>
    <row r="251" spans="1:11" x14ac:dyDescent="0.25">
      <c r="A251" t="s">
        <v>1247</v>
      </c>
      <c r="B251">
        <v>0</v>
      </c>
      <c r="C251">
        <v>20</v>
      </c>
      <c r="D251">
        <v>9</v>
      </c>
      <c r="E251">
        <v>22</v>
      </c>
      <c r="F251">
        <v>0</v>
      </c>
      <c r="G251">
        <v>0</v>
      </c>
      <c r="H251">
        <v>0</v>
      </c>
      <c r="I251">
        <v>35</v>
      </c>
      <c r="J251">
        <v>4</v>
      </c>
      <c r="K251">
        <v>90</v>
      </c>
    </row>
    <row r="252" spans="1:11" x14ac:dyDescent="0.25">
      <c r="A252" t="s">
        <v>1248</v>
      </c>
      <c r="B252">
        <v>0</v>
      </c>
      <c r="C252">
        <v>121</v>
      </c>
      <c r="D252">
        <v>0</v>
      </c>
      <c r="E252">
        <v>1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1249</v>
      </c>
      <c r="B253">
        <v>0</v>
      </c>
      <c r="C253">
        <v>92</v>
      </c>
      <c r="D253">
        <v>3</v>
      </c>
      <c r="E253">
        <v>1</v>
      </c>
      <c r="F253">
        <v>0</v>
      </c>
      <c r="G253">
        <v>0</v>
      </c>
      <c r="H253">
        <v>0</v>
      </c>
      <c r="I253">
        <v>36</v>
      </c>
      <c r="J253">
        <v>0</v>
      </c>
      <c r="K253">
        <v>132</v>
      </c>
    </row>
    <row r="254" spans="1:11" x14ac:dyDescent="0.25">
      <c r="A254" t="s">
        <v>1250</v>
      </c>
      <c r="B254">
        <v>0</v>
      </c>
      <c r="C254">
        <v>53</v>
      </c>
      <c r="D254">
        <v>16</v>
      </c>
      <c r="E254">
        <v>31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1251</v>
      </c>
      <c r="B255">
        <v>0</v>
      </c>
      <c r="C255">
        <v>68</v>
      </c>
      <c r="D255">
        <v>12</v>
      </c>
      <c r="E255">
        <v>0</v>
      </c>
      <c r="F255">
        <v>0</v>
      </c>
      <c r="G255">
        <v>0</v>
      </c>
      <c r="H255">
        <v>0</v>
      </c>
      <c r="I255">
        <v>93</v>
      </c>
      <c r="J255">
        <v>0</v>
      </c>
      <c r="K255">
        <v>173</v>
      </c>
    </row>
    <row r="256" spans="1:11" x14ac:dyDescent="0.25">
      <c r="A256" t="s">
        <v>1252</v>
      </c>
      <c r="B256">
        <v>0</v>
      </c>
      <c r="C256">
        <v>21</v>
      </c>
      <c r="D256">
        <v>14</v>
      </c>
      <c r="E256">
        <v>4</v>
      </c>
      <c r="F256">
        <v>0</v>
      </c>
      <c r="G256">
        <v>0</v>
      </c>
      <c r="H256">
        <v>0</v>
      </c>
      <c r="I256">
        <v>53</v>
      </c>
      <c r="J256">
        <v>1</v>
      </c>
      <c r="K256">
        <v>93</v>
      </c>
    </row>
    <row r="257" spans="1:11" x14ac:dyDescent="0.25">
      <c r="A257" t="s">
        <v>1253</v>
      </c>
      <c r="B257">
        <v>0</v>
      </c>
      <c r="C257">
        <v>0</v>
      </c>
      <c r="D257">
        <v>29</v>
      </c>
      <c r="E257">
        <v>39</v>
      </c>
      <c r="F257">
        <v>0</v>
      </c>
      <c r="G257">
        <v>0</v>
      </c>
      <c r="H257">
        <v>0</v>
      </c>
      <c r="I257">
        <v>71</v>
      </c>
      <c r="J257">
        <v>0</v>
      </c>
      <c r="K257">
        <v>139</v>
      </c>
    </row>
    <row r="258" spans="1:11" x14ac:dyDescent="0.25">
      <c r="A258" t="s">
        <v>1254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1255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1256</v>
      </c>
      <c r="B260">
        <v>0</v>
      </c>
      <c r="C260">
        <v>0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42</v>
      </c>
      <c r="J260">
        <v>0</v>
      </c>
      <c r="K260">
        <v>43</v>
      </c>
    </row>
    <row r="261" spans="1:11" x14ac:dyDescent="0.25">
      <c r="A261" t="s">
        <v>1257</v>
      </c>
      <c r="B261">
        <v>0</v>
      </c>
      <c r="C261">
        <v>124</v>
      </c>
      <c r="D261">
        <v>1</v>
      </c>
      <c r="E261">
        <v>21</v>
      </c>
      <c r="F261">
        <v>0</v>
      </c>
      <c r="G261">
        <v>2</v>
      </c>
      <c r="H261">
        <v>0</v>
      </c>
      <c r="I261">
        <v>41</v>
      </c>
      <c r="J261">
        <v>0</v>
      </c>
      <c r="K261">
        <v>189</v>
      </c>
    </row>
    <row r="262" spans="1:11" x14ac:dyDescent="0.25">
      <c r="A262" t="s">
        <v>1258</v>
      </c>
      <c r="B262">
        <v>0</v>
      </c>
      <c r="C262">
        <v>113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99</v>
      </c>
      <c r="J262">
        <v>0</v>
      </c>
      <c r="K262">
        <v>212</v>
      </c>
    </row>
    <row r="263" spans="1:11" x14ac:dyDescent="0.25">
      <c r="A263" t="s">
        <v>1259</v>
      </c>
      <c r="B263">
        <v>0</v>
      </c>
      <c r="C263">
        <v>161</v>
      </c>
      <c r="D263">
        <v>1</v>
      </c>
      <c r="E263">
        <v>12</v>
      </c>
      <c r="F263">
        <v>0</v>
      </c>
      <c r="G263">
        <v>2</v>
      </c>
      <c r="H263">
        <v>0</v>
      </c>
      <c r="I263">
        <v>49</v>
      </c>
      <c r="J263">
        <v>3</v>
      </c>
      <c r="K263">
        <v>228</v>
      </c>
    </row>
    <row r="264" spans="1:11" x14ac:dyDescent="0.25">
      <c r="A264" t="s">
        <v>1260</v>
      </c>
      <c r="B264">
        <v>0</v>
      </c>
      <c r="C264">
        <v>30</v>
      </c>
      <c r="D264">
        <v>0</v>
      </c>
      <c r="E264">
        <v>11</v>
      </c>
      <c r="F264">
        <v>0</v>
      </c>
      <c r="G264">
        <v>0</v>
      </c>
      <c r="H264">
        <v>0</v>
      </c>
      <c r="I264">
        <v>52</v>
      </c>
      <c r="J264">
        <v>0</v>
      </c>
      <c r="K264">
        <v>93</v>
      </c>
    </row>
    <row r="265" spans="1:11" x14ac:dyDescent="0.25">
      <c r="A265" t="s">
        <v>1261</v>
      </c>
      <c r="B265">
        <v>0</v>
      </c>
      <c r="C265">
        <v>22</v>
      </c>
      <c r="D265">
        <v>2</v>
      </c>
      <c r="E265">
        <v>13</v>
      </c>
      <c r="F265">
        <v>0</v>
      </c>
      <c r="G265">
        <v>0</v>
      </c>
      <c r="H265">
        <v>0</v>
      </c>
      <c r="I265">
        <v>108</v>
      </c>
      <c r="J265">
        <v>0</v>
      </c>
      <c r="K265">
        <v>145</v>
      </c>
    </row>
    <row r="266" spans="1:11" x14ac:dyDescent="0.25">
      <c r="A266" t="s">
        <v>1262</v>
      </c>
      <c r="B266">
        <v>0</v>
      </c>
      <c r="C266">
        <v>2</v>
      </c>
      <c r="D266">
        <v>4</v>
      </c>
      <c r="E266">
        <v>4</v>
      </c>
      <c r="F266">
        <v>0</v>
      </c>
      <c r="G266">
        <v>0</v>
      </c>
      <c r="H266">
        <v>0</v>
      </c>
      <c r="I266">
        <v>114</v>
      </c>
      <c r="J266">
        <v>0</v>
      </c>
      <c r="K266">
        <v>124</v>
      </c>
    </row>
    <row r="267" spans="1:11" x14ac:dyDescent="0.25">
      <c r="A267" t="s">
        <v>1263</v>
      </c>
      <c r="B267">
        <v>0</v>
      </c>
      <c r="C267">
        <v>0</v>
      </c>
      <c r="D267">
        <v>1</v>
      </c>
      <c r="E267">
        <v>5</v>
      </c>
      <c r="F267">
        <v>0</v>
      </c>
      <c r="G267">
        <v>0</v>
      </c>
      <c r="H267">
        <v>0</v>
      </c>
      <c r="I267">
        <v>106</v>
      </c>
      <c r="J267">
        <v>0</v>
      </c>
      <c r="K267">
        <v>112</v>
      </c>
    </row>
    <row r="268" spans="1:11" x14ac:dyDescent="0.25">
      <c r="A268" t="s">
        <v>1264</v>
      </c>
      <c r="B268">
        <v>0</v>
      </c>
      <c r="C268">
        <v>43</v>
      </c>
      <c r="D268">
        <v>2</v>
      </c>
      <c r="E268">
        <v>3</v>
      </c>
      <c r="F268">
        <v>0</v>
      </c>
      <c r="G268">
        <v>0</v>
      </c>
      <c r="H268">
        <v>0</v>
      </c>
      <c r="I268">
        <v>54</v>
      </c>
      <c r="J268">
        <v>0</v>
      </c>
      <c r="K268">
        <v>102</v>
      </c>
    </row>
    <row r="269" spans="1:11" x14ac:dyDescent="0.25">
      <c r="A269" t="s">
        <v>1265</v>
      </c>
      <c r="B269">
        <v>0</v>
      </c>
      <c r="C269">
        <v>86</v>
      </c>
      <c r="D269">
        <v>1</v>
      </c>
      <c r="E269">
        <v>3</v>
      </c>
      <c r="F269">
        <v>0</v>
      </c>
      <c r="G269">
        <v>0</v>
      </c>
      <c r="H269">
        <v>0</v>
      </c>
      <c r="I269">
        <v>50</v>
      </c>
      <c r="J269">
        <v>0</v>
      </c>
      <c r="K269">
        <v>140</v>
      </c>
    </row>
    <row r="270" spans="1:11" x14ac:dyDescent="0.25">
      <c r="A270" t="s">
        <v>1266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1267</v>
      </c>
      <c r="B271">
        <v>0</v>
      </c>
      <c r="C271">
        <v>9</v>
      </c>
      <c r="D271">
        <v>5</v>
      </c>
      <c r="E271">
        <v>73</v>
      </c>
      <c r="F271">
        <v>0</v>
      </c>
      <c r="G271">
        <v>0</v>
      </c>
      <c r="H271">
        <v>0</v>
      </c>
      <c r="I271">
        <v>54</v>
      </c>
      <c r="J271">
        <v>0</v>
      </c>
      <c r="K271">
        <v>141</v>
      </c>
    </row>
    <row r="272" spans="1:11" x14ac:dyDescent="0.25">
      <c r="A272" t="s">
        <v>1268</v>
      </c>
      <c r="B272">
        <v>0</v>
      </c>
      <c r="C272">
        <v>62</v>
      </c>
      <c r="D272">
        <v>14</v>
      </c>
      <c r="E272">
        <v>67</v>
      </c>
      <c r="F272">
        <v>0</v>
      </c>
      <c r="G272">
        <v>0</v>
      </c>
      <c r="H272">
        <v>0</v>
      </c>
      <c r="I272">
        <v>23</v>
      </c>
      <c r="J272">
        <v>3</v>
      </c>
      <c r="K272">
        <v>169</v>
      </c>
    </row>
    <row r="273" spans="1:11" x14ac:dyDescent="0.25">
      <c r="A273" t="s">
        <v>1269</v>
      </c>
      <c r="B273">
        <v>0</v>
      </c>
      <c r="C273">
        <v>12</v>
      </c>
      <c r="D273">
        <v>6</v>
      </c>
      <c r="E273">
        <v>13</v>
      </c>
      <c r="F273">
        <v>1</v>
      </c>
      <c r="G273">
        <v>0</v>
      </c>
      <c r="H273">
        <v>0</v>
      </c>
      <c r="I273">
        <v>10</v>
      </c>
      <c r="J273">
        <v>39</v>
      </c>
      <c r="K273">
        <v>81</v>
      </c>
    </row>
    <row r="274" spans="1:11" x14ac:dyDescent="0.25">
      <c r="A274" t="s">
        <v>1270</v>
      </c>
      <c r="B274">
        <v>0</v>
      </c>
      <c r="C274">
        <v>0</v>
      </c>
      <c r="D274">
        <v>0</v>
      </c>
      <c r="E274">
        <v>15</v>
      </c>
      <c r="F274">
        <v>0</v>
      </c>
      <c r="G274">
        <v>0</v>
      </c>
      <c r="H274">
        <v>0</v>
      </c>
      <c r="I274">
        <v>160</v>
      </c>
      <c r="J274">
        <v>0</v>
      </c>
      <c r="K274">
        <v>175</v>
      </c>
    </row>
    <row r="275" spans="1:11" x14ac:dyDescent="0.25">
      <c r="A275" t="s">
        <v>1271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1272</v>
      </c>
      <c r="B276">
        <v>0</v>
      </c>
      <c r="C276">
        <v>58</v>
      </c>
      <c r="D276">
        <v>8</v>
      </c>
      <c r="E276">
        <v>44</v>
      </c>
      <c r="F276">
        <v>1</v>
      </c>
      <c r="G276">
        <v>4</v>
      </c>
      <c r="H276">
        <v>0</v>
      </c>
      <c r="I276">
        <v>6</v>
      </c>
      <c r="J276">
        <v>4</v>
      </c>
      <c r="K276">
        <v>125</v>
      </c>
    </row>
    <row r="277" spans="1:11" x14ac:dyDescent="0.25">
      <c r="A277" t="s">
        <v>1273</v>
      </c>
      <c r="B277">
        <v>0</v>
      </c>
      <c r="C277">
        <v>113</v>
      </c>
      <c r="D277">
        <v>10</v>
      </c>
      <c r="E277">
        <v>0</v>
      </c>
      <c r="F277">
        <v>0</v>
      </c>
      <c r="G277">
        <v>0</v>
      </c>
      <c r="H277">
        <v>0</v>
      </c>
      <c r="I277">
        <v>128</v>
      </c>
      <c r="J277">
        <v>0</v>
      </c>
      <c r="K277">
        <v>251</v>
      </c>
    </row>
    <row r="278" spans="1:11" x14ac:dyDescent="0.25">
      <c r="A278" t="s">
        <v>1274</v>
      </c>
      <c r="B278">
        <v>0</v>
      </c>
      <c r="C278">
        <v>148</v>
      </c>
      <c r="D278">
        <v>11</v>
      </c>
      <c r="E278">
        <v>6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1275</v>
      </c>
      <c r="B279">
        <v>0</v>
      </c>
      <c r="C279">
        <v>53</v>
      </c>
      <c r="D279">
        <v>12</v>
      </c>
      <c r="E279">
        <v>35</v>
      </c>
      <c r="F279">
        <v>0</v>
      </c>
      <c r="G279">
        <v>0</v>
      </c>
      <c r="H279">
        <v>0</v>
      </c>
      <c r="I279">
        <v>20</v>
      </c>
      <c r="J279">
        <v>0</v>
      </c>
      <c r="K279">
        <v>120</v>
      </c>
    </row>
    <row r="280" spans="1:11" x14ac:dyDescent="0.25">
      <c r="A280" t="s">
        <v>1276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1277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1278</v>
      </c>
      <c r="B282">
        <v>0</v>
      </c>
      <c r="C282">
        <v>45</v>
      </c>
      <c r="D282">
        <v>14</v>
      </c>
      <c r="E282">
        <v>36</v>
      </c>
      <c r="F282">
        <v>0</v>
      </c>
      <c r="G282">
        <v>0</v>
      </c>
      <c r="H282">
        <v>0</v>
      </c>
      <c r="I282">
        <v>37</v>
      </c>
      <c r="J282">
        <v>0</v>
      </c>
      <c r="K282">
        <v>132</v>
      </c>
    </row>
    <row r="283" spans="1:11" x14ac:dyDescent="0.25">
      <c r="A283" t="s">
        <v>1279</v>
      </c>
      <c r="B283">
        <v>0</v>
      </c>
      <c r="C283">
        <v>64</v>
      </c>
      <c r="D283">
        <v>22</v>
      </c>
      <c r="E283">
        <v>44</v>
      </c>
      <c r="F283">
        <v>0</v>
      </c>
      <c r="G283">
        <v>0</v>
      </c>
      <c r="H283">
        <v>0</v>
      </c>
      <c r="I283">
        <v>11</v>
      </c>
      <c r="J283">
        <v>1</v>
      </c>
      <c r="K283">
        <v>142</v>
      </c>
    </row>
    <row r="284" spans="1:11" x14ac:dyDescent="0.25">
      <c r="A284" t="s">
        <v>1280</v>
      </c>
      <c r="B284">
        <v>0</v>
      </c>
      <c r="C284">
        <v>132</v>
      </c>
      <c r="D284">
        <v>2</v>
      </c>
      <c r="E284">
        <v>0</v>
      </c>
      <c r="F284">
        <v>1</v>
      </c>
      <c r="G284">
        <v>5</v>
      </c>
      <c r="H284">
        <v>0</v>
      </c>
      <c r="I284">
        <v>1</v>
      </c>
      <c r="J284">
        <v>0</v>
      </c>
      <c r="K284">
        <v>141</v>
      </c>
    </row>
    <row r="285" spans="1:11" x14ac:dyDescent="0.25">
      <c r="A285" t="s">
        <v>1281</v>
      </c>
      <c r="B285">
        <v>0</v>
      </c>
      <c r="C285">
        <v>71</v>
      </c>
      <c r="D285">
        <v>7</v>
      </c>
      <c r="E285">
        <v>1</v>
      </c>
      <c r="F285">
        <v>0</v>
      </c>
      <c r="G285">
        <v>1</v>
      </c>
      <c r="H285">
        <v>0</v>
      </c>
      <c r="I285">
        <v>3</v>
      </c>
      <c r="J285">
        <v>0</v>
      </c>
      <c r="K285">
        <v>83</v>
      </c>
    </row>
    <row r="286" spans="1:11" x14ac:dyDescent="0.25">
      <c r="A286" t="s">
        <v>1282</v>
      </c>
      <c r="B286">
        <v>0</v>
      </c>
      <c r="C286">
        <v>46</v>
      </c>
      <c r="D286">
        <v>69</v>
      </c>
      <c r="E286">
        <v>33</v>
      </c>
      <c r="F286">
        <v>0</v>
      </c>
      <c r="G286">
        <v>0</v>
      </c>
      <c r="H286">
        <v>0</v>
      </c>
      <c r="I286">
        <v>32</v>
      </c>
      <c r="J286">
        <v>11</v>
      </c>
      <c r="K286">
        <v>191</v>
      </c>
    </row>
    <row r="287" spans="1:11" x14ac:dyDescent="0.25">
      <c r="A287" t="s">
        <v>1283</v>
      </c>
      <c r="B287">
        <v>0</v>
      </c>
      <c r="C287">
        <v>29</v>
      </c>
      <c r="D287">
        <v>28</v>
      </c>
      <c r="E287">
        <v>16</v>
      </c>
      <c r="F287">
        <v>0</v>
      </c>
      <c r="G287">
        <v>0</v>
      </c>
      <c r="H287">
        <v>0</v>
      </c>
      <c r="I287">
        <v>21</v>
      </c>
      <c r="J287">
        <v>10</v>
      </c>
      <c r="K287">
        <v>104</v>
      </c>
    </row>
    <row r="288" spans="1:11" x14ac:dyDescent="0.25">
      <c r="A288" t="s">
        <v>1284</v>
      </c>
      <c r="B288">
        <v>0</v>
      </c>
      <c r="C288">
        <v>7</v>
      </c>
      <c r="D288">
        <v>0</v>
      </c>
      <c r="E288">
        <v>49</v>
      </c>
      <c r="F288">
        <v>0</v>
      </c>
      <c r="G288">
        <v>0</v>
      </c>
      <c r="H288">
        <v>0</v>
      </c>
      <c r="I288">
        <v>3</v>
      </c>
      <c r="J288">
        <v>0</v>
      </c>
      <c r="K288">
        <v>59</v>
      </c>
    </row>
    <row r="289" spans="1:11" x14ac:dyDescent="0.25">
      <c r="A289" t="s">
        <v>1285</v>
      </c>
      <c r="B289">
        <v>0</v>
      </c>
      <c r="C289">
        <v>149</v>
      </c>
      <c r="D289">
        <v>8</v>
      </c>
      <c r="E289">
        <v>2</v>
      </c>
      <c r="F289">
        <v>0</v>
      </c>
      <c r="G289">
        <v>0</v>
      </c>
      <c r="H289">
        <v>0</v>
      </c>
      <c r="I289">
        <v>31</v>
      </c>
      <c r="J289">
        <v>2</v>
      </c>
      <c r="K289">
        <v>192</v>
      </c>
    </row>
    <row r="290" spans="1:11" x14ac:dyDescent="0.25">
      <c r="A290" t="s">
        <v>1286</v>
      </c>
      <c r="B290">
        <v>0</v>
      </c>
      <c r="C290">
        <v>32</v>
      </c>
      <c r="D290">
        <v>11</v>
      </c>
      <c r="E290">
        <v>12</v>
      </c>
      <c r="F290">
        <v>1</v>
      </c>
      <c r="G290">
        <v>0</v>
      </c>
      <c r="H290">
        <v>0</v>
      </c>
      <c r="I290">
        <v>79</v>
      </c>
      <c r="J290">
        <v>0</v>
      </c>
      <c r="K290">
        <v>135</v>
      </c>
    </row>
    <row r="291" spans="1:11" x14ac:dyDescent="0.25">
      <c r="A291" t="s">
        <v>1287</v>
      </c>
      <c r="B291">
        <v>0</v>
      </c>
      <c r="C291">
        <v>59</v>
      </c>
      <c r="D291">
        <v>3</v>
      </c>
      <c r="E291">
        <v>0</v>
      </c>
      <c r="F291">
        <v>0</v>
      </c>
      <c r="G291">
        <v>0</v>
      </c>
      <c r="H291">
        <v>0</v>
      </c>
      <c r="I291">
        <v>27</v>
      </c>
      <c r="J291">
        <v>0</v>
      </c>
      <c r="K291">
        <v>89</v>
      </c>
    </row>
    <row r="292" spans="1:11" x14ac:dyDescent="0.25">
      <c r="A292" t="s">
        <v>1288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1289</v>
      </c>
      <c r="B293">
        <v>0</v>
      </c>
      <c r="C293">
        <v>78</v>
      </c>
      <c r="D293">
        <v>4</v>
      </c>
      <c r="E293">
        <v>11</v>
      </c>
      <c r="F293">
        <v>0</v>
      </c>
      <c r="G293">
        <v>1</v>
      </c>
      <c r="H293">
        <v>0</v>
      </c>
      <c r="I293">
        <v>24</v>
      </c>
      <c r="J293">
        <v>0</v>
      </c>
      <c r="K293">
        <v>118</v>
      </c>
    </row>
    <row r="294" spans="1:11" x14ac:dyDescent="0.25">
      <c r="A294" t="s">
        <v>1290</v>
      </c>
      <c r="B294">
        <v>0</v>
      </c>
      <c r="C294">
        <v>62</v>
      </c>
      <c r="D294">
        <v>5</v>
      </c>
      <c r="E294">
        <v>11</v>
      </c>
      <c r="F294">
        <v>0</v>
      </c>
      <c r="G294">
        <v>1</v>
      </c>
      <c r="H294">
        <v>0</v>
      </c>
      <c r="I294">
        <v>14</v>
      </c>
      <c r="J294">
        <v>0</v>
      </c>
      <c r="K294">
        <v>93</v>
      </c>
    </row>
    <row r="295" spans="1:11" x14ac:dyDescent="0.25">
      <c r="A295" t="s">
        <v>1291</v>
      </c>
      <c r="B295">
        <v>0</v>
      </c>
      <c r="C295">
        <v>244</v>
      </c>
      <c r="D295">
        <v>3</v>
      </c>
      <c r="E295">
        <v>8</v>
      </c>
      <c r="F295">
        <v>1</v>
      </c>
      <c r="G295">
        <v>1</v>
      </c>
      <c r="H295">
        <v>0</v>
      </c>
      <c r="I295">
        <v>16</v>
      </c>
      <c r="J295">
        <v>0</v>
      </c>
      <c r="K295">
        <v>273</v>
      </c>
    </row>
    <row r="296" spans="1:11" x14ac:dyDescent="0.25">
      <c r="A296" t="s">
        <v>1292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1293</v>
      </c>
      <c r="B297">
        <v>0</v>
      </c>
      <c r="C297">
        <v>1</v>
      </c>
      <c r="D297">
        <v>5</v>
      </c>
      <c r="E297">
        <v>73</v>
      </c>
      <c r="F297">
        <v>0</v>
      </c>
      <c r="G297">
        <v>0</v>
      </c>
      <c r="H297">
        <v>0</v>
      </c>
      <c r="I297">
        <v>71</v>
      </c>
      <c r="J297">
        <v>1</v>
      </c>
      <c r="K297">
        <v>151</v>
      </c>
    </row>
    <row r="298" spans="1:11" x14ac:dyDescent="0.25">
      <c r="A298" t="s">
        <v>1294</v>
      </c>
      <c r="B298">
        <v>0</v>
      </c>
      <c r="C298">
        <v>15</v>
      </c>
      <c r="D298">
        <v>4</v>
      </c>
      <c r="E298">
        <v>37</v>
      </c>
      <c r="F298">
        <v>15</v>
      </c>
      <c r="G298">
        <v>0</v>
      </c>
      <c r="H298">
        <v>0</v>
      </c>
      <c r="I298">
        <v>1</v>
      </c>
      <c r="J298">
        <v>4</v>
      </c>
      <c r="K298">
        <v>76</v>
      </c>
    </row>
    <row r="299" spans="1:11" x14ac:dyDescent="0.25">
      <c r="A299" t="s">
        <v>1295</v>
      </c>
      <c r="B299">
        <v>0</v>
      </c>
      <c r="C299">
        <v>10</v>
      </c>
      <c r="D299">
        <v>0</v>
      </c>
      <c r="E299">
        <v>5</v>
      </c>
      <c r="F299">
        <v>0</v>
      </c>
      <c r="G299">
        <v>0</v>
      </c>
      <c r="H299">
        <v>0</v>
      </c>
      <c r="I299">
        <v>18</v>
      </c>
      <c r="J299">
        <v>0</v>
      </c>
      <c r="K299">
        <v>33</v>
      </c>
    </row>
    <row r="300" spans="1:11" x14ac:dyDescent="0.25">
      <c r="A300" t="s">
        <v>1296</v>
      </c>
      <c r="B300">
        <v>0</v>
      </c>
      <c r="C300">
        <v>22</v>
      </c>
      <c r="D300">
        <v>2</v>
      </c>
      <c r="E300">
        <v>6</v>
      </c>
      <c r="F300">
        <v>0</v>
      </c>
      <c r="G300">
        <v>1</v>
      </c>
      <c r="H300">
        <v>0</v>
      </c>
      <c r="I300">
        <v>18</v>
      </c>
      <c r="J300">
        <v>0</v>
      </c>
      <c r="K300">
        <v>49</v>
      </c>
    </row>
    <row r="301" spans="1:11" x14ac:dyDescent="0.25">
      <c r="A301" t="s">
        <v>1297</v>
      </c>
      <c r="B301">
        <v>0</v>
      </c>
      <c r="C301">
        <v>25</v>
      </c>
      <c r="D301">
        <v>2</v>
      </c>
      <c r="E301">
        <v>11</v>
      </c>
      <c r="F301">
        <v>0</v>
      </c>
      <c r="G301">
        <v>0</v>
      </c>
      <c r="H301">
        <v>0</v>
      </c>
      <c r="I301">
        <v>26</v>
      </c>
      <c r="J301">
        <v>0</v>
      </c>
      <c r="K301">
        <v>64</v>
      </c>
    </row>
    <row r="302" spans="1:11" x14ac:dyDescent="0.25">
      <c r="A302" t="s">
        <v>1298</v>
      </c>
      <c r="B302">
        <v>0</v>
      </c>
      <c r="C302">
        <v>0</v>
      </c>
      <c r="D302">
        <v>7</v>
      </c>
      <c r="E302">
        <v>13</v>
      </c>
      <c r="F302">
        <v>0</v>
      </c>
      <c r="G302">
        <v>0</v>
      </c>
      <c r="H302">
        <v>0</v>
      </c>
      <c r="I302">
        <v>69</v>
      </c>
      <c r="J302">
        <v>0</v>
      </c>
      <c r="K302">
        <v>89</v>
      </c>
    </row>
    <row r="303" spans="1:11" x14ac:dyDescent="0.25">
      <c r="A303" t="s">
        <v>1299</v>
      </c>
      <c r="B303">
        <v>0</v>
      </c>
      <c r="C303">
        <v>77</v>
      </c>
      <c r="D303">
        <v>5</v>
      </c>
      <c r="E303">
        <v>0</v>
      </c>
      <c r="F303">
        <v>0</v>
      </c>
      <c r="G303">
        <v>5</v>
      </c>
      <c r="H303">
        <v>0</v>
      </c>
      <c r="I303">
        <v>0</v>
      </c>
      <c r="J303">
        <v>2</v>
      </c>
      <c r="K303">
        <v>89</v>
      </c>
    </row>
    <row r="304" spans="1:11" x14ac:dyDescent="0.25">
      <c r="A304" t="s">
        <v>1300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1301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1302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1303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1304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1305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1306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1307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1308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1309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1310</v>
      </c>
      <c r="B314">
        <v>0</v>
      </c>
      <c r="C314">
        <v>196</v>
      </c>
      <c r="D314">
        <v>15</v>
      </c>
      <c r="E314">
        <v>89</v>
      </c>
      <c r="F314">
        <v>1</v>
      </c>
      <c r="G314">
        <v>5</v>
      </c>
      <c r="H314">
        <v>0</v>
      </c>
      <c r="I314">
        <v>73</v>
      </c>
      <c r="J314">
        <v>0</v>
      </c>
      <c r="K314">
        <v>379</v>
      </c>
    </row>
    <row r="315" spans="1:11" x14ac:dyDescent="0.25">
      <c r="A315" t="s">
        <v>1311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1312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1313</v>
      </c>
      <c r="B317">
        <v>0</v>
      </c>
      <c r="C317">
        <v>2</v>
      </c>
      <c r="D317">
        <v>0</v>
      </c>
      <c r="E317">
        <v>34</v>
      </c>
      <c r="F317">
        <v>0</v>
      </c>
      <c r="G317">
        <v>0</v>
      </c>
      <c r="H317">
        <v>0</v>
      </c>
      <c r="I317">
        <v>63</v>
      </c>
      <c r="J317">
        <v>0</v>
      </c>
      <c r="K317">
        <v>99</v>
      </c>
    </row>
    <row r="318" spans="1:11" x14ac:dyDescent="0.25">
      <c r="A318" t="s">
        <v>1314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1315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1316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1317</v>
      </c>
      <c r="B321">
        <v>0</v>
      </c>
      <c r="C321">
        <v>2</v>
      </c>
      <c r="D321">
        <v>1</v>
      </c>
      <c r="E321">
        <v>14</v>
      </c>
      <c r="F321">
        <v>0</v>
      </c>
      <c r="G321">
        <v>0</v>
      </c>
      <c r="H321">
        <v>0</v>
      </c>
      <c r="I321">
        <v>44</v>
      </c>
      <c r="J321">
        <v>0</v>
      </c>
      <c r="K321">
        <v>61</v>
      </c>
    </row>
    <row r="322" spans="1:11" x14ac:dyDescent="0.25">
      <c r="A322" t="s">
        <v>1318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1319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1320</v>
      </c>
      <c r="B324">
        <v>0</v>
      </c>
      <c r="C324">
        <v>0</v>
      </c>
      <c r="D324">
        <v>2</v>
      </c>
      <c r="E324">
        <v>13</v>
      </c>
      <c r="F324">
        <v>0</v>
      </c>
      <c r="G324">
        <v>0</v>
      </c>
      <c r="H324">
        <v>0</v>
      </c>
      <c r="I324">
        <v>65</v>
      </c>
      <c r="J324">
        <v>0</v>
      </c>
      <c r="K324">
        <v>80</v>
      </c>
    </row>
    <row r="325" spans="1:11" x14ac:dyDescent="0.25">
      <c r="A325" t="s">
        <v>1321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1322</v>
      </c>
      <c r="B326">
        <v>0</v>
      </c>
      <c r="C326">
        <v>84</v>
      </c>
      <c r="D326">
        <v>0</v>
      </c>
      <c r="E326">
        <v>44</v>
      </c>
      <c r="F326">
        <v>0</v>
      </c>
      <c r="G326">
        <v>0</v>
      </c>
      <c r="H326">
        <v>1</v>
      </c>
      <c r="I326">
        <v>13</v>
      </c>
      <c r="J326">
        <v>0</v>
      </c>
      <c r="K326">
        <v>142</v>
      </c>
    </row>
    <row r="327" spans="1:11" x14ac:dyDescent="0.25">
      <c r="A327" t="s">
        <v>1323</v>
      </c>
      <c r="B327">
        <v>0</v>
      </c>
      <c r="C327">
        <v>29</v>
      </c>
      <c r="D327">
        <v>9</v>
      </c>
      <c r="E327">
        <v>42</v>
      </c>
      <c r="F327">
        <v>0</v>
      </c>
      <c r="G327">
        <v>0</v>
      </c>
      <c r="H327">
        <v>0</v>
      </c>
      <c r="I327">
        <v>177</v>
      </c>
      <c r="J327">
        <v>1</v>
      </c>
      <c r="K327">
        <v>258</v>
      </c>
    </row>
    <row r="328" spans="1:11" x14ac:dyDescent="0.25">
      <c r="A328" t="s">
        <v>1324</v>
      </c>
      <c r="B328">
        <v>0</v>
      </c>
      <c r="C328">
        <v>39</v>
      </c>
      <c r="D328">
        <v>3</v>
      </c>
      <c r="E328">
        <v>41</v>
      </c>
      <c r="F328">
        <v>0</v>
      </c>
      <c r="G328">
        <v>1</v>
      </c>
      <c r="H328">
        <v>0</v>
      </c>
      <c r="I328">
        <v>58</v>
      </c>
      <c r="J328">
        <v>1</v>
      </c>
      <c r="K328">
        <v>143</v>
      </c>
    </row>
    <row r="329" spans="1:11" x14ac:dyDescent="0.25">
      <c r="A329" t="s">
        <v>1325</v>
      </c>
      <c r="B329">
        <v>0</v>
      </c>
      <c r="C329">
        <v>102</v>
      </c>
      <c r="D329">
        <v>8</v>
      </c>
      <c r="E329">
        <v>20</v>
      </c>
      <c r="F329">
        <v>1</v>
      </c>
      <c r="G329">
        <v>2</v>
      </c>
      <c r="H329">
        <v>0</v>
      </c>
      <c r="I329">
        <v>1</v>
      </c>
      <c r="J329">
        <v>0</v>
      </c>
      <c r="K329">
        <v>134</v>
      </c>
    </row>
    <row r="330" spans="1:11" x14ac:dyDescent="0.25">
      <c r="A330" t="s">
        <v>1326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3</v>
      </c>
      <c r="J330">
        <v>0</v>
      </c>
      <c r="K330">
        <v>3</v>
      </c>
    </row>
    <row r="331" spans="1:11" x14ac:dyDescent="0.25">
      <c r="A331" t="s">
        <v>1327</v>
      </c>
      <c r="B331">
        <v>0</v>
      </c>
      <c r="C331">
        <v>53</v>
      </c>
      <c r="D331">
        <v>1</v>
      </c>
      <c r="E331">
        <v>2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</row>
    <row r="332" spans="1:11" x14ac:dyDescent="0.25">
      <c r="A332" t="s">
        <v>1328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1329</v>
      </c>
      <c r="B333">
        <v>0</v>
      </c>
      <c r="C333">
        <v>1</v>
      </c>
      <c r="D333">
        <v>21</v>
      </c>
      <c r="E333">
        <v>2</v>
      </c>
      <c r="F333">
        <v>0</v>
      </c>
      <c r="G333">
        <v>0</v>
      </c>
      <c r="H333">
        <v>0</v>
      </c>
      <c r="I333">
        <v>36</v>
      </c>
      <c r="J333">
        <v>0</v>
      </c>
      <c r="K333">
        <v>60</v>
      </c>
    </row>
    <row r="334" spans="1:11" x14ac:dyDescent="0.25">
      <c r="A334" t="s">
        <v>1330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1331</v>
      </c>
      <c r="B335">
        <v>0</v>
      </c>
      <c r="C335">
        <v>0</v>
      </c>
      <c r="D335">
        <v>48</v>
      </c>
      <c r="E335">
        <v>15</v>
      </c>
      <c r="F335">
        <v>0</v>
      </c>
      <c r="G335">
        <v>0</v>
      </c>
      <c r="H335">
        <v>0</v>
      </c>
      <c r="I335">
        <v>15</v>
      </c>
      <c r="J335">
        <v>0</v>
      </c>
      <c r="K335">
        <v>78</v>
      </c>
    </row>
    <row r="336" spans="1:11" x14ac:dyDescent="0.25">
      <c r="A336" t="s">
        <v>1332</v>
      </c>
      <c r="B336">
        <v>0</v>
      </c>
      <c r="C336">
        <v>34</v>
      </c>
      <c r="D336">
        <v>13</v>
      </c>
      <c r="E336">
        <v>12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61</v>
      </c>
    </row>
    <row r="337" spans="1:11" x14ac:dyDescent="0.25">
      <c r="A337" t="s">
        <v>1333</v>
      </c>
      <c r="B337">
        <v>0</v>
      </c>
      <c r="C337">
        <v>0</v>
      </c>
      <c r="D337">
        <v>44</v>
      </c>
      <c r="E337">
        <v>33</v>
      </c>
      <c r="F337">
        <v>0</v>
      </c>
      <c r="G337">
        <v>0</v>
      </c>
      <c r="H337">
        <v>0</v>
      </c>
      <c r="I337">
        <v>26</v>
      </c>
      <c r="J337">
        <v>0</v>
      </c>
      <c r="K337">
        <v>103</v>
      </c>
    </row>
    <row r="338" spans="1:11" x14ac:dyDescent="0.25">
      <c r="A338" t="s">
        <v>1334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1335</v>
      </c>
      <c r="B339">
        <v>0</v>
      </c>
      <c r="C339">
        <v>76</v>
      </c>
      <c r="D339">
        <v>0</v>
      </c>
      <c r="E339">
        <v>4</v>
      </c>
      <c r="F339">
        <v>0</v>
      </c>
      <c r="G339">
        <v>1</v>
      </c>
      <c r="H339">
        <v>0</v>
      </c>
      <c r="I339">
        <v>1</v>
      </c>
      <c r="J339">
        <v>0</v>
      </c>
      <c r="K339">
        <v>82</v>
      </c>
    </row>
    <row r="340" spans="1:11" x14ac:dyDescent="0.25">
      <c r="A340" t="s">
        <v>1336</v>
      </c>
      <c r="B340">
        <v>0</v>
      </c>
      <c r="C340">
        <v>0</v>
      </c>
      <c r="D340">
        <v>26</v>
      </c>
      <c r="E340">
        <v>14</v>
      </c>
      <c r="F340">
        <v>0</v>
      </c>
      <c r="G340">
        <v>0</v>
      </c>
      <c r="H340">
        <v>0</v>
      </c>
      <c r="I340">
        <v>11</v>
      </c>
      <c r="J340">
        <v>0</v>
      </c>
      <c r="K340">
        <v>51</v>
      </c>
    </row>
    <row r="341" spans="1:11" x14ac:dyDescent="0.25">
      <c r="A341" t="s">
        <v>1337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1338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1339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1340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1341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1342</v>
      </c>
      <c r="B346">
        <v>0</v>
      </c>
      <c r="C346">
        <v>0</v>
      </c>
      <c r="D346">
        <v>7</v>
      </c>
      <c r="E346">
        <v>0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10</v>
      </c>
    </row>
    <row r="347" spans="1:11" x14ac:dyDescent="0.25">
      <c r="A347" t="s">
        <v>1343</v>
      </c>
      <c r="B347">
        <v>0</v>
      </c>
      <c r="C347">
        <v>0</v>
      </c>
      <c r="D347">
        <v>4</v>
      </c>
      <c r="E347">
        <v>56</v>
      </c>
      <c r="F347">
        <v>0</v>
      </c>
      <c r="G347">
        <v>0</v>
      </c>
      <c r="H347">
        <v>0</v>
      </c>
      <c r="I347">
        <v>87</v>
      </c>
      <c r="J347">
        <v>1</v>
      </c>
      <c r="K347">
        <v>148</v>
      </c>
    </row>
    <row r="348" spans="1:11" x14ac:dyDescent="0.25">
      <c r="A348" t="s">
        <v>1344</v>
      </c>
      <c r="B348">
        <v>0</v>
      </c>
      <c r="C348">
        <v>76</v>
      </c>
      <c r="D348">
        <v>4</v>
      </c>
      <c r="E348">
        <v>11</v>
      </c>
      <c r="F348">
        <v>1</v>
      </c>
      <c r="G348">
        <v>0</v>
      </c>
      <c r="H348">
        <v>0</v>
      </c>
      <c r="I348">
        <v>6</v>
      </c>
      <c r="J348">
        <v>50</v>
      </c>
      <c r="K348">
        <v>148</v>
      </c>
    </row>
    <row r="349" spans="1:11" x14ac:dyDescent="0.25">
      <c r="A349" t="s">
        <v>1345</v>
      </c>
      <c r="B349">
        <v>0</v>
      </c>
      <c r="C349">
        <v>63</v>
      </c>
      <c r="D349">
        <v>9</v>
      </c>
      <c r="E349">
        <v>59</v>
      </c>
      <c r="F349">
        <v>0</v>
      </c>
      <c r="G349">
        <v>0</v>
      </c>
      <c r="H349">
        <v>1</v>
      </c>
      <c r="I349">
        <v>72</v>
      </c>
      <c r="J349">
        <v>0</v>
      </c>
      <c r="K349">
        <v>204</v>
      </c>
    </row>
    <row r="350" spans="1:11" x14ac:dyDescent="0.25">
      <c r="A350" t="s">
        <v>1346</v>
      </c>
      <c r="B350">
        <v>0</v>
      </c>
      <c r="C350">
        <v>17</v>
      </c>
      <c r="D350">
        <v>3</v>
      </c>
      <c r="E350">
        <v>35</v>
      </c>
      <c r="F350">
        <v>0</v>
      </c>
      <c r="G350">
        <v>0</v>
      </c>
      <c r="H350">
        <v>0</v>
      </c>
      <c r="I350">
        <v>45</v>
      </c>
      <c r="J350">
        <v>0</v>
      </c>
      <c r="K350">
        <v>100</v>
      </c>
    </row>
    <row r="351" spans="1:11" x14ac:dyDescent="0.25">
      <c r="A351" t="s">
        <v>1347</v>
      </c>
      <c r="B351">
        <v>0</v>
      </c>
      <c r="C351">
        <v>36</v>
      </c>
      <c r="D351">
        <v>3</v>
      </c>
      <c r="E351">
        <v>17</v>
      </c>
      <c r="F351">
        <v>0</v>
      </c>
      <c r="G351">
        <v>1</v>
      </c>
      <c r="H351">
        <v>0</v>
      </c>
      <c r="I351">
        <v>50</v>
      </c>
      <c r="J351">
        <v>5</v>
      </c>
      <c r="K351">
        <v>112</v>
      </c>
    </row>
    <row r="352" spans="1:11" x14ac:dyDescent="0.25">
      <c r="A352" t="s">
        <v>1348</v>
      </c>
      <c r="B352">
        <v>0</v>
      </c>
      <c r="C352">
        <v>120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59</v>
      </c>
      <c r="J352">
        <v>8</v>
      </c>
      <c r="K352">
        <v>189</v>
      </c>
    </row>
    <row r="353" spans="1:11" x14ac:dyDescent="0.25">
      <c r="A353" t="s">
        <v>1349</v>
      </c>
      <c r="B353">
        <v>0</v>
      </c>
      <c r="C353">
        <v>15</v>
      </c>
      <c r="D353">
        <v>5</v>
      </c>
      <c r="E353">
        <v>31</v>
      </c>
      <c r="F353">
        <v>0</v>
      </c>
      <c r="G353">
        <v>1</v>
      </c>
      <c r="H353">
        <v>0</v>
      </c>
      <c r="I353">
        <v>121</v>
      </c>
      <c r="J353">
        <v>0</v>
      </c>
      <c r="K353">
        <v>173</v>
      </c>
    </row>
    <row r="354" spans="1:11" x14ac:dyDescent="0.25">
      <c r="A354" t="s">
        <v>1350</v>
      </c>
      <c r="B354">
        <v>0</v>
      </c>
      <c r="C354">
        <v>1</v>
      </c>
      <c r="D354">
        <v>2</v>
      </c>
      <c r="E354">
        <v>0</v>
      </c>
      <c r="F354">
        <v>0</v>
      </c>
      <c r="G354">
        <v>0</v>
      </c>
      <c r="H354">
        <v>0</v>
      </c>
      <c r="I354">
        <v>67</v>
      </c>
      <c r="J354">
        <v>0</v>
      </c>
      <c r="K354">
        <v>70</v>
      </c>
    </row>
    <row r="355" spans="1:11" x14ac:dyDescent="0.25">
      <c r="A355" t="s">
        <v>1351</v>
      </c>
      <c r="B355">
        <v>0</v>
      </c>
      <c r="C355">
        <v>13</v>
      </c>
      <c r="D355">
        <v>3</v>
      </c>
      <c r="E355">
        <v>16</v>
      </c>
      <c r="F355">
        <v>0</v>
      </c>
      <c r="G355">
        <v>0</v>
      </c>
      <c r="H355">
        <v>0</v>
      </c>
      <c r="I355">
        <v>132</v>
      </c>
      <c r="J355">
        <v>0</v>
      </c>
      <c r="K355">
        <v>164</v>
      </c>
    </row>
    <row r="356" spans="1:11" x14ac:dyDescent="0.25">
      <c r="A356" t="s">
        <v>1352</v>
      </c>
      <c r="B356">
        <v>0</v>
      </c>
      <c r="C356">
        <v>17</v>
      </c>
      <c r="D356">
        <v>6</v>
      </c>
      <c r="E356">
        <v>13</v>
      </c>
      <c r="F356">
        <v>0</v>
      </c>
      <c r="G356">
        <v>0</v>
      </c>
      <c r="H356">
        <v>0</v>
      </c>
      <c r="I356">
        <v>46</v>
      </c>
      <c r="J356">
        <v>0</v>
      </c>
      <c r="K356">
        <v>82</v>
      </c>
    </row>
    <row r="357" spans="1:11" x14ac:dyDescent="0.25">
      <c r="A357" t="s">
        <v>1353</v>
      </c>
      <c r="B357">
        <v>0</v>
      </c>
      <c r="C357">
        <v>156</v>
      </c>
      <c r="D357">
        <v>3</v>
      </c>
      <c r="E357">
        <v>27</v>
      </c>
      <c r="F357">
        <v>0</v>
      </c>
      <c r="G357">
        <v>3</v>
      </c>
      <c r="H357">
        <v>0</v>
      </c>
      <c r="I357">
        <v>22</v>
      </c>
      <c r="J357">
        <v>0</v>
      </c>
      <c r="K357">
        <v>211</v>
      </c>
    </row>
    <row r="358" spans="1:11" x14ac:dyDescent="0.25">
      <c r="A358" t="s">
        <v>1354</v>
      </c>
      <c r="B358">
        <v>0</v>
      </c>
      <c r="C358">
        <v>205</v>
      </c>
      <c r="D358">
        <v>4</v>
      </c>
      <c r="E358">
        <v>12</v>
      </c>
      <c r="F358">
        <v>3</v>
      </c>
      <c r="G358">
        <v>7</v>
      </c>
      <c r="H358">
        <v>0</v>
      </c>
      <c r="I358">
        <v>7</v>
      </c>
      <c r="J358">
        <v>2</v>
      </c>
      <c r="K358">
        <v>240</v>
      </c>
    </row>
    <row r="359" spans="1:11" x14ac:dyDescent="0.25">
      <c r="A359" t="s">
        <v>1355</v>
      </c>
      <c r="B359">
        <v>0</v>
      </c>
      <c r="C359">
        <v>62</v>
      </c>
      <c r="D359">
        <v>9</v>
      </c>
      <c r="E359">
        <v>107</v>
      </c>
      <c r="F359">
        <v>0</v>
      </c>
      <c r="G359">
        <v>1</v>
      </c>
      <c r="H359">
        <v>0</v>
      </c>
      <c r="I359">
        <v>8</v>
      </c>
      <c r="J359">
        <v>1</v>
      </c>
      <c r="K359">
        <v>188</v>
      </c>
    </row>
    <row r="360" spans="1:11" x14ac:dyDescent="0.25">
      <c r="A360" t="s">
        <v>1356</v>
      </c>
      <c r="B360">
        <v>0</v>
      </c>
      <c r="C360">
        <v>59</v>
      </c>
      <c r="D360">
        <v>24</v>
      </c>
      <c r="E360">
        <v>33</v>
      </c>
      <c r="F360">
        <v>0</v>
      </c>
      <c r="G360">
        <v>1</v>
      </c>
      <c r="H360">
        <v>0</v>
      </c>
      <c r="I360">
        <v>1</v>
      </c>
      <c r="J360">
        <v>0</v>
      </c>
      <c r="K360">
        <v>118</v>
      </c>
    </row>
    <row r="361" spans="1:11" x14ac:dyDescent="0.25">
      <c r="A361" t="s">
        <v>1357</v>
      </c>
      <c r="B361">
        <v>0</v>
      </c>
      <c r="C361">
        <v>60</v>
      </c>
      <c r="D361">
        <v>32</v>
      </c>
      <c r="E361">
        <v>2</v>
      </c>
      <c r="F361">
        <v>0</v>
      </c>
      <c r="G361">
        <v>1</v>
      </c>
      <c r="H361">
        <v>0</v>
      </c>
      <c r="I361">
        <v>1</v>
      </c>
      <c r="J361">
        <v>0</v>
      </c>
      <c r="K361">
        <v>96</v>
      </c>
    </row>
    <row r="362" spans="1:11" x14ac:dyDescent="0.25">
      <c r="A362" t="s">
        <v>1358</v>
      </c>
      <c r="B362">
        <v>0</v>
      </c>
      <c r="C362">
        <v>95</v>
      </c>
      <c r="D362">
        <v>22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1359</v>
      </c>
      <c r="B363">
        <v>0</v>
      </c>
      <c r="C363">
        <v>119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122</v>
      </c>
    </row>
    <row r="364" spans="1:11" x14ac:dyDescent="0.25">
      <c r="A364" t="s">
        <v>1360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1361</v>
      </c>
      <c r="B365">
        <v>0</v>
      </c>
      <c r="C365">
        <v>93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0</v>
      </c>
      <c r="J365">
        <v>0</v>
      </c>
      <c r="K365">
        <v>100</v>
      </c>
    </row>
    <row r="366" spans="1:11" x14ac:dyDescent="0.25">
      <c r="A366" t="s">
        <v>1362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1363</v>
      </c>
      <c r="B367">
        <v>0</v>
      </c>
      <c r="C367">
        <v>51</v>
      </c>
      <c r="D367">
        <v>5</v>
      </c>
      <c r="E367">
        <v>1</v>
      </c>
      <c r="F367">
        <v>0</v>
      </c>
      <c r="G367">
        <v>0</v>
      </c>
      <c r="H367">
        <v>0</v>
      </c>
      <c r="I367">
        <v>96</v>
      </c>
      <c r="J367">
        <v>2</v>
      </c>
      <c r="K367">
        <v>155</v>
      </c>
    </row>
    <row r="368" spans="1:11" x14ac:dyDescent="0.25">
      <c r="A368" t="s">
        <v>1364</v>
      </c>
      <c r="B368">
        <v>0</v>
      </c>
      <c r="C368">
        <v>34</v>
      </c>
      <c r="D368">
        <v>3</v>
      </c>
      <c r="E368">
        <v>47</v>
      </c>
      <c r="F368">
        <v>0</v>
      </c>
      <c r="G368">
        <v>0</v>
      </c>
      <c r="H368">
        <v>0</v>
      </c>
      <c r="I368">
        <v>127</v>
      </c>
      <c r="J368">
        <v>5</v>
      </c>
      <c r="K368">
        <v>216</v>
      </c>
    </row>
    <row r="369" spans="1:11" x14ac:dyDescent="0.25">
      <c r="A369" t="s">
        <v>1365</v>
      </c>
      <c r="B369">
        <v>0</v>
      </c>
      <c r="C369">
        <v>5</v>
      </c>
      <c r="D369">
        <v>2</v>
      </c>
      <c r="E369">
        <v>2</v>
      </c>
      <c r="F369">
        <v>0</v>
      </c>
      <c r="G369">
        <v>0</v>
      </c>
      <c r="H369">
        <v>0</v>
      </c>
      <c r="I369">
        <v>145</v>
      </c>
      <c r="J369">
        <v>0</v>
      </c>
      <c r="K369">
        <v>154</v>
      </c>
    </row>
    <row r="370" spans="1:11" x14ac:dyDescent="0.25">
      <c r="A370" t="s">
        <v>1366</v>
      </c>
      <c r="B370">
        <v>0</v>
      </c>
      <c r="C370">
        <v>171</v>
      </c>
      <c r="D370">
        <v>2</v>
      </c>
      <c r="E370">
        <v>0</v>
      </c>
      <c r="F370">
        <v>1</v>
      </c>
      <c r="G370">
        <v>1</v>
      </c>
      <c r="H370">
        <v>0</v>
      </c>
      <c r="I370">
        <v>13</v>
      </c>
      <c r="J370">
        <v>0</v>
      </c>
      <c r="K370">
        <v>188</v>
      </c>
    </row>
    <row r="371" spans="1:11" x14ac:dyDescent="0.25">
      <c r="A371" t="s">
        <v>1367</v>
      </c>
      <c r="B371">
        <v>0</v>
      </c>
      <c r="C371">
        <v>81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108</v>
      </c>
      <c r="J371">
        <v>0</v>
      </c>
      <c r="K371">
        <v>190</v>
      </c>
    </row>
    <row r="372" spans="1:11" x14ac:dyDescent="0.25">
      <c r="A372" t="s">
        <v>1368</v>
      </c>
      <c r="B372">
        <v>0</v>
      </c>
      <c r="C372">
        <v>304</v>
      </c>
      <c r="D372">
        <v>2</v>
      </c>
      <c r="E372">
        <v>0</v>
      </c>
      <c r="F372">
        <v>0</v>
      </c>
      <c r="G372">
        <v>1</v>
      </c>
      <c r="H372">
        <v>0</v>
      </c>
      <c r="I372">
        <v>5</v>
      </c>
      <c r="J372">
        <v>0</v>
      </c>
      <c r="K372">
        <v>312</v>
      </c>
    </row>
    <row r="373" spans="1:11" x14ac:dyDescent="0.25">
      <c r="A373" t="s">
        <v>1369</v>
      </c>
      <c r="B373">
        <v>0</v>
      </c>
      <c r="C373">
        <v>255</v>
      </c>
      <c r="D373">
        <v>3</v>
      </c>
      <c r="E373">
        <v>1</v>
      </c>
      <c r="F373">
        <v>0</v>
      </c>
      <c r="G373">
        <v>3</v>
      </c>
      <c r="H373">
        <v>0</v>
      </c>
      <c r="I373">
        <v>37</v>
      </c>
      <c r="J373">
        <v>2</v>
      </c>
      <c r="K373">
        <v>301</v>
      </c>
    </row>
    <row r="374" spans="1:11" x14ac:dyDescent="0.25">
      <c r="A374" t="s">
        <v>1370</v>
      </c>
      <c r="B374">
        <v>0</v>
      </c>
      <c r="C374">
        <v>96</v>
      </c>
      <c r="D374">
        <v>0</v>
      </c>
      <c r="E374">
        <v>0</v>
      </c>
      <c r="F374">
        <v>0</v>
      </c>
      <c r="G374">
        <v>1</v>
      </c>
      <c r="H374">
        <v>0</v>
      </c>
      <c r="I374">
        <v>27</v>
      </c>
      <c r="J374">
        <v>0</v>
      </c>
      <c r="K374">
        <v>124</v>
      </c>
    </row>
    <row r="375" spans="1:11" x14ac:dyDescent="0.25">
      <c r="A375" t="s">
        <v>1371</v>
      </c>
      <c r="B375">
        <v>0</v>
      </c>
      <c r="C375">
        <v>94</v>
      </c>
      <c r="D375">
        <v>5</v>
      </c>
      <c r="E375">
        <v>1</v>
      </c>
      <c r="F375">
        <v>0</v>
      </c>
      <c r="G375">
        <v>2</v>
      </c>
      <c r="H375">
        <v>0</v>
      </c>
      <c r="I375">
        <v>41</v>
      </c>
      <c r="J375">
        <v>0</v>
      </c>
      <c r="K375">
        <v>143</v>
      </c>
    </row>
    <row r="376" spans="1:11" x14ac:dyDescent="0.25">
      <c r="A376" t="s">
        <v>1372</v>
      </c>
      <c r="B376">
        <v>0</v>
      </c>
      <c r="C376">
        <v>167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25</v>
      </c>
      <c r="J376">
        <v>0</v>
      </c>
      <c r="K376">
        <v>192</v>
      </c>
    </row>
    <row r="377" spans="1:11" x14ac:dyDescent="0.25">
      <c r="A377" t="s">
        <v>1373</v>
      </c>
      <c r="B377">
        <v>0</v>
      </c>
      <c r="C377">
        <v>0</v>
      </c>
      <c r="D377">
        <v>11</v>
      </c>
      <c r="E377">
        <v>76</v>
      </c>
      <c r="F377">
        <v>0</v>
      </c>
      <c r="G377">
        <v>0</v>
      </c>
      <c r="H377">
        <v>0</v>
      </c>
      <c r="I377">
        <v>8</v>
      </c>
      <c r="J377">
        <v>0</v>
      </c>
      <c r="K377">
        <v>95</v>
      </c>
    </row>
    <row r="378" spans="1:11" x14ac:dyDescent="0.25">
      <c r="A378" t="s">
        <v>1374</v>
      </c>
      <c r="B378">
        <v>0</v>
      </c>
      <c r="C378">
        <v>8</v>
      </c>
      <c r="D378">
        <v>7</v>
      </c>
      <c r="E378">
        <v>60</v>
      </c>
      <c r="F378">
        <v>0</v>
      </c>
      <c r="G378">
        <v>0</v>
      </c>
      <c r="H378">
        <v>0</v>
      </c>
      <c r="I378">
        <v>39</v>
      </c>
      <c r="J378">
        <v>0</v>
      </c>
      <c r="K378">
        <v>114</v>
      </c>
    </row>
    <row r="379" spans="1:11" x14ac:dyDescent="0.25">
      <c r="A379" t="s">
        <v>1375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1376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1377</v>
      </c>
      <c r="B381">
        <v>0</v>
      </c>
      <c r="C381">
        <v>179</v>
      </c>
      <c r="D381">
        <v>1</v>
      </c>
      <c r="E381">
        <v>0</v>
      </c>
      <c r="F381">
        <v>0</v>
      </c>
      <c r="G381">
        <v>1</v>
      </c>
      <c r="H381">
        <v>0</v>
      </c>
      <c r="I381">
        <v>5</v>
      </c>
      <c r="J381">
        <v>0</v>
      </c>
      <c r="K381">
        <v>186</v>
      </c>
    </row>
    <row r="382" spans="1:11" x14ac:dyDescent="0.25">
      <c r="A382" t="s">
        <v>1378</v>
      </c>
      <c r="B382">
        <v>0</v>
      </c>
      <c r="C382">
        <v>86</v>
      </c>
      <c r="D382">
        <v>2</v>
      </c>
      <c r="E382">
        <v>0</v>
      </c>
      <c r="F382">
        <v>0</v>
      </c>
      <c r="G382">
        <v>0</v>
      </c>
      <c r="H382">
        <v>0</v>
      </c>
      <c r="I382">
        <v>20</v>
      </c>
      <c r="J382">
        <v>0</v>
      </c>
      <c r="K382">
        <v>108</v>
      </c>
    </row>
    <row r="383" spans="1:11" x14ac:dyDescent="0.25">
      <c r="A383" t="s">
        <v>1379</v>
      </c>
      <c r="B383">
        <v>0</v>
      </c>
      <c r="C383">
        <v>59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83</v>
      </c>
      <c r="J383">
        <v>0</v>
      </c>
      <c r="K383">
        <v>142</v>
      </c>
    </row>
    <row r="384" spans="1:11" x14ac:dyDescent="0.25">
      <c r="A384" t="s">
        <v>1380</v>
      </c>
      <c r="B384">
        <v>0</v>
      </c>
      <c r="C384">
        <v>28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86</v>
      </c>
      <c r="J384">
        <v>0</v>
      </c>
      <c r="K384">
        <v>114</v>
      </c>
    </row>
    <row r="385" spans="1:11" x14ac:dyDescent="0.25">
      <c r="A385" t="s">
        <v>1381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1382</v>
      </c>
      <c r="B386">
        <v>0</v>
      </c>
      <c r="C386">
        <v>118</v>
      </c>
      <c r="D386">
        <v>0</v>
      </c>
      <c r="E386">
        <v>0</v>
      </c>
      <c r="F386">
        <v>0</v>
      </c>
      <c r="G386">
        <v>2</v>
      </c>
      <c r="H386">
        <v>0</v>
      </c>
      <c r="I386">
        <v>12</v>
      </c>
      <c r="J386">
        <v>0</v>
      </c>
      <c r="K386">
        <v>132</v>
      </c>
    </row>
    <row r="387" spans="1:11" x14ac:dyDescent="0.25">
      <c r="A387" t="s">
        <v>1383</v>
      </c>
      <c r="B387">
        <v>0</v>
      </c>
      <c r="C387">
        <v>55</v>
      </c>
      <c r="D387">
        <v>0</v>
      </c>
      <c r="E387">
        <v>0</v>
      </c>
      <c r="F387">
        <v>0</v>
      </c>
      <c r="G387">
        <v>1</v>
      </c>
      <c r="H387">
        <v>0</v>
      </c>
      <c r="I387">
        <v>42</v>
      </c>
      <c r="J387">
        <v>0</v>
      </c>
      <c r="K387">
        <v>98</v>
      </c>
    </row>
    <row r="388" spans="1:11" x14ac:dyDescent="0.25">
      <c r="A388" t="s">
        <v>1384</v>
      </c>
      <c r="B388">
        <v>0</v>
      </c>
      <c r="C388">
        <v>28</v>
      </c>
      <c r="D388">
        <v>1</v>
      </c>
      <c r="E388">
        <v>0</v>
      </c>
      <c r="F388">
        <v>0</v>
      </c>
      <c r="G388">
        <v>1</v>
      </c>
      <c r="H388">
        <v>0</v>
      </c>
      <c r="I388">
        <v>83</v>
      </c>
      <c r="J388">
        <v>0</v>
      </c>
      <c r="K388">
        <v>113</v>
      </c>
    </row>
    <row r="389" spans="1:11" x14ac:dyDescent="0.25">
      <c r="A389" t="s">
        <v>1385</v>
      </c>
      <c r="B389">
        <v>0</v>
      </c>
      <c r="C389">
        <v>141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3</v>
      </c>
      <c r="J389">
        <v>0</v>
      </c>
      <c r="K389">
        <v>145</v>
      </c>
    </row>
    <row r="390" spans="1:11" x14ac:dyDescent="0.25">
      <c r="A390" t="s">
        <v>1386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123</v>
      </c>
      <c r="J390">
        <v>0</v>
      </c>
      <c r="K390">
        <v>123</v>
      </c>
    </row>
    <row r="391" spans="1:11" x14ac:dyDescent="0.25">
      <c r="A391" t="s">
        <v>1387</v>
      </c>
      <c r="B391">
        <v>0</v>
      </c>
      <c r="C391">
        <v>46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39</v>
      </c>
      <c r="J391">
        <v>0</v>
      </c>
      <c r="K391">
        <v>85</v>
      </c>
    </row>
    <row r="392" spans="1:11" x14ac:dyDescent="0.25">
      <c r="A392" t="s">
        <v>1388</v>
      </c>
      <c r="B392">
        <v>0</v>
      </c>
      <c r="C392">
        <v>21</v>
      </c>
      <c r="D392">
        <v>1</v>
      </c>
      <c r="E392">
        <v>0</v>
      </c>
      <c r="F392">
        <v>1</v>
      </c>
      <c r="G392">
        <v>0</v>
      </c>
      <c r="H392">
        <v>0</v>
      </c>
      <c r="I392">
        <v>43</v>
      </c>
      <c r="J392">
        <v>0</v>
      </c>
      <c r="K392">
        <v>66</v>
      </c>
    </row>
    <row r="393" spans="1:11" x14ac:dyDescent="0.25">
      <c r="A393" t="s">
        <v>1389</v>
      </c>
      <c r="B393">
        <v>0</v>
      </c>
      <c r="C393">
        <v>100</v>
      </c>
      <c r="D393">
        <v>15</v>
      </c>
      <c r="E393">
        <v>32</v>
      </c>
      <c r="F393">
        <v>0</v>
      </c>
      <c r="G393">
        <v>0</v>
      </c>
      <c r="H393">
        <v>0</v>
      </c>
      <c r="I393">
        <v>18</v>
      </c>
      <c r="J393">
        <v>1</v>
      </c>
      <c r="K393">
        <v>166</v>
      </c>
    </row>
    <row r="394" spans="1:11" x14ac:dyDescent="0.25">
      <c r="A394" t="s">
        <v>1390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1391</v>
      </c>
      <c r="B395">
        <v>0</v>
      </c>
      <c r="C395">
        <v>13</v>
      </c>
      <c r="D395">
        <v>3</v>
      </c>
      <c r="E395">
        <v>47</v>
      </c>
      <c r="F395">
        <v>0</v>
      </c>
      <c r="G395">
        <v>0</v>
      </c>
      <c r="H395">
        <v>0</v>
      </c>
      <c r="I395">
        <v>42</v>
      </c>
      <c r="J395">
        <v>0</v>
      </c>
      <c r="K395">
        <v>105</v>
      </c>
    </row>
    <row r="396" spans="1:11" x14ac:dyDescent="0.25">
      <c r="A396" t="s">
        <v>1392</v>
      </c>
      <c r="B396">
        <v>0</v>
      </c>
      <c r="C396">
        <v>14</v>
      </c>
      <c r="D396">
        <v>7</v>
      </c>
      <c r="E396">
        <v>27</v>
      </c>
      <c r="F396">
        <v>0</v>
      </c>
      <c r="G396">
        <v>0</v>
      </c>
      <c r="H396">
        <v>0</v>
      </c>
      <c r="I396">
        <v>82</v>
      </c>
      <c r="J396">
        <v>0</v>
      </c>
      <c r="K396">
        <v>130</v>
      </c>
    </row>
    <row r="397" spans="1:11" x14ac:dyDescent="0.25">
      <c r="A397" t="s">
        <v>1393</v>
      </c>
      <c r="B397">
        <v>0</v>
      </c>
      <c r="C397">
        <v>63</v>
      </c>
      <c r="D397">
        <v>0</v>
      </c>
      <c r="E397">
        <v>0</v>
      </c>
      <c r="F397">
        <v>1</v>
      </c>
      <c r="G397">
        <v>0</v>
      </c>
      <c r="H397">
        <v>0</v>
      </c>
      <c r="I397">
        <v>54</v>
      </c>
      <c r="J397">
        <v>0</v>
      </c>
      <c r="K397">
        <v>118</v>
      </c>
    </row>
    <row r="398" spans="1:11" x14ac:dyDescent="0.25">
      <c r="A398" t="s">
        <v>1394</v>
      </c>
      <c r="B398">
        <v>0</v>
      </c>
      <c r="C398">
        <v>8</v>
      </c>
      <c r="D398">
        <v>7</v>
      </c>
      <c r="E398">
        <v>9</v>
      </c>
      <c r="F398">
        <v>0</v>
      </c>
      <c r="G398">
        <v>0</v>
      </c>
      <c r="H398">
        <v>0</v>
      </c>
      <c r="I398">
        <v>87</v>
      </c>
      <c r="J398">
        <v>0</v>
      </c>
      <c r="K398">
        <v>111</v>
      </c>
    </row>
    <row r="399" spans="1:11" x14ac:dyDescent="0.25">
      <c r="A399" t="s">
        <v>1395</v>
      </c>
      <c r="B399">
        <v>0</v>
      </c>
      <c r="C399">
        <v>13</v>
      </c>
      <c r="D399">
        <v>4</v>
      </c>
      <c r="E399">
        <v>0</v>
      </c>
      <c r="F399">
        <v>0</v>
      </c>
      <c r="G399">
        <v>0</v>
      </c>
      <c r="H399">
        <v>0</v>
      </c>
      <c r="I399">
        <v>67</v>
      </c>
      <c r="J399">
        <v>0</v>
      </c>
      <c r="K399">
        <v>84</v>
      </c>
    </row>
    <row r="400" spans="1:11" x14ac:dyDescent="0.25">
      <c r="A400" t="s">
        <v>1396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1397</v>
      </c>
      <c r="B401">
        <v>0</v>
      </c>
      <c r="C401">
        <v>59</v>
      </c>
      <c r="D401">
        <v>1</v>
      </c>
      <c r="E401">
        <v>0</v>
      </c>
      <c r="F401">
        <v>0</v>
      </c>
      <c r="G401">
        <v>1</v>
      </c>
      <c r="H401">
        <v>0</v>
      </c>
      <c r="I401">
        <v>5</v>
      </c>
      <c r="J401">
        <v>0</v>
      </c>
      <c r="K401">
        <v>66</v>
      </c>
    </row>
    <row r="402" spans="1:11" x14ac:dyDescent="0.25">
      <c r="A402" t="s">
        <v>1398</v>
      </c>
      <c r="B402">
        <v>0</v>
      </c>
      <c r="C402">
        <v>71</v>
      </c>
      <c r="D402">
        <v>0</v>
      </c>
      <c r="E402">
        <v>1</v>
      </c>
      <c r="F402">
        <v>0</v>
      </c>
      <c r="G402">
        <v>0</v>
      </c>
      <c r="H402">
        <v>0</v>
      </c>
      <c r="I402">
        <v>1</v>
      </c>
      <c r="J402">
        <v>0</v>
      </c>
      <c r="K402">
        <v>73</v>
      </c>
    </row>
    <row r="403" spans="1:11" x14ac:dyDescent="0.25">
      <c r="A403" t="s">
        <v>1399</v>
      </c>
      <c r="B403">
        <v>0</v>
      </c>
      <c r="C403">
        <v>118</v>
      </c>
      <c r="D403">
        <v>1</v>
      </c>
      <c r="E403">
        <v>0</v>
      </c>
      <c r="F403">
        <v>0</v>
      </c>
      <c r="G403">
        <v>2</v>
      </c>
      <c r="H403">
        <v>0</v>
      </c>
      <c r="I403">
        <v>20</v>
      </c>
      <c r="J403">
        <v>0</v>
      </c>
      <c r="K403">
        <v>141</v>
      </c>
    </row>
    <row r="404" spans="1:11" x14ac:dyDescent="0.25">
      <c r="A404" t="s">
        <v>1400</v>
      </c>
      <c r="B404">
        <v>0</v>
      </c>
      <c r="C404">
        <v>29</v>
      </c>
      <c r="D404">
        <v>5</v>
      </c>
      <c r="E404">
        <v>1</v>
      </c>
      <c r="F404">
        <v>0</v>
      </c>
      <c r="G404">
        <v>1</v>
      </c>
      <c r="H404">
        <v>0</v>
      </c>
      <c r="I404">
        <v>40</v>
      </c>
      <c r="J404">
        <v>0</v>
      </c>
      <c r="K404">
        <v>76</v>
      </c>
    </row>
    <row r="405" spans="1:11" x14ac:dyDescent="0.25">
      <c r="A405" t="s">
        <v>1401</v>
      </c>
      <c r="B405">
        <v>0</v>
      </c>
      <c r="C405">
        <v>74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16</v>
      </c>
      <c r="J405">
        <v>0</v>
      </c>
      <c r="K405">
        <v>91</v>
      </c>
    </row>
    <row r="406" spans="1:11" x14ac:dyDescent="0.25">
      <c r="A406" t="s">
        <v>1402</v>
      </c>
      <c r="B406">
        <v>0</v>
      </c>
      <c r="C406">
        <v>57</v>
      </c>
      <c r="D406">
        <v>0</v>
      </c>
      <c r="E406">
        <v>1</v>
      </c>
      <c r="F406">
        <v>0</v>
      </c>
      <c r="G406">
        <v>1</v>
      </c>
      <c r="H406">
        <v>0</v>
      </c>
      <c r="I406">
        <v>15</v>
      </c>
      <c r="J406">
        <v>0</v>
      </c>
      <c r="K406">
        <v>74</v>
      </c>
    </row>
    <row r="407" spans="1:11" x14ac:dyDescent="0.25">
      <c r="A407" t="s">
        <v>1403</v>
      </c>
      <c r="B407">
        <v>0</v>
      </c>
      <c r="C407">
        <v>112</v>
      </c>
      <c r="D407">
        <v>8</v>
      </c>
      <c r="E407">
        <v>1</v>
      </c>
      <c r="F407">
        <v>1</v>
      </c>
      <c r="G407">
        <v>0</v>
      </c>
      <c r="H407">
        <v>0</v>
      </c>
      <c r="I407">
        <v>59</v>
      </c>
      <c r="J407">
        <v>1</v>
      </c>
      <c r="K407">
        <v>182</v>
      </c>
    </row>
    <row r="408" spans="1:11" x14ac:dyDescent="0.25">
      <c r="A408" t="s">
        <v>1404</v>
      </c>
      <c r="B408">
        <v>0</v>
      </c>
      <c r="C408">
        <v>27</v>
      </c>
      <c r="D408">
        <v>14</v>
      </c>
      <c r="E408">
        <v>0</v>
      </c>
      <c r="F408">
        <v>0</v>
      </c>
      <c r="G408">
        <v>0</v>
      </c>
      <c r="H408">
        <v>0</v>
      </c>
      <c r="I408">
        <v>43</v>
      </c>
      <c r="J408">
        <v>1</v>
      </c>
      <c r="K408">
        <v>85</v>
      </c>
    </row>
    <row r="409" spans="1:11" x14ac:dyDescent="0.25">
      <c r="A409" t="s">
        <v>1405</v>
      </c>
      <c r="B409">
        <v>0</v>
      </c>
      <c r="C409">
        <v>12</v>
      </c>
      <c r="D409">
        <v>2</v>
      </c>
      <c r="E409">
        <v>6</v>
      </c>
      <c r="F409">
        <v>0</v>
      </c>
      <c r="G409">
        <v>0</v>
      </c>
      <c r="H409">
        <v>0</v>
      </c>
      <c r="I409">
        <v>66</v>
      </c>
      <c r="J409">
        <v>0</v>
      </c>
      <c r="K409">
        <v>86</v>
      </c>
    </row>
    <row r="410" spans="1:11" x14ac:dyDescent="0.25">
      <c r="A410" t="s">
        <v>1406</v>
      </c>
      <c r="B410">
        <v>0</v>
      </c>
      <c r="C410">
        <v>96</v>
      </c>
      <c r="D410">
        <v>1</v>
      </c>
      <c r="E410">
        <v>0</v>
      </c>
      <c r="F410">
        <v>1</v>
      </c>
      <c r="G410">
        <v>1</v>
      </c>
      <c r="H410">
        <v>0</v>
      </c>
      <c r="I410">
        <v>16</v>
      </c>
      <c r="J410">
        <v>8</v>
      </c>
      <c r="K410">
        <v>123</v>
      </c>
    </row>
    <row r="411" spans="1:11" x14ac:dyDescent="0.25">
      <c r="A411" t="s">
        <v>1407</v>
      </c>
      <c r="B411">
        <v>0</v>
      </c>
      <c r="C411">
        <v>21</v>
      </c>
      <c r="D411">
        <v>6</v>
      </c>
      <c r="E411">
        <v>9</v>
      </c>
      <c r="F411">
        <v>0</v>
      </c>
      <c r="G411">
        <v>0</v>
      </c>
      <c r="H411">
        <v>0</v>
      </c>
      <c r="I411">
        <v>62</v>
      </c>
      <c r="J411">
        <v>0</v>
      </c>
      <c r="K411">
        <v>98</v>
      </c>
    </row>
    <row r="412" spans="1:11" x14ac:dyDescent="0.25">
      <c r="A412" t="s">
        <v>1408</v>
      </c>
      <c r="B412">
        <v>0</v>
      </c>
      <c r="C412">
        <v>19</v>
      </c>
      <c r="D412">
        <v>7</v>
      </c>
      <c r="E412">
        <v>0</v>
      </c>
      <c r="F412">
        <v>0</v>
      </c>
      <c r="G412">
        <v>0</v>
      </c>
      <c r="H412">
        <v>0</v>
      </c>
      <c r="I412">
        <v>99</v>
      </c>
      <c r="J412">
        <v>0</v>
      </c>
      <c r="K412">
        <v>125</v>
      </c>
    </row>
    <row r="413" spans="1:11" x14ac:dyDescent="0.25">
      <c r="A413" t="s">
        <v>1409</v>
      </c>
      <c r="B413">
        <v>0</v>
      </c>
      <c r="C413">
        <v>5</v>
      </c>
      <c r="D413">
        <v>1</v>
      </c>
      <c r="E413">
        <v>16</v>
      </c>
      <c r="F413">
        <v>0</v>
      </c>
      <c r="G413">
        <v>0</v>
      </c>
      <c r="H413">
        <v>0</v>
      </c>
      <c r="I413">
        <v>57</v>
      </c>
      <c r="J413">
        <v>0</v>
      </c>
      <c r="K413">
        <v>79</v>
      </c>
    </row>
    <row r="414" spans="1:11" x14ac:dyDescent="0.25">
      <c r="A414" t="s">
        <v>1410</v>
      </c>
      <c r="B414">
        <v>0</v>
      </c>
      <c r="C414">
        <v>34</v>
      </c>
      <c r="D414">
        <v>0</v>
      </c>
      <c r="E414">
        <v>1</v>
      </c>
      <c r="F414">
        <v>0</v>
      </c>
      <c r="G414">
        <v>0</v>
      </c>
      <c r="H414">
        <v>0</v>
      </c>
      <c r="I414">
        <v>74</v>
      </c>
      <c r="J414">
        <v>0</v>
      </c>
      <c r="K414">
        <v>109</v>
      </c>
    </row>
    <row r="415" spans="1:11" x14ac:dyDescent="0.25">
      <c r="A415" t="s">
        <v>1411</v>
      </c>
      <c r="B415">
        <v>0</v>
      </c>
      <c r="C415">
        <v>38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131</v>
      </c>
      <c r="J415">
        <v>0</v>
      </c>
      <c r="K415">
        <v>170</v>
      </c>
    </row>
    <row r="416" spans="1:11" x14ac:dyDescent="0.25">
      <c r="A416" t="s">
        <v>1412</v>
      </c>
      <c r="B416">
        <v>0</v>
      </c>
      <c r="C416">
        <v>91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105</v>
      </c>
      <c r="J416">
        <v>0</v>
      </c>
      <c r="K416">
        <v>197</v>
      </c>
    </row>
    <row r="417" spans="1:11" x14ac:dyDescent="0.25">
      <c r="A417" t="s">
        <v>1413</v>
      </c>
      <c r="B417">
        <v>0</v>
      </c>
      <c r="C417">
        <v>82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84</v>
      </c>
      <c r="J417">
        <v>0</v>
      </c>
      <c r="K417">
        <v>166</v>
      </c>
    </row>
    <row r="418" spans="1:11" x14ac:dyDescent="0.25">
      <c r="A418" t="s">
        <v>1414</v>
      </c>
      <c r="B418">
        <v>0</v>
      </c>
      <c r="C418">
        <v>75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42</v>
      </c>
      <c r="J418">
        <v>0</v>
      </c>
      <c r="K418">
        <v>118</v>
      </c>
    </row>
    <row r="419" spans="1:11" x14ac:dyDescent="0.25">
      <c r="A419" t="s">
        <v>1415</v>
      </c>
      <c r="B419">
        <v>0</v>
      </c>
      <c r="C419">
        <v>56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22</v>
      </c>
      <c r="J419">
        <v>0</v>
      </c>
      <c r="K419">
        <v>78</v>
      </c>
    </row>
    <row r="420" spans="1:11" x14ac:dyDescent="0.25">
      <c r="A420" t="s">
        <v>1416</v>
      </c>
      <c r="B420">
        <v>0</v>
      </c>
      <c r="C420">
        <v>7</v>
      </c>
      <c r="D420">
        <v>2</v>
      </c>
      <c r="E420">
        <v>0</v>
      </c>
      <c r="F420">
        <v>0</v>
      </c>
      <c r="G420">
        <v>0</v>
      </c>
      <c r="H420">
        <v>0</v>
      </c>
      <c r="I420">
        <v>176</v>
      </c>
      <c r="J420">
        <v>0</v>
      </c>
      <c r="K420">
        <v>185</v>
      </c>
    </row>
    <row r="421" spans="1:11" x14ac:dyDescent="0.25">
      <c r="A421" t="s">
        <v>1417</v>
      </c>
      <c r="B421">
        <v>0</v>
      </c>
      <c r="C421">
        <v>22</v>
      </c>
      <c r="D421">
        <v>6</v>
      </c>
      <c r="E421">
        <v>0</v>
      </c>
      <c r="F421">
        <v>0</v>
      </c>
      <c r="G421">
        <v>0</v>
      </c>
      <c r="H421">
        <v>0</v>
      </c>
      <c r="I421">
        <v>93</v>
      </c>
      <c r="J421">
        <v>0</v>
      </c>
      <c r="K421">
        <v>121</v>
      </c>
    </row>
    <row r="422" spans="1:11" x14ac:dyDescent="0.25">
      <c r="A422" t="s">
        <v>1418</v>
      </c>
      <c r="B422">
        <v>0</v>
      </c>
      <c r="C422">
        <v>51</v>
      </c>
      <c r="D422">
        <v>0</v>
      </c>
      <c r="E422">
        <v>0</v>
      </c>
      <c r="F422">
        <v>0</v>
      </c>
      <c r="G422">
        <v>1</v>
      </c>
      <c r="H422">
        <v>0</v>
      </c>
      <c r="I422">
        <v>15</v>
      </c>
      <c r="J422">
        <v>0</v>
      </c>
      <c r="K422">
        <v>67</v>
      </c>
    </row>
    <row r="423" spans="1:11" x14ac:dyDescent="0.25">
      <c r="A423" t="s">
        <v>1419</v>
      </c>
      <c r="B423">
        <v>0</v>
      </c>
      <c r="C423">
        <v>45</v>
      </c>
      <c r="D423">
        <v>2</v>
      </c>
      <c r="E423">
        <v>0</v>
      </c>
      <c r="F423">
        <v>0</v>
      </c>
      <c r="G423">
        <v>0</v>
      </c>
      <c r="H423">
        <v>0</v>
      </c>
      <c r="I423">
        <v>53</v>
      </c>
      <c r="J423">
        <v>0</v>
      </c>
      <c r="K423">
        <v>100</v>
      </c>
    </row>
    <row r="424" spans="1:11" x14ac:dyDescent="0.25">
      <c r="A424" t="s">
        <v>1420</v>
      </c>
      <c r="B424">
        <v>0</v>
      </c>
      <c r="C424">
        <v>142</v>
      </c>
      <c r="D424">
        <v>10</v>
      </c>
      <c r="E424">
        <v>0</v>
      </c>
      <c r="F424">
        <v>0</v>
      </c>
      <c r="G424">
        <v>3</v>
      </c>
      <c r="H424">
        <v>0</v>
      </c>
      <c r="I424">
        <v>26</v>
      </c>
      <c r="J424">
        <v>0</v>
      </c>
      <c r="K424">
        <v>181</v>
      </c>
    </row>
    <row r="425" spans="1:11" x14ac:dyDescent="0.25">
      <c r="A425" t="s">
        <v>1421</v>
      </c>
      <c r="B425">
        <v>0</v>
      </c>
      <c r="C425">
        <v>116</v>
      </c>
      <c r="D425">
        <v>2</v>
      </c>
      <c r="E425">
        <v>2</v>
      </c>
      <c r="F425">
        <v>0</v>
      </c>
      <c r="G425">
        <v>0</v>
      </c>
      <c r="H425">
        <v>0</v>
      </c>
      <c r="I425">
        <v>117</v>
      </c>
      <c r="J425">
        <v>0</v>
      </c>
      <c r="K425">
        <v>237</v>
      </c>
    </row>
    <row r="426" spans="1:11" x14ac:dyDescent="0.25">
      <c r="A426" t="s">
        <v>1422</v>
      </c>
      <c r="B426">
        <v>0</v>
      </c>
      <c r="C426">
        <v>95</v>
      </c>
      <c r="D426">
        <v>1</v>
      </c>
      <c r="E426">
        <v>1</v>
      </c>
      <c r="F426">
        <v>0</v>
      </c>
      <c r="G426">
        <v>2</v>
      </c>
      <c r="H426">
        <v>0</v>
      </c>
      <c r="I426">
        <v>35</v>
      </c>
      <c r="J426">
        <v>0</v>
      </c>
      <c r="K426">
        <v>134</v>
      </c>
    </row>
    <row r="427" spans="1:11" x14ac:dyDescent="0.25">
      <c r="A427" t="s">
        <v>1423</v>
      </c>
      <c r="B427">
        <v>0</v>
      </c>
      <c r="C427">
        <v>131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9</v>
      </c>
      <c r="J427">
        <v>0</v>
      </c>
      <c r="K427">
        <v>140</v>
      </c>
    </row>
    <row r="428" spans="1:11" x14ac:dyDescent="0.25">
      <c r="A428" t="s">
        <v>1424</v>
      </c>
      <c r="B428">
        <v>0</v>
      </c>
      <c r="C428">
        <v>91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5</v>
      </c>
      <c r="J428">
        <v>0</v>
      </c>
      <c r="K428">
        <v>96</v>
      </c>
    </row>
    <row r="429" spans="1:11" x14ac:dyDescent="0.25">
      <c r="A429" t="s">
        <v>1425</v>
      </c>
      <c r="B429">
        <v>0</v>
      </c>
      <c r="C429">
        <v>79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9</v>
      </c>
      <c r="J429">
        <v>0</v>
      </c>
      <c r="K429">
        <v>88</v>
      </c>
    </row>
    <row r="430" spans="1:11" x14ac:dyDescent="0.25">
      <c r="A430" t="s">
        <v>1426</v>
      </c>
      <c r="B430">
        <v>0</v>
      </c>
      <c r="C430">
        <v>65</v>
      </c>
      <c r="D430">
        <v>2</v>
      </c>
      <c r="E430">
        <v>0</v>
      </c>
      <c r="F430">
        <v>0</v>
      </c>
      <c r="G430">
        <v>2</v>
      </c>
      <c r="H430">
        <v>0</v>
      </c>
      <c r="I430">
        <v>88</v>
      </c>
      <c r="J430">
        <v>0</v>
      </c>
      <c r="K430">
        <v>157</v>
      </c>
    </row>
    <row r="431" spans="1:11" x14ac:dyDescent="0.25">
      <c r="A431" t="s">
        <v>1427</v>
      </c>
      <c r="B431">
        <v>0</v>
      </c>
      <c r="C431">
        <v>117</v>
      </c>
      <c r="D431">
        <v>16</v>
      </c>
      <c r="E431">
        <v>0</v>
      </c>
      <c r="F431">
        <v>0</v>
      </c>
      <c r="G431">
        <v>0</v>
      </c>
      <c r="H431">
        <v>0</v>
      </c>
      <c r="I431">
        <v>121</v>
      </c>
      <c r="J431">
        <v>0</v>
      </c>
      <c r="K431">
        <v>254</v>
      </c>
    </row>
    <row r="432" spans="1:11" x14ac:dyDescent="0.25">
      <c r="A432" t="s">
        <v>1428</v>
      </c>
      <c r="B432">
        <v>0</v>
      </c>
      <c r="C432">
        <v>162</v>
      </c>
      <c r="D432">
        <v>27</v>
      </c>
      <c r="E432">
        <v>126</v>
      </c>
      <c r="F432">
        <v>0</v>
      </c>
      <c r="G432">
        <v>7</v>
      </c>
      <c r="H432">
        <v>0</v>
      </c>
      <c r="I432">
        <v>12</v>
      </c>
      <c r="J432">
        <v>10</v>
      </c>
      <c r="K432">
        <v>344</v>
      </c>
    </row>
    <row r="433" spans="1:11" x14ac:dyDescent="0.25">
      <c r="A433" t="s">
        <v>1429</v>
      </c>
      <c r="B433">
        <v>0</v>
      </c>
      <c r="C433">
        <v>70</v>
      </c>
      <c r="D433">
        <v>3</v>
      </c>
      <c r="E433">
        <v>0</v>
      </c>
      <c r="F433">
        <v>0</v>
      </c>
      <c r="G433">
        <v>2</v>
      </c>
      <c r="H433">
        <v>0</v>
      </c>
      <c r="I433">
        <v>107</v>
      </c>
      <c r="J433">
        <v>0</v>
      </c>
      <c r="K433">
        <v>182</v>
      </c>
    </row>
    <row r="434" spans="1:11" x14ac:dyDescent="0.25">
      <c r="A434" t="s">
        <v>1430</v>
      </c>
      <c r="B434">
        <v>0</v>
      </c>
      <c r="C434">
        <v>39</v>
      </c>
      <c r="D434">
        <v>7</v>
      </c>
      <c r="E434">
        <v>0</v>
      </c>
      <c r="F434">
        <v>0</v>
      </c>
      <c r="G434">
        <v>0</v>
      </c>
      <c r="H434">
        <v>0</v>
      </c>
      <c r="I434">
        <v>113</v>
      </c>
      <c r="J434">
        <v>0</v>
      </c>
      <c r="K434">
        <v>159</v>
      </c>
    </row>
    <row r="435" spans="1:11" x14ac:dyDescent="0.25">
      <c r="A435" t="s">
        <v>1431</v>
      </c>
      <c r="B435">
        <v>0</v>
      </c>
      <c r="C435">
        <v>49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60</v>
      </c>
      <c r="J435">
        <v>0</v>
      </c>
      <c r="K435">
        <v>109</v>
      </c>
    </row>
    <row r="436" spans="1:11" x14ac:dyDescent="0.25">
      <c r="A436" t="s">
        <v>1432</v>
      </c>
      <c r="B436">
        <v>0</v>
      </c>
      <c r="C436">
        <v>176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4</v>
      </c>
      <c r="J436">
        <v>0</v>
      </c>
      <c r="K436">
        <v>180</v>
      </c>
    </row>
    <row r="437" spans="1:11" x14ac:dyDescent="0.25">
      <c r="A437" t="s">
        <v>1433</v>
      </c>
      <c r="B437">
        <v>0</v>
      </c>
      <c r="C437">
        <v>17</v>
      </c>
      <c r="D437">
        <v>3</v>
      </c>
      <c r="E437">
        <v>2</v>
      </c>
      <c r="F437">
        <v>0</v>
      </c>
      <c r="G437">
        <v>0</v>
      </c>
      <c r="H437">
        <v>0</v>
      </c>
      <c r="I437">
        <v>197</v>
      </c>
      <c r="J437">
        <v>0</v>
      </c>
      <c r="K437">
        <v>219</v>
      </c>
    </row>
    <row r="438" spans="1:11" x14ac:dyDescent="0.25">
      <c r="A438" t="s">
        <v>1434</v>
      </c>
      <c r="B438">
        <v>0</v>
      </c>
      <c r="C438">
        <v>40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64</v>
      </c>
      <c r="J438">
        <v>0</v>
      </c>
      <c r="K438">
        <v>104</v>
      </c>
    </row>
    <row r="439" spans="1:11" x14ac:dyDescent="0.25">
      <c r="A439" t="s">
        <v>1435</v>
      </c>
      <c r="B439">
        <v>0</v>
      </c>
      <c r="C439">
        <v>14</v>
      </c>
      <c r="D439">
        <v>1</v>
      </c>
      <c r="E439">
        <v>2</v>
      </c>
      <c r="F439">
        <v>0</v>
      </c>
      <c r="G439">
        <v>0</v>
      </c>
      <c r="H439">
        <v>0</v>
      </c>
      <c r="I439">
        <v>94</v>
      </c>
      <c r="J439">
        <v>0</v>
      </c>
      <c r="K439">
        <v>111</v>
      </c>
    </row>
    <row r="440" spans="1:11" x14ac:dyDescent="0.25">
      <c r="A440" t="s">
        <v>1436</v>
      </c>
      <c r="B440">
        <v>0</v>
      </c>
      <c r="C440">
        <v>62</v>
      </c>
      <c r="D440">
        <v>1</v>
      </c>
      <c r="E440">
        <v>0</v>
      </c>
      <c r="F440">
        <v>0</v>
      </c>
      <c r="G440">
        <v>2</v>
      </c>
      <c r="H440">
        <v>0</v>
      </c>
      <c r="I440">
        <v>24</v>
      </c>
      <c r="J440">
        <v>82</v>
      </c>
      <c r="K440">
        <v>171</v>
      </c>
    </row>
    <row r="441" spans="1:11" x14ac:dyDescent="0.25">
      <c r="A441" t="s">
        <v>1437</v>
      </c>
      <c r="B441">
        <v>0</v>
      </c>
      <c r="C441">
        <v>82</v>
      </c>
      <c r="D441">
        <v>10</v>
      </c>
      <c r="E441">
        <v>2</v>
      </c>
      <c r="F441">
        <v>0</v>
      </c>
      <c r="G441">
        <v>0</v>
      </c>
      <c r="H441">
        <v>0</v>
      </c>
      <c r="I441">
        <v>108</v>
      </c>
      <c r="J441">
        <v>0</v>
      </c>
      <c r="K441">
        <v>202</v>
      </c>
    </row>
    <row r="442" spans="1:11" x14ac:dyDescent="0.25">
      <c r="A442" t="s">
        <v>1438</v>
      </c>
      <c r="B442">
        <v>0</v>
      </c>
      <c r="C442">
        <v>108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37</v>
      </c>
      <c r="J442">
        <v>0</v>
      </c>
      <c r="K442">
        <v>146</v>
      </c>
    </row>
    <row r="443" spans="1:11" x14ac:dyDescent="0.25">
      <c r="A443" t="s">
        <v>1439</v>
      </c>
      <c r="B443">
        <v>0</v>
      </c>
      <c r="C443">
        <v>30</v>
      </c>
      <c r="D443">
        <v>2</v>
      </c>
      <c r="E443">
        <v>0</v>
      </c>
      <c r="F443">
        <v>0</v>
      </c>
      <c r="G443">
        <v>2</v>
      </c>
      <c r="H443">
        <v>0</v>
      </c>
      <c r="I443">
        <v>1</v>
      </c>
      <c r="J443">
        <v>0</v>
      </c>
      <c r="K443">
        <v>35</v>
      </c>
    </row>
    <row r="444" spans="1:11" x14ac:dyDescent="0.25">
      <c r="A444" t="s">
        <v>1440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1441</v>
      </c>
      <c r="B445">
        <v>0</v>
      </c>
      <c r="C445">
        <v>78</v>
      </c>
      <c r="D445">
        <v>1</v>
      </c>
      <c r="E445">
        <v>1</v>
      </c>
      <c r="F445">
        <v>0</v>
      </c>
      <c r="G445">
        <v>1</v>
      </c>
      <c r="H445">
        <v>0</v>
      </c>
      <c r="I445">
        <v>87</v>
      </c>
      <c r="J445">
        <v>0</v>
      </c>
      <c r="K445">
        <v>168</v>
      </c>
    </row>
    <row r="446" spans="1:11" x14ac:dyDescent="0.25">
      <c r="A446" t="s">
        <v>1442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1443</v>
      </c>
      <c r="B447">
        <v>0</v>
      </c>
      <c r="C447">
        <v>16</v>
      </c>
      <c r="D447">
        <v>9</v>
      </c>
      <c r="E447">
        <v>39</v>
      </c>
      <c r="F447">
        <v>0</v>
      </c>
      <c r="G447">
        <v>0</v>
      </c>
      <c r="H447">
        <v>0</v>
      </c>
      <c r="I447">
        <v>38</v>
      </c>
      <c r="J447">
        <v>0</v>
      </c>
      <c r="K447">
        <v>102</v>
      </c>
    </row>
    <row r="448" spans="1:11" x14ac:dyDescent="0.25">
      <c r="A448" t="s">
        <v>1444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1445</v>
      </c>
      <c r="B449">
        <v>0</v>
      </c>
      <c r="C449">
        <v>39</v>
      </c>
      <c r="D449">
        <v>0</v>
      </c>
      <c r="E449">
        <v>0</v>
      </c>
      <c r="F449">
        <v>0</v>
      </c>
      <c r="G449">
        <v>1</v>
      </c>
      <c r="H449">
        <v>0</v>
      </c>
      <c r="I449">
        <v>2</v>
      </c>
      <c r="J449">
        <v>0</v>
      </c>
      <c r="K449">
        <v>42</v>
      </c>
    </row>
    <row r="450" spans="1:11" x14ac:dyDescent="0.25">
      <c r="A450" t="s">
        <v>1446</v>
      </c>
      <c r="B450">
        <v>0</v>
      </c>
      <c r="C450">
        <v>57</v>
      </c>
      <c r="D450">
        <v>0</v>
      </c>
      <c r="E450">
        <v>0</v>
      </c>
      <c r="F450">
        <v>1</v>
      </c>
      <c r="G450">
        <v>0</v>
      </c>
      <c r="H450">
        <v>0</v>
      </c>
      <c r="I450">
        <v>4</v>
      </c>
      <c r="J450">
        <v>0</v>
      </c>
      <c r="K450">
        <v>62</v>
      </c>
    </row>
    <row r="451" spans="1:11" x14ac:dyDescent="0.25">
      <c r="A451" t="s">
        <v>1447</v>
      </c>
      <c r="B451">
        <v>0</v>
      </c>
      <c r="C451">
        <v>52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4</v>
      </c>
      <c r="J451">
        <v>0</v>
      </c>
      <c r="K451">
        <v>56</v>
      </c>
    </row>
    <row r="452" spans="1:11" x14ac:dyDescent="0.25">
      <c r="A452" t="s">
        <v>1448</v>
      </c>
      <c r="B452">
        <v>0</v>
      </c>
      <c r="C452">
        <v>53</v>
      </c>
      <c r="D452">
        <v>0</v>
      </c>
      <c r="E452">
        <v>0</v>
      </c>
      <c r="F452">
        <v>0</v>
      </c>
      <c r="G452">
        <v>2</v>
      </c>
      <c r="H452">
        <v>0</v>
      </c>
      <c r="I452">
        <v>4</v>
      </c>
      <c r="J452">
        <v>0</v>
      </c>
      <c r="K452">
        <v>59</v>
      </c>
    </row>
    <row r="453" spans="1:11" x14ac:dyDescent="0.25">
      <c r="A453" t="s">
        <v>1449</v>
      </c>
      <c r="B453">
        <v>0</v>
      </c>
      <c r="C453">
        <v>37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3</v>
      </c>
      <c r="J453">
        <v>0</v>
      </c>
      <c r="K453">
        <v>41</v>
      </c>
    </row>
    <row r="454" spans="1:11" x14ac:dyDescent="0.25">
      <c r="A454" t="s">
        <v>1450</v>
      </c>
      <c r="B454">
        <v>0</v>
      </c>
      <c r="C454">
        <v>30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16</v>
      </c>
      <c r="J454">
        <v>0</v>
      </c>
      <c r="K454">
        <v>46</v>
      </c>
    </row>
    <row r="455" spans="1:11" x14ac:dyDescent="0.25">
      <c r="A455" t="s">
        <v>1451</v>
      </c>
      <c r="B455">
        <v>0</v>
      </c>
      <c r="C455">
        <v>98</v>
      </c>
      <c r="D455">
        <v>5</v>
      </c>
      <c r="E455">
        <v>38</v>
      </c>
      <c r="F455">
        <v>0</v>
      </c>
      <c r="G455">
        <v>0</v>
      </c>
      <c r="H455">
        <v>0</v>
      </c>
      <c r="I455">
        <v>27</v>
      </c>
      <c r="J455">
        <v>2</v>
      </c>
      <c r="K455">
        <v>170</v>
      </c>
    </row>
    <row r="456" spans="1:11" x14ac:dyDescent="0.25">
      <c r="A456" t="s">
        <v>1452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1453</v>
      </c>
      <c r="B457">
        <v>0</v>
      </c>
      <c r="C457">
        <v>17</v>
      </c>
      <c r="D457">
        <v>15</v>
      </c>
      <c r="E457">
        <v>14</v>
      </c>
      <c r="F457">
        <v>0</v>
      </c>
      <c r="G457">
        <v>0</v>
      </c>
      <c r="H457">
        <v>0</v>
      </c>
      <c r="I457">
        <v>38</v>
      </c>
      <c r="J457">
        <v>0</v>
      </c>
      <c r="K457">
        <v>84</v>
      </c>
    </row>
    <row r="458" spans="1:11" x14ac:dyDescent="0.25">
      <c r="A458" t="s">
        <v>1454</v>
      </c>
      <c r="B458">
        <v>0</v>
      </c>
      <c r="C458">
        <v>57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13</v>
      </c>
      <c r="J458">
        <v>0</v>
      </c>
      <c r="K458">
        <v>71</v>
      </c>
    </row>
    <row r="459" spans="1:11" x14ac:dyDescent="0.25">
      <c r="A459" t="s">
        <v>1455</v>
      </c>
      <c r="B459">
        <v>0</v>
      </c>
      <c r="C459">
        <v>49</v>
      </c>
      <c r="D459">
        <v>2</v>
      </c>
      <c r="E459">
        <v>0</v>
      </c>
      <c r="F459">
        <v>0</v>
      </c>
      <c r="G459">
        <v>1</v>
      </c>
      <c r="H459">
        <v>0</v>
      </c>
      <c r="I459">
        <v>2</v>
      </c>
      <c r="J459">
        <v>0</v>
      </c>
      <c r="K459">
        <v>54</v>
      </c>
    </row>
    <row r="460" spans="1:11" x14ac:dyDescent="0.25">
      <c r="A460" t="s">
        <v>1456</v>
      </c>
      <c r="B460">
        <v>0</v>
      </c>
      <c r="C460">
        <v>107</v>
      </c>
      <c r="D460">
        <v>2</v>
      </c>
      <c r="E460">
        <v>0</v>
      </c>
      <c r="F460">
        <v>0</v>
      </c>
      <c r="G460">
        <v>0</v>
      </c>
      <c r="H460">
        <v>0</v>
      </c>
      <c r="I460">
        <v>69</v>
      </c>
      <c r="J460">
        <v>0</v>
      </c>
      <c r="K460">
        <v>178</v>
      </c>
    </row>
    <row r="461" spans="1:11" x14ac:dyDescent="0.25">
      <c r="A461" t="s">
        <v>1457</v>
      </c>
      <c r="B461">
        <v>0</v>
      </c>
      <c r="C461">
        <v>119</v>
      </c>
      <c r="D461">
        <v>8</v>
      </c>
      <c r="E461">
        <v>2</v>
      </c>
      <c r="F461">
        <v>0</v>
      </c>
      <c r="G461">
        <v>0</v>
      </c>
      <c r="H461">
        <v>0</v>
      </c>
      <c r="I461">
        <v>19</v>
      </c>
      <c r="J461">
        <v>1</v>
      </c>
      <c r="K461">
        <v>149</v>
      </c>
    </row>
    <row r="462" spans="1:11" x14ac:dyDescent="0.25">
      <c r="A462" t="s">
        <v>1458</v>
      </c>
      <c r="B462">
        <v>0</v>
      </c>
      <c r="C462">
        <v>54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2</v>
      </c>
      <c r="J462">
        <v>1</v>
      </c>
      <c r="K462">
        <v>58</v>
      </c>
    </row>
    <row r="463" spans="1:11" x14ac:dyDescent="0.25">
      <c r="A463" t="s">
        <v>1459</v>
      </c>
      <c r="B463">
        <v>0</v>
      </c>
      <c r="C463">
        <v>98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4</v>
      </c>
      <c r="J463">
        <v>0</v>
      </c>
      <c r="K463">
        <v>102</v>
      </c>
    </row>
    <row r="464" spans="1:11" x14ac:dyDescent="0.25">
      <c r="A464" t="s">
        <v>1460</v>
      </c>
      <c r="B464">
        <v>0</v>
      </c>
      <c r="C464">
        <v>47</v>
      </c>
      <c r="D464">
        <v>2</v>
      </c>
      <c r="E464">
        <v>0</v>
      </c>
      <c r="F464">
        <v>0</v>
      </c>
      <c r="G464">
        <v>0</v>
      </c>
      <c r="H464">
        <v>0</v>
      </c>
      <c r="I464">
        <v>27</v>
      </c>
      <c r="J464">
        <v>0</v>
      </c>
      <c r="K464">
        <v>76</v>
      </c>
    </row>
    <row r="465" spans="1:11" x14ac:dyDescent="0.25">
      <c r="A465" t="s">
        <v>1461</v>
      </c>
      <c r="B465">
        <v>0</v>
      </c>
      <c r="C465">
        <v>12</v>
      </c>
      <c r="D465">
        <v>11</v>
      </c>
      <c r="E465">
        <v>0</v>
      </c>
      <c r="F465">
        <v>0</v>
      </c>
      <c r="G465">
        <v>0</v>
      </c>
      <c r="H465">
        <v>0</v>
      </c>
      <c r="I465">
        <v>94</v>
      </c>
      <c r="J465">
        <v>2</v>
      </c>
      <c r="K465">
        <v>119</v>
      </c>
    </row>
    <row r="466" spans="1:11" x14ac:dyDescent="0.25">
      <c r="A466" t="s">
        <v>1462</v>
      </c>
      <c r="B466">
        <v>0</v>
      </c>
      <c r="C466">
        <v>22</v>
      </c>
      <c r="D466">
        <v>1</v>
      </c>
      <c r="E466">
        <v>0</v>
      </c>
      <c r="F466">
        <v>0</v>
      </c>
      <c r="G466">
        <v>1</v>
      </c>
      <c r="H466">
        <v>0</v>
      </c>
      <c r="I466">
        <v>4</v>
      </c>
      <c r="J466">
        <v>0</v>
      </c>
      <c r="K466">
        <v>28</v>
      </c>
    </row>
    <row r="467" spans="1:11" x14ac:dyDescent="0.25">
      <c r="A467" t="s">
        <v>1463</v>
      </c>
      <c r="B467">
        <v>0</v>
      </c>
      <c r="C467">
        <v>31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5</v>
      </c>
      <c r="J467">
        <v>0</v>
      </c>
      <c r="K467">
        <v>36</v>
      </c>
    </row>
    <row r="468" spans="1:11" x14ac:dyDescent="0.25">
      <c r="A468" t="s">
        <v>1464</v>
      </c>
      <c r="B468">
        <v>0</v>
      </c>
      <c r="C468">
        <v>43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5</v>
      </c>
      <c r="J468">
        <v>0</v>
      </c>
      <c r="K468">
        <v>48</v>
      </c>
    </row>
    <row r="469" spans="1:11" x14ac:dyDescent="0.25">
      <c r="A469" t="s">
        <v>1465</v>
      </c>
      <c r="B469">
        <v>0</v>
      </c>
      <c r="C469">
        <v>35</v>
      </c>
      <c r="D469">
        <v>2</v>
      </c>
      <c r="E469">
        <v>0</v>
      </c>
      <c r="F469">
        <v>0</v>
      </c>
      <c r="G469">
        <v>1</v>
      </c>
      <c r="H469">
        <v>0</v>
      </c>
      <c r="I469">
        <v>14</v>
      </c>
      <c r="J469">
        <v>0</v>
      </c>
      <c r="K469">
        <v>52</v>
      </c>
    </row>
    <row r="470" spans="1:11" x14ac:dyDescent="0.25">
      <c r="A470" t="s">
        <v>1466</v>
      </c>
      <c r="B470">
        <v>0</v>
      </c>
      <c r="C470">
        <v>42</v>
      </c>
      <c r="D470">
        <v>3</v>
      </c>
      <c r="E470">
        <v>0</v>
      </c>
      <c r="F470">
        <v>0</v>
      </c>
      <c r="G470">
        <v>0</v>
      </c>
      <c r="H470">
        <v>0</v>
      </c>
      <c r="I470">
        <v>11</v>
      </c>
      <c r="J470">
        <v>0</v>
      </c>
      <c r="K470">
        <v>56</v>
      </c>
    </row>
    <row r="471" spans="1:11" x14ac:dyDescent="0.25">
      <c r="A471" t="s">
        <v>1467</v>
      </c>
      <c r="B471">
        <v>0</v>
      </c>
      <c r="C471">
        <v>7</v>
      </c>
      <c r="D471">
        <v>2</v>
      </c>
      <c r="E471">
        <v>42</v>
      </c>
      <c r="F471">
        <v>0</v>
      </c>
      <c r="G471">
        <v>0</v>
      </c>
      <c r="H471">
        <v>0</v>
      </c>
      <c r="I471">
        <v>54</v>
      </c>
      <c r="J471">
        <v>0</v>
      </c>
      <c r="K471">
        <v>105</v>
      </c>
    </row>
    <row r="472" spans="1:11" x14ac:dyDescent="0.25">
      <c r="A472" t="s">
        <v>1468</v>
      </c>
      <c r="B472">
        <v>0</v>
      </c>
      <c r="C472">
        <v>0</v>
      </c>
      <c r="D472">
        <v>3</v>
      </c>
      <c r="E472">
        <v>11</v>
      </c>
      <c r="F472">
        <v>0</v>
      </c>
      <c r="G472">
        <v>0</v>
      </c>
      <c r="H472">
        <v>0</v>
      </c>
      <c r="I472">
        <v>39</v>
      </c>
      <c r="J472">
        <v>0</v>
      </c>
      <c r="K472">
        <v>53</v>
      </c>
    </row>
    <row r="473" spans="1:11" x14ac:dyDescent="0.25">
      <c r="A473" t="s">
        <v>1469</v>
      </c>
      <c r="B473">
        <v>0</v>
      </c>
      <c r="C473">
        <v>4</v>
      </c>
      <c r="D473">
        <v>4</v>
      </c>
      <c r="E473">
        <v>11</v>
      </c>
      <c r="F473">
        <v>0</v>
      </c>
      <c r="G473">
        <v>0</v>
      </c>
      <c r="H473">
        <v>0</v>
      </c>
      <c r="I473">
        <v>44</v>
      </c>
      <c r="J473">
        <v>1</v>
      </c>
      <c r="K473">
        <v>64</v>
      </c>
    </row>
    <row r="474" spans="1:11" x14ac:dyDescent="0.25">
      <c r="A474" t="s">
        <v>1470</v>
      </c>
      <c r="B474">
        <v>0</v>
      </c>
      <c r="C474">
        <v>0</v>
      </c>
      <c r="D474">
        <v>3</v>
      </c>
      <c r="E474">
        <v>19</v>
      </c>
      <c r="F474">
        <v>0</v>
      </c>
      <c r="G474">
        <v>0</v>
      </c>
      <c r="H474">
        <v>0</v>
      </c>
      <c r="I474">
        <v>55</v>
      </c>
      <c r="J474">
        <v>0</v>
      </c>
      <c r="K474">
        <v>77</v>
      </c>
    </row>
    <row r="475" spans="1:11" x14ac:dyDescent="0.25">
      <c r="A475" t="s">
        <v>1471</v>
      </c>
      <c r="B475">
        <v>0</v>
      </c>
      <c r="C475">
        <v>69</v>
      </c>
      <c r="D475">
        <v>0</v>
      </c>
      <c r="E475">
        <v>0</v>
      </c>
      <c r="F475">
        <v>0</v>
      </c>
      <c r="G475">
        <v>5</v>
      </c>
      <c r="H475">
        <v>0</v>
      </c>
      <c r="I475">
        <v>1</v>
      </c>
      <c r="J475">
        <v>0</v>
      </c>
      <c r="K475">
        <v>75</v>
      </c>
    </row>
    <row r="476" spans="1:11" x14ac:dyDescent="0.25">
      <c r="A476" t="s">
        <v>1472</v>
      </c>
      <c r="B476">
        <v>0</v>
      </c>
      <c r="C476">
        <v>56</v>
      </c>
      <c r="D476">
        <v>4</v>
      </c>
      <c r="E476">
        <v>0</v>
      </c>
      <c r="F476">
        <v>0</v>
      </c>
      <c r="G476">
        <v>0</v>
      </c>
      <c r="H476">
        <v>0</v>
      </c>
      <c r="I476">
        <v>52</v>
      </c>
      <c r="J476">
        <v>0</v>
      </c>
      <c r="K476">
        <v>112</v>
      </c>
    </row>
    <row r="477" spans="1:11" x14ac:dyDescent="0.25">
      <c r="A477" t="s">
        <v>1473</v>
      </c>
      <c r="B477">
        <v>0</v>
      </c>
      <c r="C477">
        <v>25</v>
      </c>
      <c r="D477">
        <v>9</v>
      </c>
      <c r="E477">
        <v>0</v>
      </c>
      <c r="F477">
        <v>0</v>
      </c>
      <c r="G477">
        <v>0</v>
      </c>
      <c r="H477">
        <v>0</v>
      </c>
      <c r="I477">
        <v>130</v>
      </c>
      <c r="J477">
        <v>0</v>
      </c>
      <c r="K477">
        <v>164</v>
      </c>
    </row>
    <row r="478" spans="1:11" x14ac:dyDescent="0.25">
      <c r="A478" t="s">
        <v>1474</v>
      </c>
      <c r="B478">
        <v>0</v>
      </c>
      <c r="C478">
        <v>120</v>
      </c>
      <c r="D478">
        <v>9</v>
      </c>
      <c r="E478">
        <v>0</v>
      </c>
      <c r="F478">
        <v>0</v>
      </c>
      <c r="G478">
        <v>1</v>
      </c>
      <c r="H478">
        <v>0</v>
      </c>
      <c r="I478">
        <v>37</v>
      </c>
      <c r="J478">
        <v>0</v>
      </c>
      <c r="K478">
        <v>167</v>
      </c>
    </row>
    <row r="479" spans="1:11" x14ac:dyDescent="0.25">
      <c r="A479" t="s">
        <v>1475</v>
      </c>
      <c r="B479">
        <v>0</v>
      </c>
      <c r="C479">
        <v>116</v>
      </c>
      <c r="D479">
        <v>1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1476</v>
      </c>
      <c r="B480">
        <v>0</v>
      </c>
      <c r="C480">
        <v>12</v>
      </c>
      <c r="D480">
        <v>9</v>
      </c>
      <c r="E480">
        <v>1</v>
      </c>
      <c r="F480">
        <v>0</v>
      </c>
      <c r="G480">
        <v>0</v>
      </c>
      <c r="H480">
        <v>0</v>
      </c>
      <c r="I480">
        <v>137</v>
      </c>
      <c r="J480">
        <v>0</v>
      </c>
      <c r="K480">
        <v>159</v>
      </c>
    </row>
    <row r="481" spans="1:11" x14ac:dyDescent="0.25">
      <c r="A481" t="s">
        <v>1477</v>
      </c>
      <c r="B481">
        <v>0</v>
      </c>
      <c r="C481">
        <v>25</v>
      </c>
      <c r="D481">
        <v>4</v>
      </c>
      <c r="E481">
        <v>4</v>
      </c>
      <c r="F481">
        <v>0</v>
      </c>
      <c r="G481">
        <v>0</v>
      </c>
      <c r="H481">
        <v>0</v>
      </c>
      <c r="I481">
        <v>107</v>
      </c>
      <c r="J481">
        <v>0</v>
      </c>
      <c r="K481">
        <v>140</v>
      </c>
    </row>
    <row r="482" spans="1:11" x14ac:dyDescent="0.25">
      <c r="A482" t="s">
        <v>1478</v>
      </c>
      <c r="B482">
        <v>0</v>
      </c>
      <c r="C482">
        <v>1</v>
      </c>
      <c r="D482">
        <v>14</v>
      </c>
      <c r="E482">
        <v>3</v>
      </c>
      <c r="F482">
        <v>0</v>
      </c>
      <c r="G482">
        <v>0</v>
      </c>
      <c r="H482">
        <v>0</v>
      </c>
      <c r="I482">
        <v>76</v>
      </c>
      <c r="J482">
        <v>0</v>
      </c>
      <c r="K482">
        <v>94</v>
      </c>
    </row>
    <row r="483" spans="1:11" x14ac:dyDescent="0.25">
      <c r="A483" t="s">
        <v>1479</v>
      </c>
      <c r="B483">
        <v>0</v>
      </c>
      <c r="C483">
        <v>5</v>
      </c>
      <c r="D483">
        <v>4</v>
      </c>
      <c r="E483">
        <v>0</v>
      </c>
      <c r="F483">
        <v>0</v>
      </c>
      <c r="G483">
        <v>0</v>
      </c>
      <c r="H483">
        <v>0</v>
      </c>
      <c r="I483">
        <v>75</v>
      </c>
      <c r="J483">
        <v>0</v>
      </c>
      <c r="K483">
        <v>84</v>
      </c>
    </row>
    <row r="484" spans="1:11" x14ac:dyDescent="0.25">
      <c r="A484" t="s">
        <v>1480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1481</v>
      </c>
      <c r="B485">
        <v>0</v>
      </c>
      <c r="C485">
        <v>22</v>
      </c>
      <c r="D485">
        <v>0</v>
      </c>
      <c r="E485">
        <v>9</v>
      </c>
      <c r="F485">
        <v>0</v>
      </c>
      <c r="G485">
        <v>0</v>
      </c>
      <c r="H485">
        <v>0</v>
      </c>
      <c r="I485">
        <v>58</v>
      </c>
      <c r="J485">
        <v>0</v>
      </c>
      <c r="K485">
        <v>89</v>
      </c>
    </row>
    <row r="486" spans="1:11" x14ac:dyDescent="0.25">
      <c r="A486" t="s">
        <v>1482</v>
      </c>
      <c r="B486">
        <v>0</v>
      </c>
      <c r="C486">
        <v>47</v>
      </c>
      <c r="D486">
        <v>4</v>
      </c>
      <c r="E486">
        <v>0</v>
      </c>
      <c r="F486">
        <v>0</v>
      </c>
      <c r="G486">
        <v>0</v>
      </c>
      <c r="H486">
        <v>0</v>
      </c>
      <c r="I486">
        <v>61</v>
      </c>
      <c r="J486">
        <v>0</v>
      </c>
      <c r="K486">
        <v>112</v>
      </c>
    </row>
    <row r="487" spans="1:11" x14ac:dyDescent="0.25">
      <c r="A487" t="s">
        <v>1483</v>
      </c>
      <c r="B487">
        <v>0</v>
      </c>
      <c r="C487">
        <v>59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47</v>
      </c>
      <c r="J487">
        <v>0</v>
      </c>
      <c r="K487">
        <v>107</v>
      </c>
    </row>
    <row r="488" spans="1:11" x14ac:dyDescent="0.25">
      <c r="A488" t="s">
        <v>1484</v>
      </c>
      <c r="B488">
        <v>0</v>
      </c>
      <c r="C488">
        <v>48</v>
      </c>
      <c r="D488">
        <v>4</v>
      </c>
      <c r="E488">
        <v>23</v>
      </c>
      <c r="F488">
        <v>0</v>
      </c>
      <c r="G488">
        <v>2</v>
      </c>
      <c r="H488">
        <v>0</v>
      </c>
      <c r="I488">
        <v>24</v>
      </c>
      <c r="J488">
        <v>0</v>
      </c>
      <c r="K488">
        <v>101</v>
      </c>
    </row>
    <row r="489" spans="1:11" x14ac:dyDescent="0.25">
      <c r="A489" t="s">
        <v>1485</v>
      </c>
      <c r="B489">
        <v>0</v>
      </c>
      <c r="C489">
        <v>77</v>
      </c>
      <c r="D489">
        <v>2</v>
      </c>
      <c r="E489">
        <v>34</v>
      </c>
      <c r="F489">
        <v>0</v>
      </c>
      <c r="G489">
        <v>3</v>
      </c>
      <c r="H489">
        <v>0</v>
      </c>
      <c r="I489">
        <v>0</v>
      </c>
      <c r="J489">
        <v>1</v>
      </c>
      <c r="K489">
        <v>117</v>
      </c>
    </row>
    <row r="490" spans="1:11" x14ac:dyDescent="0.25">
      <c r="A490" t="s">
        <v>1486</v>
      </c>
      <c r="B490">
        <v>0</v>
      </c>
      <c r="C490">
        <v>31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149</v>
      </c>
      <c r="J490">
        <v>0</v>
      </c>
      <c r="K490">
        <v>180</v>
      </c>
    </row>
    <row r="491" spans="1:11" x14ac:dyDescent="0.25">
      <c r="A491" t="s">
        <v>1487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1488</v>
      </c>
      <c r="B492">
        <v>0</v>
      </c>
      <c r="C492">
        <v>40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134</v>
      </c>
      <c r="J492">
        <v>0</v>
      </c>
      <c r="K492">
        <v>174</v>
      </c>
    </row>
    <row r="493" spans="1:11" x14ac:dyDescent="0.25">
      <c r="A493" t="s">
        <v>1489</v>
      </c>
      <c r="B493">
        <v>0</v>
      </c>
      <c r="C493">
        <v>92</v>
      </c>
      <c r="D493">
        <v>12</v>
      </c>
      <c r="E493">
        <v>0</v>
      </c>
      <c r="F493">
        <v>0</v>
      </c>
      <c r="G493">
        <v>0</v>
      </c>
      <c r="H493">
        <v>0</v>
      </c>
      <c r="I493">
        <v>43</v>
      </c>
      <c r="J493">
        <v>3</v>
      </c>
      <c r="K493">
        <v>150</v>
      </c>
    </row>
    <row r="494" spans="1:11" x14ac:dyDescent="0.25">
      <c r="A494" t="s">
        <v>1490</v>
      </c>
      <c r="B494">
        <v>0</v>
      </c>
      <c r="C494">
        <v>126</v>
      </c>
      <c r="D494">
        <v>1</v>
      </c>
      <c r="E494">
        <v>0</v>
      </c>
      <c r="F494">
        <v>0</v>
      </c>
      <c r="G494">
        <v>3</v>
      </c>
      <c r="H494">
        <v>0</v>
      </c>
      <c r="I494">
        <v>6</v>
      </c>
      <c r="J494">
        <v>0</v>
      </c>
      <c r="K494">
        <v>136</v>
      </c>
    </row>
    <row r="495" spans="1:11" x14ac:dyDescent="0.25">
      <c r="A495" t="s">
        <v>1491</v>
      </c>
      <c r="B495">
        <v>0</v>
      </c>
      <c r="C495">
        <v>109</v>
      </c>
      <c r="D495">
        <v>4</v>
      </c>
      <c r="E495">
        <v>0</v>
      </c>
      <c r="F495">
        <v>0</v>
      </c>
      <c r="G495">
        <v>2</v>
      </c>
      <c r="H495">
        <v>0</v>
      </c>
      <c r="I495">
        <v>22</v>
      </c>
      <c r="J495">
        <v>0</v>
      </c>
      <c r="K495">
        <v>137</v>
      </c>
    </row>
    <row r="496" spans="1:11" x14ac:dyDescent="0.25">
      <c r="A496" t="s">
        <v>1492</v>
      </c>
      <c r="B496">
        <v>0</v>
      </c>
      <c r="C496">
        <v>90</v>
      </c>
      <c r="D496">
        <v>1</v>
      </c>
      <c r="E496">
        <v>0</v>
      </c>
      <c r="F496">
        <v>0</v>
      </c>
      <c r="G496">
        <v>1</v>
      </c>
      <c r="H496">
        <v>0</v>
      </c>
      <c r="I496">
        <v>30</v>
      </c>
      <c r="J496">
        <v>0</v>
      </c>
      <c r="K496">
        <v>122</v>
      </c>
    </row>
    <row r="497" spans="1:11" x14ac:dyDescent="0.25">
      <c r="A497" t="s">
        <v>1493</v>
      </c>
      <c r="B497">
        <v>0</v>
      </c>
      <c r="C497">
        <v>89</v>
      </c>
      <c r="D497">
        <v>0</v>
      </c>
      <c r="E497">
        <v>1</v>
      </c>
      <c r="F497">
        <v>0</v>
      </c>
      <c r="G497">
        <v>0</v>
      </c>
      <c r="H497">
        <v>0</v>
      </c>
      <c r="I497">
        <v>4</v>
      </c>
      <c r="J497">
        <v>2</v>
      </c>
      <c r="K497">
        <v>96</v>
      </c>
    </row>
    <row r="498" spans="1:11" x14ac:dyDescent="0.25">
      <c r="A498" t="s">
        <v>1494</v>
      </c>
      <c r="B498">
        <v>0</v>
      </c>
      <c r="C498">
        <v>182</v>
      </c>
      <c r="D498">
        <v>16</v>
      </c>
      <c r="E498">
        <v>13</v>
      </c>
      <c r="F498">
        <v>0</v>
      </c>
      <c r="G498">
        <v>0</v>
      </c>
      <c r="H498">
        <v>0</v>
      </c>
      <c r="I498">
        <v>72</v>
      </c>
      <c r="J498">
        <v>0</v>
      </c>
      <c r="K498">
        <v>283</v>
      </c>
    </row>
    <row r="499" spans="1:11" x14ac:dyDescent="0.25">
      <c r="A499" t="s">
        <v>1495</v>
      </c>
      <c r="B499">
        <v>0</v>
      </c>
      <c r="C499">
        <v>184</v>
      </c>
      <c r="D499">
        <v>0</v>
      </c>
      <c r="E499">
        <v>0</v>
      </c>
      <c r="F499">
        <v>0</v>
      </c>
      <c r="G499">
        <v>1</v>
      </c>
      <c r="H499">
        <v>0</v>
      </c>
      <c r="I499">
        <v>35</v>
      </c>
      <c r="J499">
        <v>0</v>
      </c>
      <c r="K499">
        <v>220</v>
      </c>
    </row>
    <row r="500" spans="1:11" x14ac:dyDescent="0.25">
      <c r="A500" t="s">
        <v>1496</v>
      </c>
      <c r="B500">
        <v>0</v>
      </c>
      <c r="C500">
        <v>80</v>
      </c>
      <c r="D500">
        <v>7</v>
      </c>
      <c r="E500">
        <v>0</v>
      </c>
      <c r="F500">
        <v>0</v>
      </c>
      <c r="G500">
        <v>2</v>
      </c>
      <c r="H500">
        <v>0</v>
      </c>
      <c r="I500">
        <v>75</v>
      </c>
      <c r="J500">
        <v>2</v>
      </c>
      <c r="K500">
        <v>166</v>
      </c>
    </row>
    <row r="501" spans="1:11" x14ac:dyDescent="0.25">
      <c r="A501" t="s">
        <v>1497</v>
      </c>
      <c r="B501">
        <v>0</v>
      </c>
      <c r="C501">
        <v>123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1</v>
      </c>
      <c r="K501">
        <v>125</v>
      </c>
    </row>
    <row r="502" spans="1:11" x14ac:dyDescent="0.25">
      <c r="A502" t="s">
        <v>1498</v>
      </c>
      <c r="B502">
        <v>0</v>
      </c>
      <c r="C502">
        <v>83</v>
      </c>
      <c r="D502">
        <v>2</v>
      </c>
      <c r="E502">
        <v>2</v>
      </c>
      <c r="F502">
        <v>2</v>
      </c>
      <c r="G502">
        <v>0</v>
      </c>
      <c r="H502">
        <v>0</v>
      </c>
      <c r="I502">
        <v>14</v>
      </c>
      <c r="J502">
        <v>0</v>
      </c>
      <c r="K502">
        <v>103</v>
      </c>
    </row>
    <row r="503" spans="1:11" x14ac:dyDescent="0.25">
      <c r="A503" t="s">
        <v>1499</v>
      </c>
      <c r="B503">
        <v>0</v>
      </c>
      <c r="C503">
        <v>91</v>
      </c>
      <c r="D503">
        <v>1</v>
      </c>
      <c r="E503">
        <v>33</v>
      </c>
      <c r="F503">
        <v>0</v>
      </c>
      <c r="G503">
        <v>0</v>
      </c>
      <c r="H503">
        <v>0</v>
      </c>
      <c r="I503">
        <v>52</v>
      </c>
      <c r="J503">
        <v>18</v>
      </c>
      <c r="K503">
        <v>195</v>
      </c>
    </row>
    <row r="504" spans="1:11" x14ac:dyDescent="0.25">
      <c r="A504" t="s">
        <v>1500</v>
      </c>
      <c r="B504">
        <v>0</v>
      </c>
      <c r="C504">
        <v>31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78</v>
      </c>
      <c r="J504">
        <v>0</v>
      </c>
      <c r="K504">
        <v>109</v>
      </c>
    </row>
    <row r="505" spans="1:11" x14ac:dyDescent="0.25">
      <c r="A505" t="s">
        <v>1501</v>
      </c>
      <c r="B505">
        <v>0</v>
      </c>
      <c r="C505">
        <v>103</v>
      </c>
      <c r="D505">
        <v>2</v>
      </c>
      <c r="E505">
        <v>0</v>
      </c>
      <c r="F505">
        <v>0</v>
      </c>
      <c r="G505">
        <v>2</v>
      </c>
      <c r="H505">
        <v>0</v>
      </c>
      <c r="I505">
        <v>65</v>
      </c>
      <c r="J505">
        <v>0</v>
      </c>
      <c r="K505">
        <v>172</v>
      </c>
    </row>
    <row r="506" spans="1:11" x14ac:dyDescent="0.25">
      <c r="A506" t="s">
        <v>1502</v>
      </c>
      <c r="B506">
        <v>0</v>
      </c>
      <c r="C506">
        <v>73</v>
      </c>
      <c r="D506">
        <v>2</v>
      </c>
      <c r="E506">
        <v>4</v>
      </c>
      <c r="F506">
        <v>0</v>
      </c>
      <c r="G506">
        <v>0</v>
      </c>
      <c r="H506">
        <v>0</v>
      </c>
      <c r="I506">
        <v>40</v>
      </c>
      <c r="J506">
        <v>5</v>
      </c>
      <c r="K506">
        <v>124</v>
      </c>
    </row>
    <row r="507" spans="1:11" x14ac:dyDescent="0.25">
      <c r="A507" t="s">
        <v>1503</v>
      </c>
      <c r="B507">
        <v>0</v>
      </c>
      <c r="C507">
        <v>82</v>
      </c>
      <c r="D507">
        <v>3</v>
      </c>
      <c r="E507">
        <v>0</v>
      </c>
      <c r="F507">
        <v>0</v>
      </c>
      <c r="G507">
        <v>3</v>
      </c>
      <c r="H507">
        <v>0</v>
      </c>
      <c r="I507">
        <v>15</v>
      </c>
      <c r="J507">
        <v>0</v>
      </c>
      <c r="K507">
        <v>103</v>
      </c>
    </row>
    <row r="508" spans="1:11" x14ac:dyDescent="0.25">
      <c r="A508" t="s">
        <v>1504</v>
      </c>
      <c r="B508">
        <v>0</v>
      </c>
      <c r="C508">
        <v>57</v>
      </c>
      <c r="D508">
        <v>3</v>
      </c>
      <c r="E508">
        <v>0</v>
      </c>
      <c r="F508">
        <v>0</v>
      </c>
      <c r="G508">
        <v>0</v>
      </c>
      <c r="H508">
        <v>0</v>
      </c>
      <c r="I508">
        <v>50</v>
      </c>
      <c r="J508">
        <v>0</v>
      </c>
      <c r="K508">
        <v>110</v>
      </c>
    </row>
    <row r="509" spans="1:11" x14ac:dyDescent="0.25">
      <c r="A509" t="s">
        <v>1505</v>
      </c>
      <c r="B509">
        <v>0</v>
      </c>
      <c r="C509">
        <v>107</v>
      </c>
      <c r="D509">
        <v>4</v>
      </c>
      <c r="E509">
        <v>0</v>
      </c>
      <c r="F509">
        <v>0</v>
      </c>
      <c r="G509">
        <v>0</v>
      </c>
      <c r="H509">
        <v>0</v>
      </c>
      <c r="I509">
        <v>34</v>
      </c>
      <c r="J509">
        <v>0</v>
      </c>
      <c r="K509">
        <v>145</v>
      </c>
    </row>
    <row r="510" spans="1:11" x14ac:dyDescent="0.25">
      <c r="A510" t="s">
        <v>1506</v>
      </c>
      <c r="B510">
        <v>0</v>
      </c>
      <c r="C510">
        <v>98</v>
      </c>
      <c r="D510">
        <v>2</v>
      </c>
      <c r="E510">
        <v>2</v>
      </c>
      <c r="F510">
        <v>0</v>
      </c>
      <c r="G510">
        <v>2</v>
      </c>
      <c r="H510">
        <v>0</v>
      </c>
      <c r="I510">
        <v>38</v>
      </c>
      <c r="J510">
        <v>0</v>
      </c>
      <c r="K510">
        <v>142</v>
      </c>
    </row>
    <row r="511" spans="1:11" x14ac:dyDescent="0.25">
      <c r="A511" t="s">
        <v>1507</v>
      </c>
      <c r="B511">
        <v>0</v>
      </c>
      <c r="C511">
        <v>28</v>
      </c>
      <c r="D511">
        <v>11</v>
      </c>
      <c r="E511">
        <v>37</v>
      </c>
      <c r="F511">
        <v>0</v>
      </c>
      <c r="G511">
        <v>0</v>
      </c>
      <c r="H511">
        <v>0</v>
      </c>
      <c r="I511">
        <v>19</v>
      </c>
      <c r="J511">
        <v>0</v>
      </c>
      <c r="K511">
        <v>95</v>
      </c>
    </row>
    <row r="512" spans="1:11" x14ac:dyDescent="0.25">
      <c r="A512" t="s">
        <v>1508</v>
      </c>
      <c r="B512">
        <v>0</v>
      </c>
      <c r="C512">
        <v>123</v>
      </c>
      <c r="D512">
        <v>0</v>
      </c>
      <c r="E512">
        <v>0</v>
      </c>
      <c r="F512">
        <v>0</v>
      </c>
      <c r="G512">
        <v>1</v>
      </c>
      <c r="H512">
        <v>0</v>
      </c>
      <c r="I512">
        <v>7</v>
      </c>
      <c r="J512">
        <v>0</v>
      </c>
      <c r="K512">
        <v>131</v>
      </c>
    </row>
    <row r="513" spans="1:11" x14ac:dyDescent="0.25">
      <c r="A513" t="s">
        <v>1509</v>
      </c>
      <c r="B513">
        <v>0</v>
      </c>
      <c r="C513">
        <v>100</v>
      </c>
      <c r="D513">
        <v>0</v>
      </c>
      <c r="E513">
        <v>0</v>
      </c>
      <c r="F513">
        <v>0</v>
      </c>
      <c r="G513">
        <v>1</v>
      </c>
      <c r="H513">
        <v>0</v>
      </c>
      <c r="I513">
        <v>8</v>
      </c>
      <c r="J513">
        <v>0</v>
      </c>
      <c r="K513">
        <v>109</v>
      </c>
    </row>
    <row r="514" spans="1:11" x14ac:dyDescent="0.25">
      <c r="A514" t="s">
        <v>1510</v>
      </c>
      <c r="B514">
        <v>0</v>
      </c>
      <c r="C514">
        <v>32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32</v>
      </c>
    </row>
    <row r="515" spans="1:11" x14ac:dyDescent="0.25">
      <c r="A515" t="s">
        <v>1511</v>
      </c>
      <c r="B515">
        <v>0</v>
      </c>
      <c r="C515">
        <v>44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44</v>
      </c>
    </row>
    <row r="516" spans="1:11" x14ac:dyDescent="0.25">
      <c r="A516" t="s">
        <v>1512</v>
      </c>
      <c r="B516">
        <v>0</v>
      </c>
      <c r="C516">
        <v>26</v>
      </c>
      <c r="D516">
        <v>0</v>
      </c>
      <c r="E516">
        <v>1</v>
      </c>
      <c r="F516">
        <v>0</v>
      </c>
      <c r="G516">
        <v>0</v>
      </c>
      <c r="H516">
        <v>0</v>
      </c>
      <c r="I516">
        <v>46</v>
      </c>
      <c r="J516">
        <v>0</v>
      </c>
      <c r="K516">
        <v>73</v>
      </c>
    </row>
    <row r="517" spans="1:11" x14ac:dyDescent="0.25">
      <c r="A517" t="s">
        <v>1513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1514</v>
      </c>
      <c r="B518">
        <v>0</v>
      </c>
      <c r="C518">
        <v>18</v>
      </c>
      <c r="D518">
        <v>0</v>
      </c>
      <c r="E518">
        <v>19</v>
      </c>
      <c r="F518">
        <v>0</v>
      </c>
      <c r="G518">
        <v>0</v>
      </c>
      <c r="H518">
        <v>0</v>
      </c>
      <c r="I518">
        <v>22</v>
      </c>
      <c r="J518">
        <v>0</v>
      </c>
      <c r="K518">
        <v>59</v>
      </c>
    </row>
    <row r="519" spans="1:11" x14ac:dyDescent="0.25">
      <c r="A519" t="s">
        <v>1515</v>
      </c>
      <c r="B519">
        <v>0</v>
      </c>
      <c r="C519">
        <v>72</v>
      </c>
      <c r="D519">
        <v>0</v>
      </c>
      <c r="E519">
        <v>14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87</v>
      </c>
    </row>
    <row r="520" spans="1:11" x14ac:dyDescent="0.25">
      <c r="A520" t="s">
        <v>1516</v>
      </c>
      <c r="B520">
        <v>0</v>
      </c>
      <c r="C520">
        <v>45</v>
      </c>
      <c r="D520">
        <v>0</v>
      </c>
      <c r="E520">
        <v>34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79</v>
      </c>
    </row>
    <row r="521" spans="1:11" x14ac:dyDescent="0.25">
      <c r="A521" t="s">
        <v>1517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1518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1519</v>
      </c>
      <c r="B523">
        <v>0</v>
      </c>
      <c r="C523">
        <v>63</v>
      </c>
      <c r="D523">
        <v>0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67</v>
      </c>
    </row>
    <row r="524" spans="1:11" x14ac:dyDescent="0.25">
      <c r="A524" t="s">
        <v>1520</v>
      </c>
      <c r="B524">
        <v>0</v>
      </c>
      <c r="C524">
        <v>57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58</v>
      </c>
      <c r="J524">
        <v>0</v>
      </c>
      <c r="K524">
        <v>118</v>
      </c>
    </row>
    <row r="525" spans="1:11" x14ac:dyDescent="0.25">
      <c r="A525" t="s">
        <v>1521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1522</v>
      </c>
      <c r="B526">
        <v>0</v>
      </c>
      <c r="C526">
        <v>16</v>
      </c>
      <c r="D526">
        <v>0</v>
      </c>
      <c r="E526">
        <v>1</v>
      </c>
      <c r="F526">
        <v>0</v>
      </c>
      <c r="G526">
        <v>0</v>
      </c>
      <c r="H526">
        <v>0</v>
      </c>
      <c r="I526">
        <v>60</v>
      </c>
      <c r="J526">
        <v>0</v>
      </c>
      <c r="K526">
        <v>77</v>
      </c>
    </row>
    <row r="527" spans="1:11" x14ac:dyDescent="0.25">
      <c r="A527" t="s">
        <v>1523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1524</v>
      </c>
      <c r="B528">
        <v>0</v>
      </c>
      <c r="C528">
        <v>25</v>
      </c>
      <c r="D528">
        <v>0</v>
      </c>
      <c r="E528">
        <v>28</v>
      </c>
      <c r="F528">
        <v>0</v>
      </c>
      <c r="G528">
        <v>0</v>
      </c>
      <c r="H528">
        <v>0</v>
      </c>
      <c r="I528">
        <v>47</v>
      </c>
      <c r="J528">
        <v>0</v>
      </c>
      <c r="K528">
        <v>100</v>
      </c>
    </row>
    <row r="529" spans="1:11" x14ac:dyDescent="0.25">
      <c r="A529" t="s">
        <v>1525</v>
      </c>
      <c r="B529">
        <v>0</v>
      </c>
      <c r="C529">
        <v>20</v>
      </c>
      <c r="D529">
        <v>0</v>
      </c>
      <c r="E529">
        <v>14</v>
      </c>
      <c r="F529">
        <v>0</v>
      </c>
      <c r="G529">
        <v>0</v>
      </c>
      <c r="H529">
        <v>0</v>
      </c>
      <c r="I529">
        <v>49</v>
      </c>
      <c r="J529">
        <v>0</v>
      </c>
      <c r="K529">
        <v>83</v>
      </c>
    </row>
    <row r="530" spans="1:11" x14ac:dyDescent="0.25">
      <c r="A530" t="s">
        <v>1526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1527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1528</v>
      </c>
      <c r="B532">
        <v>0</v>
      </c>
      <c r="C532">
        <v>20</v>
      </c>
      <c r="D532">
        <v>2</v>
      </c>
      <c r="E532">
        <v>10</v>
      </c>
      <c r="F532">
        <v>0</v>
      </c>
      <c r="G532">
        <v>0</v>
      </c>
      <c r="H532">
        <v>0</v>
      </c>
      <c r="I532">
        <v>43</v>
      </c>
      <c r="J532">
        <v>0</v>
      </c>
      <c r="K532">
        <v>75</v>
      </c>
    </row>
    <row r="533" spans="1:11" x14ac:dyDescent="0.25">
      <c r="A533" t="s">
        <v>1529</v>
      </c>
      <c r="B533">
        <v>0</v>
      </c>
      <c r="C533">
        <v>54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9</v>
      </c>
      <c r="J533">
        <v>0</v>
      </c>
      <c r="K533">
        <v>63</v>
      </c>
    </row>
    <row r="534" spans="1:11" x14ac:dyDescent="0.25">
      <c r="A534" t="s">
        <v>1530</v>
      </c>
      <c r="B534">
        <v>0</v>
      </c>
      <c r="C534">
        <v>27</v>
      </c>
      <c r="D534">
        <v>1</v>
      </c>
      <c r="E534">
        <v>33</v>
      </c>
      <c r="F534">
        <v>0</v>
      </c>
      <c r="G534">
        <v>0</v>
      </c>
      <c r="H534">
        <v>0</v>
      </c>
      <c r="I534">
        <v>49</v>
      </c>
      <c r="J534">
        <v>0</v>
      </c>
      <c r="K534">
        <v>110</v>
      </c>
    </row>
    <row r="535" spans="1:11" x14ac:dyDescent="0.25">
      <c r="A535" t="s">
        <v>1531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1532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1533</v>
      </c>
      <c r="B537">
        <v>0</v>
      </c>
      <c r="C537">
        <v>98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0</v>
      </c>
      <c r="J537">
        <v>0</v>
      </c>
      <c r="K537">
        <v>100</v>
      </c>
    </row>
    <row r="538" spans="1:11" x14ac:dyDescent="0.25">
      <c r="A538" t="s">
        <v>1534</v>
      </c>
      <c r="B538">
        <v>0</v>
      </c>
      <c r="C538">
        <v>27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1535</v>
      </c>
      <c r="B539">
        <v>0</v>
      </c>
      <c r="C539">
        <v>17</v>
      </c>
      <c r="D539">
        <v>0</v>
      </c>
      <c r="E539">
        <v>10</v>
      </c>
      <c r="F539">
        <v>0</v>
      </c>
      <c r="G539">
        <v>0</v>
      </c>
      <c r="H539">
        <v>0</v>
      </c>
      <c r="I539">
        <v>53</v>
      </c>
      <c r="J539">
        <v>0</v>
      </c>
      <c r="K539">
        <v>80</v>
      </c>
    </row>
    <row r="540" spans="1:11" x14ac:dyDescent="0.25">
      <c r="A540" t="s">
        <v>1536</v>
      </c>
      <c r="B540">
        <v>0</v>
      </c>
      <c r="C540">
        <v>29</v>
      </c>
      <c r="D540">
        <v>0</v>
      </c>
      <c r="E540">
        <v>28</v>
      </c>
      <c r="F540">
        <v>0</v>
      </c>
      <c r="G540">
        <v>0</v>
      </c>
      <c r="H540">
        <v>0</v>
      </c>
      <c r="I540">
        <v>44</v>
      </c>
      <c r="J540">
        <v>0</v>
      </c>
      <c r="K540">
        <v>101</v>
      </c>
    </row>
    <row r="541" spans="1:11" x14ac:dyDescent="0.25">
      <c r="A541" t="s">
        <v>1537</v>
      </c>
      <c r="B541">
        <v>0</v>
      </c>
      <c r="C541">
        <v>24</v>
      </c>
      <c r="D541">
        <v>0</v>
      </c>
      <c r="E541">
        <v>40</v>
      </c>
      <c r="F541">
        <v>0</v>
      </c>
      <c r="G541">
        <v>1</v>
      </c>
      <c r="H541">
        <v>0</v>
      </c>
      <c r="I541">
        <v>16</v>
      </c>
      <c r="J541">
        <v>0</v>
      </c>
      <c r="K541">
        <v>81</v>
      </c>
    </row>
    <row r="542" spans="1:11" x14ac:dyDescent="0.25">
      <c r="A542" t="s">
        <v>1538</v>
      </c>
      <c r="B542">
        <v>0</v>
      </c>
      <c r="C542">
        <v>94</v>
      </c>
      <c r="D542">
        <v>1</v>
      </c>
      <c r="E542">
        <v>0</v>
      </c>
      <c r="F542">
        <v>0</v>
      </c>
      <c r="G542">
        <v>3</v>
      </c>
      <c r="H542">
        <v>0</v>
      </c>
      <c r="I542">
        <v>1</v>
      </c>
      <c r="J542">
        <v>0</v>
      </c>
      <c r="K542">
        <v>99</v>
      </c>
    </row>
    <row r="543" spans="1:11" x14ac:dyDescent="0.25">
      <c r="A543" t="s">
        <v>1539</v>
      </c>
      <c r="B543">
        <v>0</v>
      </c>
      <c r="C543">
        <v>36</v>
      </c>
      <c r="D543">
        <v>0</v>
      </c>
      <c r="E543">
        <v>20</v>
      </c>
      <c r="F543">
        <v>0</v>
      </c>
      <c r="G543">
        <v>0</v>
      </c>
      <c r="H543">
        <v>0</v>
      </c>
      <c r="I543">
        <v>25</v>
      </c>
      <c r="J543">
        <v>0</v>
      </c>
      <c r="K543">
        <v>81</v>
      </c>
    </row>
    <row r="544" spans="1:11" x14ac:dyDescent="0.25">
      <c r="A544" t="s">
        <v>1540</v>
      </c>
      <c r="B544">
        <v>0</v>
      </c>
      <c r="C544">
        <v>10</v>
      </c>
      <c r="D544">
        <v>0</v>
      </c>
      <c r="E544">
        <v>9</v>
      </c>
      <c r="F544">
        <v>0</v>
      </c>
      <c r="G544">
        <v>0</v>
      </c>
      <c r="H544">
        <v>0</v>
      </c>
      <c r="I544">
        <v>42</v>
      </c>
      <c r="J544">
        <v>0</v>
      </c>
      <c r="K544">
        <v>61</v>
      </c>
    </row>
    <row r="545" spans="1:11" x14ac:dyDescent="0.25">
      <c r="A545" t="s">
        <v>1541</v>
      </c>
      <c r="B545">
        <v>0</v>
      </c>
      <c r="C545">
        <v>23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23</v>
      </c>
    </row>
    <row r="546" spans="1:11" x14ac:dyDescent="0.25">
      <c r="A546" t="s">
        <v>1542</v>
      </c>
      <c r="B546">
        <v>0</v>
      </c>
      <c r="C546">
        <v>23</v>
      </c>
      <c r="D546">
        <v>0</v>
      </c>
      <c r="E546">
        <v>51</v>
      </c>
      <c r="F546">
        <v>0</v>
      </c>
      <c r="G546">
        <v>0</v>
      </c>
      <c r="H546">
        <v>0</v>
      </c>
      <c r="I546">
        <v>28</v>
      </c>
      <c r="J546">
        <v>0</v>
      </c>
      <c r="K546">
        <v>102</v>
      </c>
    </row>
    <row r="547" spans="1:11" x14ac:dyDescent="0.25">
      <c r="A547" t="s">
        <v>1543</v>
      </c>
      <c r="B547">
        <v>0</v>
      </c>
      <c r="C547">
        <v>61</v>
      </c>
      <c r="D547">
        <v>0</v>
      </c>
      <c r="E547">
        <v>3</v>
      </c>
      <c r="F547">
        <v>0</v>
      </c>
      <c r="G547">
        <v>1</v>
      </c>
      <c r="H547">
        <v>0</v>
      </c>
      <c r="I547">
        <v>18</v>
      </c>
      <c r="J547">
        <v>0</v>
      </c>
      <c r="K547">
        <v>83</v>
      </c>
    </row>
    <row r="548" spans="1:11" x14ac:dyDescent="0.25">
      <c r="A548" t="s">
        <v>1544</v>
      </c>
      <c r="B548">
        <v>0</v>
      </c>
      <c r="C548">
        <v>46</v>
      </c>
      <c r="D548">
        <v>0</v>
      </c>
      <c r="E548">
        <v>13</v>
      </c>
      <c r="F548">
        <v>0</v>
      </c>
      <c r="G548">
        <v>0</v>
      </c>
      <c r="H548">
        <v>0</v>
      </c>
      <c r="I548">
        <v>34</v>
      </c>
      <c r="J548">
        <v>0</v>
      </c>
      <c r="K548">
        <v>93</v>
      </c>
    </row>
    <row r="549" spans="1:11" x14ac:dyDescent="0.25">
      <c r="A549" t="s">
        <v>1545</v>
      </c>
      <c r="B549">
        <v>0</v>
      </c>
      <c r="C549">
        <v>67</v>
      </c>
      <c r="D549">
        <v>1</v>
      </c>
      <c r="E549">
        <v>6</v>
      </c>
      <c r="F549">
        <v>0</v>
      </c>
      <c r="G549">
        <v>0</v>
      </c>
      <c r="H549">
        <v>0</v>
      </c>
      <c r="I549">
        <v>18</v>
      </c>
      <c r="J549">
        <v>0</v>
      </c>
      <c r="K549">
        <v>92</v>
      </c>
    </row>
    <row r="550" spans="1:11" x14ac:dyDescent="0.25">
      <c r="A550" t="s">
        <v>1546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1547</v>
      </c>
      <c r="B551">
        <v>0</v>
      </c>
      <c r="C551">
        <v>33</v>
      </c>
      <c r="D551">
        <v>0</v>
      </c>
      <c r="E551">
        <v>4</v>
      </c>
      <c r="F551">
        <v>0</v>
      </c>
      <c r="G551">
        <v>0</v>
      </c>
      <c r="H551">
        <v>0</v>
      </c>
      <c r="I551">
        <v>9</v>
      </c>
      <c r="J551">
        <v>0</v>
      </c>
      <c r="K551">
        <v>46</v>
      </c>
    </row>
    <row r="552" spans="1:11" x14ac:dyDescent="0.25">
      <c r="A552" t="s">
        <v>1548</v>
      </c>
      <c r="B552">
        <v>0</v>
      </c>
      <c r="C552">
        <v>8</v>
      </c>
      <c r="D552">
        <v>0</v>
      </c>
      <c r="E552">
        <v>1</v>
      </c>
      <c r="F552">
        <v>0</v>
      </c>
      <c r="G552">
        <v>0</v>
      </c>
      <c r="H552">
        <v>0</v>
      </c>
      <c r="I552">
        <v>30</v>
      </c>
      <c r="J552">
        <v>0</v>
      </c>
      <c r="K552">
        <v>39</v>
      </c>
    </row>
    <row r="553" spans="1:11" x14ac:dyDescent="0.25">
      <c r="A553" t="s">
        <v>1549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1550</v>
      </c>
      <c r="B554">
        <v>0</v>
      </c>
      <c r="C554">
        <v>62</v>
      </c>
      <c r="D554">
        <v>0</v>
      </c>
      <c r="E554">
        <v>1</v>
      </c>
      <c r="F554">
        <v>0</v>
      </c>
      <c r="G554">
        <v>0</v>
      </c>
      <c r="H554">
        <v>0</v>
      </c>
      <c r="I554">
        <v>1</v>
      </c>
      <c r="J554">
        <v>0</v>
      </c>
      <c r="K554">
        <v>64</v>
      </c>
    </row>
    <row r="555" spans="1:11" x14ac:dyDescent="0.25">
      <c r="A555" t="s">
        <v>1551</v>
      </c>
      <c r="B555">
        <v>0</v>
      </c>
      <c r="C555">
        <v>19</v>
      </c>
      <c r="D555">
        <v>0</v>
      </c>
      <c r="E555">
        <v>14</v>
      </c>
      <c r="F555">
        <v>0</v>
      </c>
      <c r="G555">
        <v>1</v>
      </c>
      <c r="H555">
        <v>0</v>
      </c>
      <c r="I555">
        <v>33</v>
      </c>
      <c r="J555">
        <v>0</v>
      </c>
      <c r="K555">
        <v>67</v>
      </c>
    </row>
    <row r="556" spans="1:11" x14ac:dyDescent="0.25">
      <c r="A556" t="s">
        <v>1552</v>
      </c>
      <c r="B556">
        <v>0</v>
      </c>
      <c r="C556">
        <v>27</v>
      </c>
      <c r="D556">
        <v>0</v>
      </c>
      <c r="E556">
        <v>3</v>
      </c>
      <c r="F556">
        <v>0</v>
      </c>
      <c r="G556">
        <v>0</v>
      </c>
      <c r="H556">
        <v>0</v>
      </c>
      <c r="I556">
        <v>27</v>
      </c>
      <c r="J556">
        <v>0</v>
      </c>
      <c r="K556">
        <v>57</v>
      </c>
    </row>
    <row r="557" spans="1:11" x14ac:dyDescent="0.25">
      <c r="A557" t="s">
        <v>1553</v>
      </c>
      <c r="B557">
        <v>0</v>
      </c>
      <c r="C557">
        <v>17</v>
      </c>
      <c r="D557">
        <v>4</v>
      </c>
      <c r="E557">
        <v>49</v>
      </c>
      <c r="F557">
        <v>0</v>
      </c>
      <c r="G557">
        <v>0</v>
      </c>
      <c r="H557">
        <v>0</v>
      </c>
      <c r="I557">
        <v>22</v>
      </c>
      <c r="J557">
        <v>0</v>
      </c>
      <c r="K557">
        <v>92</v>
      </c>
    </row>
    <row r="558" spans="1:11" x14ac:dyDescent="0.25">
      <c r="A558" t="s">
        <v>1554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1555</v>
      </c>
      <c r="B559">
        <v>0</v>
      </c>
      <c r="C559">
        <v>55</v>
      </c>
      <c r="D559">
        <v>0</v>
      </c>
      <c r="E559">
        <v>8</v>
      </c>
      <c r="F559">
        <v>0</v>
      </c>
      <c r="G559">
        <v>0</v>
      </c>
      <c r="H559">
        <v>0</v>
      </c>
      <c r="I559">
        <v>21</v>
      </c>
      <c r="J559">
        <v>0</v>
      </c>
      <c r="K559">
        <v>84</v>
      </c>
    </row>
    <row r="560" spans="1:11" x14ac:dyDescent="0.25">
      <c r="A560" t="s">
        <v>1556</v>
      </c>
      <c r="B560">
        <v>0</v>
      </c>
      <c r="C560">
        <v>43</v>
      </c>
      <c r="D560">
        <v>0</v>
      </c>
      <c r="E560">
        <v>2</v>
      </c>
      <c r="F560">
        <v>0</v>
      </c>
      <c r="G560">
        <v>2</v>
      </c>
      <c r="H560">
        <v>0</v>
      </c>
      <c r="I560">
        <v>37</v>
      </c>
      <c r="J560">
        <v>0</v>
      </c>
      <c r="K560">
        <v>84</v>
      </c>
    </row>
    <row r="561" spans="1:11" x14ac:dyDescent="0.25">
      <c r="A561" t="s">
        <v>1557</v>
      </c>
      <c r="B561">
        <v>0</v>
      </c>
      <c r="C561">
        <v>54</v>
      </c>
      <c r="D561">
        <v>3</v>
      </c>
      <c r="E561">
        <v>8</v>
      </c>
      <c r="F561">
        <v>0</v>
      </c>
      <c r="G561">
        <v>1</v>
      </c>
      <c r="H561">
        <v>0</v>
      </c>
      <c r="I561">
        <v>8</v>
      </c>
      <c r="J561">
        <v>0</v>
      </c>
      <c r="K561">
        <v>74</v>
      </c>
    </row>
    <row r="562" spans="1:11" x14ac:dyDescent="0.25">
      <c r="A562" t="s">
        <v>1558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1559</v>
      </c>
      <c r="B563">
        <v>0</v>
      </c>
      <c r="C563">
        <v>17</v>
      </c>
      <c r="D563">
        <v>0</v>
      </c>
      <c r="E563">
        <v>34</v>
      </c>
      <c r="F563">
        <v>0</v>
      </c>
      <c r="G563">
        <v>0</v>
      </c>
      <c r="H563">
        <v>0</v>
      </c>
      <c r="I563">
        <v>7</v>
      </c>
      <c r="J563">
        <v>0</v>
      </c>
      <c r="K563">
        <v>58</v>
      </c>
    </row>
    <row r="564" spans="1:11" x14ac:dyDescent="0.25">
      <c r="A564" t="s">
        <v>1560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1561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1562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1563</v>
      </c>
      <c r="B567">
        <v>0</v>
      </c>
      <c r="C567">
        <v>47</v>
      </c>
      <c r="D567">
        <v>0</v>
      </c>
      <c r="E567">
        <v>4</v>
      </c>
      <c r="F567">
        <v>0</v>
      </c>
      <c r="G567">
        <v>0</v>
      </c>
      <c r="H567">
        <v>0</v>
      </c>
      <c r="I567">
        <v>33</v>
      </c>
      <c r="J567">
        <v>0</v>
      </c>
      <c r="K567">
        <v>84</v>
      </c>
    </row>
    <row r="568" spans="1:11" x14ac:dyDescent="0.25">
      <c r="A568" t="s">
        <v>1564</v>
      </c>
      <c r="B568">
        <v>0</v>
      </c>
      <c r="C568">
        <v>43</v>
      </c>
      <c r="D568">
        <v>1</v>
      </c>
      <c r="E568">
        <v>0</v>
      </c>
      <c r="F568">
        <v>0</v>
      </c>
      <c r="G568">
        <v>0</v>
      </c>
      <c r="H568">
        <v>0</v>
      </c>
      <c r="I568">
        <v>9</v>
      </c>
      <c r="J568">
        <v>0</v>
      </c>
      <c r="K568">
        <v>53</v>
      </c>
    </row>
    <row r="569" spans="1:11" x14ac:dyDescent="0.25">
      <c r="A569" t="s">
        <v>1565</v>
      </c>
      <c r="B569">
        <v>0</v>
      </c>
      <c r="C569">
        <v>11</v>
      </c>
      <c r="D569">
        <v>0</v>
      </c>
      <c r="E569">
        <v>1</v>
      </c>
      <c r="F569">
        <v>0</v>
      </c>
      <c r="G569">
        <v>0</v>
      </c>
      <c r="H569">
        <v>0</v>
      </c>
      <c r="I569">
        <v>31</v>
      </c>
      <c r="J569">
        <v>0</v>
      </c>
      <c r="K569">
        <v>43</v>
      </c>
    </row>
    <row r="570" spans="1:11" x14ac:dyDescent="0.25">
      <c r="A570" t="s">
        <v>1566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1567</v>
      </c>
      <c r="B571">
        <v>0</v>
      </c>
      <c r="C571">
        <v>17</v>
      </c>
      <c r="D571">
        <v>3</v>
      </c>
      <c r="E571">
        <v>3</v>
      </c>
      <c r="F571">
        <v>1</v>
      </c>
      <c r="G571">
        <v>0</v>
      </c>
      <c r="H571">
        <v>0</v>
      </c>
      <c r="I571">
        <v>43</v>
      </c>
      <c r="J571">
        <v>0</v>
      </c>
      <c r="K571">
        <v>67</v>
      </c>
    </row>
    <row r="572" spans="1:11" x14ac:dyDescent="0.25">
      <c r="A572" t="s">
        <v>1568</v>
      </c>
      <c r="B572">
        <v>0</v>
      </c>
      <c r="C572">
        <v>10</v>
      </c>
      <c r="D572">
        <v>0</v>
      </c>
      <c r="E572">
        <v>3</v>
      </c>
      <c r="F572">
        <v>0</v>
      </c>
      <c r="G572">
        <v>0</v>
      </c>
      <c r="H572">
        <v>0</v>
      </c>
      <c r="I572">
        <v>34</v>
      </c>
      <c r="J572">
        <v>0</v>
      </c>
      <c r="K572">
        <v>47</v>
      </c>
    </row>
    <row r="573" spans="1:11" x14ac:dyDescent="0.25">
      <c r="A573" t="s">
        <v>1569</v>
      </c>
      <c r="B573">
        <v>0</v>
      </c>
      <c r="C573">
        <v>14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21</v>
      </c>
      <c r="J573">
        <v>0</v>
      </c>
      <c r="K573">
        <v>36</v>
      </c>
    </row>
    <row r="574" spans="1:11" x14ac:dyDescent="0.25">
      <c r="A574" t="s">
        <v>1570</v>
      </c>
      <c r="B574">
        <v>0</v>
      </c>
      <c r="C574">
        <v>85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86</v>
      </c>
    </row>
    <row r="575" spans="1:11" x14ac:dyDescent="0.25">
      <c r="A575" t="s">
        <v>1571</v>
      </c>
      <c r="B575">
        <v>0</v>
      </c>
      <c r="C575">
        <v>107</v>
      </c>
      <c r="D575">
        <v>2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110</v>
      </c>
    </row>
    <row r="576" spans="1:11" x14ac:dyDescent="0.25">
      <c r="A576" t="s">
        <v>1572</v>
      </c>
      <c r="B576">
        <v>0</v>
      </c>
      <c r="C576">
        <v>78</v>
      </c>
      <c r="D576">
        <v>25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1</v>
      </c>
      <c r="K576">
        <v>106</v>
      </c>
    </row>
    <row r="577" spans="1:11" x14ac:dyDescent="0.25">
      <c r="A577" t="s">
        <v>1573</v>
      </c>
      <c r="B577">
        <v>0</v>
      </c>
      <c r="C577">
        <v>91</v>
      </c>
      <c r="D577">
        <v>12</v>
      </c>
      <c r="E577">
        <v>5</v>
      </c>
      <c r="F577">
        <v>0</v>
      </c>
      <c r="G577">
        <v>2</v>
      </c>
      <c r="H577">
        <v>0</v>
      </c>
      <c r="I577">
        <v>0</v>
      </c>
      <c r="J577">
        <v>1</v>
      </c>
      <c r="K577">
        <v>111</v>
      </c>
    </row>
    <row r="578" spans="1:11" x14ac:dyDescent="0.25">
      <c r="A578" t="s">
        <v>1574</v>
      </c>
      <c r="B578">
        <v>0</v>
      </c>
      <c r="C578">
        <v>90</v>
      </c>
      <c r="D578">
        <v>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99</v>
      </c>
    </row>
    <row r="579" spans="1:11" x14ac:dyDescent="0.25">
      <c r="A579" t="s">
        <v>1575</v>
      </c>
      <c r="B579">
        <v>0</v>
      </c>
      <c r="C579">
        <v>14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47</v>
      </c>
      <c r="J579">
        <v>0</v>
      </c>
      <c r="K579">
        <v>75</v>
      </c>
    </row>
    <row r="580" spans="1:11" x14ac:dyDescent="0.25">
      <c r="A580" t="s">
        <v>1576</v>
      </c>
      <c r="B580">
        <v>0</v>
      </c>
      <c r="C580">
        <v>9</v>
      </c>
      <c r="D580">
        <v>4</v>
      </c>
      <c r="E580">
        <v>1</v>
      </c>
      <c r="F580">
        <v>0</v>
      </c>
      <c r="G580">
        <v>0</v>
      </c>
      <c r="H580">
        <v>0</v>
      </c>
      <c r="I580">
        <v>59</v>
      </c>
      <c r="J580">
        <v>0</v>
      </c>
      <c r="K580">
        <v>73</v>
      </c>
    </row>
    <row r="581" spans="1:11" x14ac:dyDescent="0.25">
      <c r="A581" t="s">
        <v>1577</v>
      </c>
      <c r="B581">
        <v>0</v>
      </c>
      <c r="C581">
        <v>58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17</v>
      </c>
      <c r="J581">
        <v>0</v>
      </c>
      <c r="K581">
        <v>76</v>
      </c>
    </row>
    <row r="582" spans="1:11" x14ac:dyDescent="0.25">
      <c r="A582" t="s">
        <v>1578</v>
      </c>
      <c r="B582">
        <v>0</v>
      </c>
      <c r="C582">
        <v>27</v>
      </c>
      <c r="D582">
        <v>0</v>
      </c>
      <c r="E582">
        <v>0</v>
      </c>
      <c r="F582">
        <v>0</v>
      </c>
      <c r="G582">
        <v>1</v>
      </c>
      <c r="H582">
        <v>0</v>
      </c>
      <c r="I582">
        <v>47</v>
      </c>
      <c r="J582">
        <v>0</v>
      </c>
      <c r="K582">
        <v>75</v>
      </c>
    </row>
    <row r="583" spans="1:11" x14ac:dyDescent="0.25">
      <c r="A583" t="s">
        <v>1579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1580</v>
      </c>
      <c r="B584">
        <v>0</v>
      </c>
      <c r="C584">
        <v>56</v>
      </c>
      <c r="D584">
        <v>2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62</v>
      </c>
    </row>
    <row r="585" spans="1:11" x14ac:dyDescent="0.25">
      <c r="A585" t="s">
        <v>1581</v>
      </c>
      <c r="B585">
        <v>0</v>
      </c>
      <c r="C585">
        <v>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54</v>
      </c>
      <c r="J585">
        <v>0</v>
      </c>
      <c r="K585">
        <v>57</v>
      </c>
    </row>
    <row r="586" spans="1:11" x14ac:dyDescent="0.25">
      <c r="A586" t="s">
        <v>1582</v>
      </c>
      <c r="B586">
        <v>0</v>
      </c>
      <c r="C586">
        <v>83</v>
      </c>
      <c r="D586">
        <v>0</v>
      </c>
      <c r="E586">
        <v>0</v>
      </c>
      <c r="F586">
        <v>1</v>
      </c>
      <c r="G586">
        <v>2</v>
      </c>
      <c r="H586">
        <v>0</v>
      </c>
      <c r="I586">
        <v>6</v>
      </c>
      <c r="J586">
        <v>0</v>
      </c>
      <c r="K586">
        <v>92</v>
      </c>
    </row>
    <row r="587" spans="1:11" x14ac:dyDescent="0.25">
      <c r="A587" t="s">
        <v>1583</v>
      </c>
      <c r="B587">
        <v>0</v>
      </c>
      <c r="C587">
        <v>60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7</v>
      </c>
      <c r="J587">
        <v>0</v>
      </c>
      <c r="K587">
        <v>68</v>
      </c>
    </row>
    <row r="588" spans="1:11" x14ac:dyDescent="0.25">
      <c r="A588" t="s">
        <v>1584</v>
      </c>
      <c r="B588">
        <v>0</v>
      </c>
      <c r="C588">
        <v>40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40</v>
      </c>
    </row>
    <row r="589" spans="1:11" x14ac:dyDescent="0.25">
      <c r="A589" t="s">
        <v>1585</v>
      </c>
      <c r="B589">
        <v>0</v>
      </c>
      <c r="C589">
        <v>48</v>
      </c>
      <c r="D589">
        <v>1</v>
      </c>
      <c r="E589">
        <v>6</v>
      </c>
      <c r="F589">
        <v>0</v>
      </c>
      <c r="G589">
        <v>0</v>
      </c>
      <c r="H589">
        <v>0</v>
      </c>
      <c r="I589">
        <v>8</v>
      </c>
      <c r="J589">
        <v>0</v>
      </c>
      <c r="K589">
        <v>63</v>
      </c>
    </row>
    <row r="590" spans="1:11" x14ac:dyDescent="0.25">
      <c r="A590" t="s">
        <v>1586</v>
      </c>
      <c r="B590">
        <v>0</v>
      </c>
      <c r="C590">
        <v>31</v>
      </c>
      <c r="D590">
        <v>0</v>
      </c>
      <c r="E590">
        <v>2</v>
      </c>
      <c r="F590">
        <v>0</v>
      </c>
      <c r="G590">
        <v>0</v>
      </c>
      <c r="H590">
        <v>0</v>
      </c>
      <c r="I590">
        <v>17</v>
      </c>
      <c r="J590">
        <v>0</v>
      </c>
      <c r="K590">
        <v>50</v>
      </c>
    </row>
    <row r="591" spans="1:11" x14ac:dyDescent="0.25">
      <c r="A591" t="s">
        <v>1587</v>
      </c>
      <c r="B591">
        <v>0</v>
      </c>
      <c r="C591">
        <v>32</v>
      </c>
      <c r="D591">
        <v>4</v>
      </c>
      <c r="E591">
        <v>4</v>
      </c>
      <c r="F591">
        <v>0</v>
      </c>
      <c r="G591">
        <v>0</v>
      </c>
      <c r="H591">
        <v>0</v>
      </c>
      <c r="I591">
        <v>13</v>
      </c>
      <c r="J591">
        <v>0</v>
      </c>
      <c r="K591">
        <v>53</v>
      </c>
    </row>
    <row r="592" spans="1:11" x14ac:dyDescent="0.25">
      <c r="A592" t="s">
        <v>1588</v>
      </c>
      <c r="B592">
        <v>0</v>
      </c>
      <c r="C592">
        <v>2</v>
      </c>
      <c r="D592">
        <v>0</v>
      </c>
      <c r="E592">
        <v>44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46</v>
      </c>
    </row>
    <row r="593" spans="1:11" x14ac:dyDescent="0.25">
      <c r="A593" t="s">
        <v>1589</v>
      </c>
      <c r="B593">
        <v>0</v>
      </c>
      <c r="C593">
        <v>26</v>
      </c>
      <c r="D593">
        <v>1</v>
      </c>
      <c r="E593">
        <v>11</v>
      </c>
      <c r="F593">
        <v>0</v>
      </c>
      <c r="G593">
        <v>0</v>
      </c>
      <c r="H593">
        <v>0</v>
      </c>
      <c r="I593">
        <v>3</v>
      </c>
      <c r="J593">
        <v>0</v>
      </c>
      <c r="K593">
        <v>41</v>
      </c>
    </row>
    <row r="594" spans="1:11" x14ac:dyDescent="0.25">
      <c r="A594" t="s">
        <v>1590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1591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1</v>
      </c>
      <c r="J595">
        <v>0</v>
      </c>
      <c r="K595">
        <v>113</v>
      </c>
    </row>
    <row r="596" spans="1:11" x14ac:dyDescent="0.25">
      <c r="A596" t="s">
        <v>1592</v>
      </c>
      <c r="B596">
        <v>0</v>
      </c>
      <c r="C596">
        <v>36</v>
      </c>
      <c r="D596">
        <v>0</v>
      </c>
      <c r="E596">
        <v>1</v>
      </c>
      <c r="F596">
        <v>15</v>
      </c>
      <c r="G596">
        <v>0</v>
      </c>
      <c r="H596">
        <v>0</v>
      </c>
      <c r="I596">
        <v>6</v>
      </c>
      <c r="J596">
        <v>0</v>
      </c>
      <c r="K596">
        <v>58</v>
      </c>
    </row>
    <row r="597" spans="1:11" x14ac:dyDescent="0.25">
      <c r="A597" t="s">
        <v>1593</v>
      </c>
      <c r="B597">
        <v>0</v>
      </c>
      <c r="C597">
        <v>44</v>
      </c>
      <c r="D597">
        <v>2</v>
      </c>
      <c r="E597">
        <v>2</v>
      </c>
      <c r="F597">
        <v>0</v>
      </c>
      <c r="G597">
        <v>1</v>
      </c>
      <c r="H597">
        <v>0</v>
      </c>
      <c r="I597">
        <v>24</v>
      </c>
      <c r="J597">
        <v>0</v>
      </c>
      <c r="K597">
        <v>73</v>
      </c>
    </row>
    <row r="598" spans="1:11" x14ac:dyDescent="0.25">
      <c r="A598" t="s">
        <v>1594</v>
      </c>
      <c r="B598">
        <v>0</v>
      </c>
      <c r="C598">
        <v>48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49</v>
      </c>
    </row>
    <row r="599" spans="1:11" x14ac:dyDescent="0.25">
      <c r="A599" t="s">
        <v>1595</v>
      </c>
      <c r="B599">
        <v>0</v>
      </c>
      <c r="C599">
        <v>47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47</v>
      </c>
    </row>
    <row r="600" spans="1:11" x14ac:dyDescent="0.25">
      <c r="A600" t="s">
        <v>1596</v>
      </c>
      <c r="B600">
        <v>0</v>
      </c>
      <c r="C600">
        <v>37</v>
      </c>
      <c r="D600">
        <v>1</v>
      </c>
      <c r="E600">
        <v>0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1597</v>
      </c>
      <c r="B601">
        <v>0</v>
      </c>
      <c r="C601">
        <v>37</v>
      </c>
      <c r="D601">
        <v>6</v>
      </c>
      <c r="E601">
        <v>1</v>
      </c>
      <c r="F601">
        <v>0</v>
      </c>
      <c r="G601">
        <v>1</v>
      </c>
      <c r="H601">
        <v>0</v>
      </c>
      <c r="I601">
        <v>5</v>
      </c>
      <c r="J601">
        <v>0</v>
      </c>
      <c r="K601">
        <v>50</v>
      </c>
    </row>
    <row r="602" spans="1:11" x14ac:dyDescent="0.25">
      <c r="A602" t="s">
        <v>1598</v>
      </c>
      <c r="B602">
        <v>0</v>
      </c>
      <c r="C602">
        <v>25</v>
      </c>
      <c r="D602">
        <v>4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29</v>
      </c>
    </row>
    <row r="603" spans="1:11" x14ac:dyDescent="0.25">
      <c r="A603" t="s">
        <v>1599</v>
      </c>
      <c r="B603">
        <v>0</v>
      </c>
      <c r="C603">
        <v>25</v>
      </c>
      <c r="D603">
        <v>5</v>
      </c>
      <c r="E603">
        <v>0</v>
      </c>
      <c r="F603">
        <v>0</v>
      </c>
      <c r="G603">
        <v>0</v>
      </c>
      <c r="H603">
        <v>0</v>
      </c>
      <c r="I603">
        <v>2</v>
      </c>
      <c r="J603">
        <v>0</v>
      </c>
      <c r="K603">
        <v>32</v>
      </c>
    </row>
    <row r="604" spans="1:11" x14ac:dyDescent="0.25">
      <c r="A604" t="s">
        <v>1600</v>
      </c>
      <c r="B604">
        <v>0</v>
      </c>
      <c r="C604">
        <v>43</v>
      </c>
      <c r="D604">
        <v>1</v>
      </c>
      <c r="E604">
        <v>0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1601</v>
      </c>
      <c r="B605">
        <v>0</v>
      </c>
      <c r="C605">
        <v>55</v>
      </c>
      <c r="D605">
        <v>0</v>
      </c>
      <c r="E605">
        <v>0</v>
      </c>
      <c r="F605">
        <v>0</v>
      </c>
      <c r="G605">
        <v>5</v>
      </c>
      <c r="H605">
        <v>0</v>
      </c>
      <c r="I605">
        <v>2</v>
      </c>
      <c r="J605">
        <v>0</v>
      </c>
      <c r="K605">
        <v>62</v>
      </c>
    </row>
    <row r="606" spans="1:11" x14ac:dyDescent="0.25">
      <c r="A606" t="s">
        <v>1602</v>
      </c>
      <c r="B606">
        <v>0</v>
      </c>
      <c r="C606">
        <v>49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8</v>
      </c>
      <c r="J606">
        <v>0</v>
      </c>
      <c r="K606">
        <v>57</v>
      </c>
    </row>
    <row r="607" spans="1:11" x14ac:dyDescent="0.25">
      <c r="A607" t="s">
        <v>1603</v>
      </c>
      <c r="B607">
        <v>0</v>
      </c>
      <c r="C607">
        <v>34</v>
      </c>
      <c r="D607">
        <v>1</v>
      </c>
      <c r="E607">
        <v>0</v>
      </c>
      <c r="F607">
        <v>0</v>
      </c>
      <c r="G607">
        <v>1</v>
      </c>
      <c r="H607">
        <v>0</v>
      </c>
      <c r="I607">
        <v>5</v>
      </c>
      <c r="J607">
        <v>1</v>
      </c>
      <c r="K607">
        <v>42</v>
      </c>
    </row>
    <row r="608" spans="1:11" x14ac:dyDescent="0.25">
      <c r="A608" t="s">
        <v>1604</v>
      </c>
      <c r="B608">
        <v>0</v>
      </c>
      <c r="C608">
        <v>30</v>
      </c>
      <c r="D608">
        <v>0</v>
      </c>
      <c r="E608">
        <v>0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1605</v>
      </c>
      <c r="B609">
        <v>0</v>
      </c>
      <c r="C609">
        <v>39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32</v>
      </c>
      <c r="J609">
        <v>0</v>
      </c>
      <c r="K609">
        <v>71</v>
      </c>
    </row>
    <row r="610" spans="1:11" x14ac:dyDescent="0.25">
      <c r="A610" t="s">
        <v>1606</v>
      </c>
      <c r="B610">
        <v>0</v>
      </c>
      <c r="C610">
        <v>11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29</v>
      </c>
      <c r="J610">
        <v>0</v>
      </c>
      <c r="K610">
        <v>41</v>
      </c>
    </row>
    <row r="611" spans="1:11" x14ac:dyDescent="0.25">
      <c r="A611" t="s">
        <v>1607</v>
      </c>
      <c r="B611">
        <v>0</v>
      </c>
      <c r="C611">
        <v>43</v>
      </c>
      <c r="D611">
        <v>1</v>
      </c>
      <c r="E611">
        <v>0</v>
      </c>
      <c r="F611">
        <v>2</v>
      </c>
      <c r="G611">
        <v>2</v>
      </c>
      <c r="H611">
        <v>0</v>
      </c>
      <c r="I611">
        <v>12</v>
      </c>
      <c r="J611">
        <v>0</v>
      </c>
      <c r="K611">
        <v>60</v>
      </c>
    </row>
    <row r="612" spans="1:11" x14ac:dyDescent="0.25">
      <c r="A612" t="s">
        <v>1608</v>
      </c>
      <c r="B612">
        <v>0</v>
      </c>
      <c r="C612">
        <v>40</v>
      </c>
      <c r="D612">
        <v>0</v>
      </c>
      <c r="E612">
        <v>0</v>
      </c>
      <c r="F612">
        <v>1</v>
      </c>
      <c r="G612">
        <v>1</v>
      </c>
      <c r="H612">
        <v>0</v>
      </c>
      <c r="I612">
        <v>7</v>
      </c>
      <c r="J612">
        <v>0</v>
      </c>
      <c r="K612">
        <v>49</v>
      </c>
    </row>
    <row r="613" spans="1:11" x14ac:dyDescent="0.25">
      <c r="A613" t="s">
        <v>1609</v>
      </c>
      <c r="B613">
        <v>0</v>
      </c>
      <c r="C613">
        <v>39</v>
      </c>
      <c r="D613">
        <v>0</v>
      </c>
      <c r="E613">
        <v>0</v>
      </c>
      <c r="F613">
        <v>1</v>
      </c>
      <c r="G613">
        <v>1</v>
      </c>
      <c r="H613">
        <v>0</v>
      </c>
      <c r="I613">
        <v>16</v>
      </c>
      <c r="J613">
        <v>0</v>
      </c>
      <c r="K613">
        <v>57</v>
      </c>
    </row>
    <row r="614" spans="1:11" x14ac:dyDescent="0.25">
      <c r="A614" t="s">
        <v>1610</v>
      </c>
      <c r="B614">
        <v>0</v>
      </c>
      <c r="C614">
        <v>54</v>
      </c>
      <c r="D614">
        <v>8</v>
      </c>
      <c r="E614">
        <v>6</v>
      </c>
      <c r="F614">
        <v>0</v>
      </c>
      <c r="G614">
        <v>0</v>
      </c>
      <c r="H614">
        <v>0</v>
      </c>
      <c r="I614">
        <v>7</v>
      </c>
      <c r="J614">
        <v>0</v>
      </c>
      <c r="K614">
        <v>75</v>
      </c>
    </row>
    <row r="615" spans="1:11" x14ac:dyDescent="0.25">
      <c r="A615" t="s">
        <v>1611</v>
      </c>
      <c r="B615">
        <v>0</v>
      </c>
      <c r="C615">
        <v>36</v>
      </c>
      <c r="D615">
        <v>10</v>
      </c>
      <c r="E615">
        <v>15</v>
      </c>
      <c r="F615">
        <v>0</v>
      </c>
      <c r="G615">
        <v>0</v>
      </c>
      <c r="H615">
        <v>0</v>
      </c>
      <c r="I615">
        <v>4</v>
      </c>
      <c r="J615">
        <v>0</v>
      </c>
      <c r="K615">
        <v>65</v>
      </c>
    </row>
    <row r="616" spans="1:11" x14ac:dyDescent="0.25">
      <c r="A616" t="s">
        <v>1612</v>
      </c>
      <c r="B616">
        <v>0</v>
      </c>
      <c r="C616">
        <v>51</v>
      </c>
      <c r="D616">
        <v>1</v>
      </c>
      <c r="E616">
        <v>6</v>
      </c>
      <c r="F616">
        <v>0</v>
      </c>
      <c r="G616">
        <v>2</v>
      </c>
      <c r="H616">
        <v>0</v>
      </c>
      <c r="I616">
        <v>15</v>
      </c>
      <c r="J616">
        <v>0</v>
      </c>
      <c r="K616">
        <v>75</v>
      </c>
    </row>
    <row r="617" spans="1:11" x14ac:dyDescent="0.25">
      <c r="A617" t="s">
        <v>1613</v>
      </c>
      <c r="B617">
        <v>0</v>
      </c>
      <c r="C617">
        <v>29</v>
      </c>
      <c r="D617">
        <v>9</v>
      </c>
      <c r="E617">
        <v>21</v>
      </c>
      <c r="F617">
        <v>0</v>
      </c>
      <c r="G617">
        <v>0</v>
      </c>
      <c r="H617">
        <v>0</v>
      </c>
      <c r="I617">
        <v>17</v>
      </c>
      <c r="J617">
        <v>0</v>
      </c>
      <c r="K617">
        <v>76</v>
      </c>
    </row>
    <row r="618" spans="1:11" x14ac:dyDescent="0.25">
      <c r="A618" t="s">
        <v>1614</v>
      </c>
      <c r="B618">
        <v>0</v>
      </c>
      <c r="C618">
        <v>51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2</v>
      </c>
      <c r="J618">
        <v>7</v>
      </c>
      <c r="K618">
        <v>70</v>
      </c>
    </row>
    <row r="619" spans="1:11" x14ac:dyDescent="0.25">
      <c r="A619" t="s">
        <v>1615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1616</v>
      </c>
      <c r="B620">
        <v>0</v>
      </c>
      <c r="C620">
        <v>63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63</v>
      </c>
    </row>
    <row r="621" spans="1:11" x14ac:dyDescent="0.25">
      <c r="A621" t="s">
        <v>1617</v>
      </c>
      <c r="B621">
        <v>0</v>
      </c>
      <c r="C621">
        <v>96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98</v>
      </c>
    </row>
    <row r="622" spans="1:11" x14ac:dyDescent="0.25">
      <c r="A622" t="s">
        <v>1618</v>
      </c>
      <c r="B622">
        <v>0</v>
      </c>
      <c r="C622">
        <v>12</v>
      </c>
      <c r="D622">
        <v>1</v>
      </c>
      <c r="E622">
        <v>31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1619</v>
      </c>
      <c r="B623">
        <v>0</v>
      </c>
      <c r="C623">
        <v>73</v>
      </c>
      <c r="D623">
        <v>14</v>
      </c>
      <c r="E623">
        <v>3</v>
      </c>
      <c r="F623">
        <v>0</v>
      </c>
      <c r="G623">
        <v>0</v>
      </c>
      <c r="H623">
        <v>0</v>
      </c>
      <c r="I623">
        <v>34</v>
      </c>
      <c r="J623">
        <v>0</v>
      </c>
      <c r="K623">
        <v>124</v>
      </c>
    </row>
    <row r="624" spans="1:11" x14ac:dyDescent="0.25">
      <c r="A624" t="s">
        <v>1620</v>
      </c>
      <c r="B624">
        <v>0</v>
      </c>
      <c r="C624">
        <v>34</v>
      </c>
      <c r="D624">
        <v>3</v>
      </c>
      <c r="E624">
        <v>32</v>
      </c>
      <c r="F624">
        <v>0</v>
      </c>
      <c r="G624">
        <v>0</v>
      </c>
      <c r="H624">
        <v>0</v>
      </c>
      <c r="I624">
        <v>10</v>
      </c>
      <c r="J624">
        <v>0</v>
      </c>
      <c r="K624">
        <v>79</v>
      </c>
    </row>
    <row r="625" spans="1:11" x14ac:dyDescent="0.25">
      <c r="A625" t="s">
        <v>1621</v>
      </c>
      <c r="B625">
        <v>0</v>
      </c>
      <c r="C625">
        <v>44</v>
      </c>
      <c r="D625">
        <v>0</v>
      </c>
      <c r="E625">
        <v>0</v>
      </c>
      <c r="F625">
        <v>0</v>
      </c>
      <c r="G625">
        <v>1</v>
      </c>
      <c r="H625">
        <v>0</v>
      </c>
      <c r="I625">
        <v>3</v>
      </c>
      <c r="J625">
        <v>0</v>
      </c>
      <c r="K625">
        <v>48</v>
      </c>
    </row>
    <row r="626" spans="1:11" x14ac:dyDescent="0.25">
      <c r="A626" t="s">
        <v>1622</v>
      </c>
      <c r="B626">
        <v>0</v>
      </c>
      <c r="C626">
        <v>54</v>
      </c>
      <c r="D626">
        <v>2</v>
      </c>
      <c r="E626">
        <v>0</v>
      </c>
      <c r="F626">
        <v>1</v>
      </c>
      <c r="G626">
        <v>1</v>
      </c>
      <c r="H626">
        <v>0</v>
      </c>
      <c r="I626">
        <v>4</v>
      </c>
      <c r="J626">
        <v>0</v>
      </c>
      <c r="K626">
        <v>62</v>
      </c>
    </row>
    <row r="627" spans="1:11" x14ac:dyDescent="0.25">
      <c r="A627" t="s">
        <v>1623</v>
      </c>
      <c r="B627">
        <v>0</v>
      </c>
      <c r="C627">
        <v>60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6</v>
      </c>
      <c r="J627">
        <v>0</v>
      </c>
      <c r="K627">
        <v>72</v>
      </c>
    </row>
    <row r="628" spans="1:11" x14ac:dyDescent="0.25">
      <c r="A628" t="s">
        <v>1624</v>
      </c>
      <c r="B628">
        <v>0</v>
      </c>
      <c r="C628">
        <v>38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1</v>
      </c>
      <c r="J628">
        <v>0</v>
      </c>
      <c r="K628">
        <v>46</v>
      </c>
    </row>
    <row r="629" spans="1:11" x14ac:dyDescent="0.25">
      <c r="A629" t="s">
        <v>1625</v>
      </c>
      <c r="B629">
        <v>0</v>
      </c>
      <c r="C629">
        <v>28</v>
      </c>
      <c r="D629">
        <v>0</v>
      </c>
      <c r="E629">
        <v>3</v>
      </c>
      <c r="F629">
        <v>0</v>
      </c>
      <c r="G629">
        <v>0</v>
      </c>
      <c r="H629">
        <v>0</v>
      </c>
      <c r="I629">
        <v>3</v>
      </c>
      <c r="J629">
        <v>0</v>
      </c>
      <c r="K629">
        <v>34</v>
      </c>
    </row>
    <row r="630" spans="1:11" x14ac:dyDescent="0.25">
      <c r="A630" t="s">
        <v>1626</v>
      </c>
      <c r="B630">
        <v>0</v>
      </c>
      <c r="C630">
        <v>28</v>
      </c>
      <c r="D630">
        <v>2</v>
      </c>
      <c r="E630">
        <v>1</v>
      </c>
      <c r="F630">
        <v>0</v>
      </c>
      <c r="G630">
        <v>0</v>
      </c>
      <c r="H630">
        <v>0</v>
      </c>
      <c r="I630">
        <v>16</v>
      </c>
      <c r="J630">
        <v>0</v>
      </c>
      <c r="K630">
        <v>47</v>
      </c>
    </row>
    <row r="631" spans="1:11" x14ac:dyDescent="0.25">
      <c r="A631" t="s">
        <v>1627</v>
      </c>
      <c r="B631">
        <v>0</v>
      </c>
      <c r="C631">
        <v>27</v>
      </c>
      <c r="D631">
        <v>0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0</v>
      </c>
      <c r="K631">
        <v>39</v>
      </c>
    </row>
    <row r="632" spans="1:11" x14ac:dyDescent="0.25">
      <c r="A632" t="s">
        <v>1628</v>
      </c>
      <c r="B632">
        <v>0</v>
      </c>
      <c r="C632">
        <v>30</v>
      </c>
      <c r="D632">
        <v>6</v>
      </c>
      <c r="E632">
        <v>1</v>
      </c>
      <c r="F632">
        <v>0</v>
      </c>
      <c r="G632">
        <v>0</v>
      </c>
      <c r="H632">
        <v>0</v>
      </c>
      <c r="I632">
        <v>11</v>
      </c>
      <c r="J632">
        <v>0</v>
      </c>
      <c r="K632">
        <v>48</v>
      </c>
    </row>
    <row r="633" spans="1:11" x14ac:dyDescent="0.25">
      <c r="A633" t="s">
        <v>1629</v>
      </c>
      <c r="B633">
        <v>0</v>
      </c>
      <c r="C633">
        <v>19</v>
      </c>
      <c r="D633">
        <v>4</v>
      </c>
      <c r="E633">
        <v>4</v>
      </c>
      <c r="F633">
        <v>0</v>
      </c>
      <c r="G633">
        <v>0</v>
      </c>
      <c r="H633">
        <v>0</v>
      </c>
      <c r="I633">
        <v>14</v>
      </c>
      <c r="J633">
        <v>0</v>
      </c>
      <c r="K633">
        <v>41</v>
      </c>
    </row>
    <row r="634" spans="1:11" x14ac:dyDescent="0.25">
      <c r="A634" t="s">
        <v>1630</v>
      </c>
      <c r="B634">
        <v>0</v>
      </c>
      <c r="C634">
        <v>12</v>
      </c>
      <c r="D634">
        <v>1</v>
      </c>
      <c r="E634">
        <v>45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1631</v>
      </c>
      <c r="B635">
        <v>0</v>
      </c>
      <c r="C635">
        <v>58</v>
      </c>
      <c r="D635">
        <v>0</v>
      </c>
      <c r="E635">
        <v>55</v>
      </c>
      <c r="F635">
        <v>0</v>
      </c>
      <c r="G635">
        <v>0</v>
      </c>
      <c r="H635">
        <v>0</v>
      </c>
      <c r="I635">
        <v>20</v>
      </c>
      <c r="J635">
        <v>3</v>
      </c>
      <c r="K635">
        <v>136</v>
      </c>
    </row>
    <row r="636" spans="1:11" x14ac:dyDescent="0.25">
      <c r="A636" t="s">
        <v>1632</v>
      </c>
      <c r="B636">
        <v>0</v>
      </c>
      <c r="C636">
        <v>34</v>
      </c>
      <c r="D636">
        <v>1</v>
      </c>
      <c r="E636">
        <v>43</v>
      </c>
      <c r="F636">
        <v>0</v>
      </c>
      <c r="G636">
        <v>0</v>
      </c>
      <c r="H636">
        <v>0</v>
      </c>
      <c r="I636">
        <v>2</v>
      </c>
      <c r="J636">
        <v>1</v>
      </c>
      <c r="K636">
        <v>81</v>
      </c>
    </row>
    <row r="637" spans="1:11" x14ac:dyDescent="0.25">
      <c r="A637" t="s">
        <v>1633</v>
      </c>
      <c r="B637">
        <v>0</v>
      </c>
      <c r="C637">
        <v>46</v>
      </c>
      <c r="D637">
        <v>0</v>
      </c>
      <c r="E637">
        <v>17</v>
      </c>
      <c r="F637">
        <v>1</v>
      </c>
      <c r="G637">
        <v>0</v>
      </c>
      <c r="H637">
        <v>0</v>
      </c>
      <c r="I637">
        <v>6</v>
      </c>
      <c r="J637">
        <v>0</v>
      </c>
      <c r="K637">
        <v>70</v>
      </c>
    </row>
    <row r="638" spans="1:11" x14ac:dyDescent="0.25">
      <c r="A638" t="s">
        <v>1634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1635</v>
      </c>
      <c r="B639">
        <v>0</v>
      </c>
      <c r="C639">
        <v>35</v>
      </c>
      <c r="D639">
        <v>0</v>
      </c>
      <c r="E639">
        <v>3</v>
      </c>
      <c r="F639">
        <v>0</v>
      </c>
      <c r="G639">
        <v>1</v>
      </c>
      <c r="H639">
        <v>0</v>
      </c>
      <c r="I639">
        <v>12</v>
      </c>
      <c r="J639">
        <v>0</v>
      </c>
      <c r="K639">
        <v>51</v>
      </c>
    </row>
    <row r="640" spans="1:11" x14ac:dyDescent="0.25">
      <c r="A640" t="s">
        <v>1636</v>
      </c>
      <c r="B640">
        <v>0</v>
      </c>
      <c r="C640">
        <v>54</v>
      </c>
      <c r="D640">
        <v>0</v>
      </c>
      <c r="E640">
        <v>27</v>
      </c>
      <c r="F640">
        <v>0</v>
      </c>
      <c r="G640">
        <v>1</v>
      </c>
      <c r="H640">
        <v>0</v>
      </c>
      <c r="I640">
        <v>27</v>
      </c>
      <c r="J640">
        <v>0</v>
      </c>
      <c r="K640">
        <v>109</v>
      </c>
    </row>
    <row r="641" spans="1:11" x14ac:dyDescent="0.25">
      <c r="A641" t="s">
        <v>1637</v>
      </c>
      <c r="B641">
        <v>0</v>
      </c>
      <c r="C641">
        <v>46</v>
      </c>
      <c r="D641">
        <v>0</v>
      </c>
      <c r="E641">
        <v>24</v>
      </c>
      <c r="F641">
        <v>0</v>
      </c>
      <c r="G641">
        <v>0</v>
      </c>
      <c r="H641">
        <v>0</v>
      </c>
      <c r="I641">
        <v>1</v>
      </c>
      <c r="J641">
        <v>4</v>
      </c>
      <c r="K641">
        <v>75</v>
      </c>
    </row>
    <row r="642" spans="1:11" x14ac:dyDescent="0.25">
      <c r="A642" t="s">
        <v>1638</v>
      </c>
      <c r="B642">
        <v>0</v>
      </c>
      <c r="C642">
        <v>79</v>
      </c>
      <c r="D642">
        <v>0</v>
      </c>
      <c r="E642">
        <v>1</v>
      </c>
      <c r="F642">
        <v>0</v>
      </c>
      <c r="G642">
        <v>1</v>
      </c>
      <c r="H642">
        <v>0</v>
      </c>
      <c r="I642">
        <v>4</v>
      </c>
      <c r="J642">
        <v>1</v>
      </c>
      <c r="K642">
        <v>86</v>
      </c>
    </row>
    <row r="643" spans="1:11" x14ac:dyDescent="0.25">
      <c r="A643" t="s">
        <v>1639</v>
      </c>
      <c r="B643">
        <v>0</v>
      </c>
      <c r="C643">
        <v>45</v>
      </c>
      <c r="D643">
        <v>0</v>
      </c>
      <c r="E643">
        <v>5</v>
      </c>
      <c r="F643">
        <v>0</v>
      </c>
      <c r="G643">
        <v>1</v>
      </c>
      <c r="H643">
        <v>0</v>
      </c>
      <c r="I643">
        <v>41</v>
      </c>
      <c r="J643">
        <v>0</v>
      </c>
      <c r="K643">
        <v>92</v>
      </c>
    </row>
    <row r="644" spans="1:11" x14ac:dyDescent="0.25">
      <c r="A644" t="s">
        <v>1640</v>
      </c>
      <c r="B644">
        <v>0</v>
      </c>
      <c r="C644">
        <v>52</v>
      </c>
      <c r="D644">
        <v>0</v>
      </c>
      <c r="E644">
        <v>6</v>
      </c>
      <c r="F644">
        <v>0</v>
      </c>
      <c r="G644">
        <v>0</v>
      </c>
      <c r="H644">
        <v>0</v>
      </c>
      <c r="I644">
        <v>36</v>
      </c>
      <c r="J644">
        <v>0</v>
      </c>
      <c r="K644">
        <v>94</v>
      </c>
    </row>
    <row r="645" spans="1:11" x14ac:dyDescent="0.25">
      <c r="A645" t="s">
        <v>1641</v>
      </c>
      <c r="B645">
        <v>0</v>
      </c>
      <c r="C645">
        <v>55</v>
      </c>
      <c r="D645">
        <v>0</v>
      </c>
      <c r="E645">
        <v>14</v>
      </c>
      <c r="F645">
        <v>0</v>
      </c>
      <c r="G645">
        <v>0</v>
      </c>
      <c r="H645">
        <v>0</v>
      </c>
      <c r="I645">
        <v>30</v>
      </c>
      <c r="J645">
        <v>10</v>
      </c>
      <c r="K645">
        <v>109</v>
      </c>
    </row>
    <row r="646" spans="1:11" x14ac:dyDescent="0.25">
      <c r="A646" t="s">
        <v>1642</v>
      </c>
      <c r="B646">
        <v>0</v>
      </c>
      <c r="C646">
        <v>47</v>
      </c>
      <c r="D646">
        <v>0</v>
      </c>
      <c r="E646">
        <v>18</v>
      </c>
      <c r="F646">
        <v>0</v>
      </c>
      <c r="G646">
        <v>0</v>
      </c>
      <c r="H646">
        <v>0</v>
      </c>
      <c r="I646">
        <v>47</v>
      </c>
      <c r="J646">
        <v>7</v>
      </c>
      <c r="K646">
        <v>119</v>
      </c>
    </row>
    <row r="647" spans="1:11" x14ac:dyDescent="0.25">
      <c r="A647" t="s">
        <v>1643</v>
      </c>
      <c r="B647">
        <v>0</v>
      </c>
      <c r="C647">
        <v>45</v>
      </c>
      <c r="D647">
        <v>3</v>
      </c>
      <c r="E647">
        <v>0</v>
      </c>
      <c r="F647">
        <v>1</v>
      </c>
      <c r="G647">
        <v>0</v>
      </c>
      <c r="H647">
        <v>0</v>
      </c>
      <c r="I647">
        <v>30</v>
      </c>
      <c r="J647">
        <v>1</v>
      </c>
      <c r="K647">
        <v>80</v>
      </c>
    </row>
    <row r="648" spans="1:11" x14ac:dyDescent="0.25">
      <c r="A648" t="s">
        <v>1644</v>
      </c>
      <c r="B648">
        <v>0</v>
      </c>
      <c r="C648">
        <v>26</v>
      </c>
      <c r="D648">
        <v>6</v>
      </c>
      <c r="E648">
        <v>5</v>
      </c>
      <c r="F648">
        <v>0</v>
      </c>
      <c r="G648">
        <v>1</v>
      </c>
      <c r="H648">
        <v>0</v>
      </c>
      <c r="I648">
        <v>4</v>
      </c>
      <c r="J648">
        <v>15</v>
      </c>
      <c r="K648">
        <v>57</v>
      </c>
    </row>
    <row r="649" spans="1:11" x14ac:dyDescent="0.25">
      <c r="A649" t="s">
        <v>1645</v>
      </c>
      <c r="B649">
        <v>0</v>
      </c>
      <c r="C649">
        <v>41</v>
      </c>
      <c r="D649">
        <v>0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1646</v>
      </c>
      <c r="B650">
        <v>0</v>
      </c>
      <c r="C650">
        <v>56</v>
      </c>
      <c r="D650">
        <v>0</v>
      </c>
      <c r="E650">
        <v>11</v>
      </c>
      <c r="F650">
        <v>0</v>
      </c>
      <c r="G650">
        <v>0</v>
      </c>
      <c r="H650">
        <v>0</v>
      </c>
      <c r="I650">
        <v>0</v>
      </c>
      <c r="J650">
        <v>2</v>
      </c>
      <c r="K650">
        <v>69</v>
      </c>
    </row>
    <row r="651" spans="1:11" x14ac:dyDescent="0.25">
      <c r="A651" t="s">
        <v>1647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1648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1649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1650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1651</v>
      </c>
      <c r="B655">
        <v>0</v>
      </c>
      <c r="C655">
        <v>76</v>
      </c>
      <c r="D655">
        <v>2</v>
      </c>
      <c r="E655">
        <v>17</v>
      </c>
      <c r="F655">
        <v>0</v>
      </c>
      <c r="G655">
        <v>13</v>
      </c>
      <c r="H655">
        <v>0</v>
      </c>
      <c r="I655">
        <v>37</v>
      </c>
      <c r="J655">
        <v>0</v>
      </c>
      <c r="K655">
        <v>145</v>
      </c>
    </row>
    <row r="656" spans="1:11" x14ac:dyDescent="0.25">
      <c r="A656" t="s">
        <v>1652</v>
      </c>
      <c r="B656">
        <v>0</v>
      </c>
      <c r="C656">
        <v>1</v>
      </c>
      <c r="D656">
        <v>1</v>
      </c>
      <c r="E656">
        <v>32</v>
      </c>
      <c r="F656">
        <v>0</v>
      </c>
      <c r="G656">
        <v>0</v>
      </c>
      <c r="H656">
        <v>0</v>
      </c>
      <c r="I656">
        <v>20</v>
      </c>
      <c r="J656">
        <v>0</v>
      </c>
      <c r="K656">
        <v>54</v>
      </c>
    </row>
    <row r="657" spans="1:11" x14ac:dyDescent="0.25">
      <c r="A657" t="s">
        <v>1653</v>
      </c>
      <c r="B657">
        <v>0</v>
      </c>
      <c r="C657">
        <v>78</v>
      </c>
      <c r="D657">
        <v>3</v>
      </c>
      <c r="E657">
        <v>69</v>
      </c>
      <c r="F657">
        <v>0</v>
      </c>
      <c r="G657">
        <v>0</v>
      </c>
      <c r="H657">
        <v>0</v>
      </c>
      <c r="I657">
        <v>31</v>
      </c>
      <c r="J657">
        <v>1</v>
      </c>
      <c r="K657">
        <v>182</v>
      </c>
    </row>
    <row r="658" spans="1:11" x14ac:dyDescent="0.25">
      <c r="A658" t="s">
        <v>1654</v>
      </c>
      <c r="B658">
        <v>0</v>
      </c>
      <c r="C658">
        <v>43</v>
      </c>
      <c r="D658">
        <v>5</v>
      </c>
      <c r="E658">
        <v>12</v>
      </c>
      <c r="F658">
        <v>0</v>
      </c>
      <c r="G658">
        <v>0</v>
      </c>
      <c r="H658">
        <v>0</v>
      </c>
      <c r="I658">
        <v>27</v>
      </c>
      <c r="J658">
        <v>1</v>
      </c>
      <c r="K658">
        <v>88</v>
      </c>
    </row>
    <row r="659" spans="1:11" x14ac:dyDescent="0.25">
      <c r="A659" t="s">
        <v>1655</v>
      </c>
      <c r="B659">
        <v>0</v>
      </c>
      <c r="C659">
        <v>17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7</v>
      </c>
      <c r="J659">
        <v>2</v>
      </c>
      <c r="K659">
        <v>37</v>
      </c>
    </row>
    <row r="660" spans="1:11" x14ac:dyDescent="0.25">
      <c r="A660" t="s">
        <v>1656</v>
      </c>
      <c r="B660">
        <v>0</v>
      </c>
      <c r="C660">
        <v>31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36</v>
      </c>
      <c r="J660">
        <v>0</v>
      </c>
      <c r="K660">
        <v>72</v>
      </c>
    </row>
    <row r="661" spans="1:11" x14ac:dyDescent="0.25">
      <c r="A661" t="s">
        <v>1657</v>
      </c>
      <c r="B661">
        <v>0</v>
      </c>
      <c r="C661">
        <v>58</v>
      </c>
      <c r="D661">
        <v>4</v>
      </c>
      <c r="E661">
        <v>7</v>
      </c>
      <c r="F661">
        <v>0</v>
      </c>
      <c r="G661">
        <v>1</v>
      </c>
      <c r="H661">
        <v>0</v>
      </c>
      <c r="I661">
        <v>23</v>
      </c>
      <c r="J661">
        <v>0</v>
      </c>
      <c r="K661">
        <v>93</v>
      </c>
    </row>
    <row r="662" spans="1:11" x14ac:dyDescent="0.25">
      <c r="A662" t="s">
        <v>1658</v>
      </c>
      <c r="B662">
        <v>0</v>
      </c>
      <c r="C662">
        <v>81</v>
      </c>
      <c r="D662">
        <v>1</v>
      </c>
      <c r="E662">
        <v>1</v>
      </c>
      <c r="F662">
        <v>0</v>
      </c>
      <c r="G662">
        <v>0</v>
      </c>
      <c r="H662">
        <v>0</v>
      </c>
      <c r="I662">
        <v>7</v>
      </c>
      <c r="J662">
        <v>0</v>
      </c>
      <c r="K662">
        <v>90</v>
      </c>
    </row>
    <row r="663" spans="1:11" x14ac:dyDescent="0.25">
      <c r="A663" t="s">
        <v>1659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1660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1661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1662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1663</v>
      </c>
      <c r="B667">
        <v>0</v>
      </c>
      <c r="C667">
        <v>32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0</v>
      </c>
      <c r="J667">
        <v>1</v>
      </c>
      <c r="K667">
        <v>45</v>
      </c>
    </row>
    <row r="668" spans="1:11" x14ac:dyDescent="0.25">
      <c r="A668" t="s">
        <v>1664</v>
      </c>
      <c r="B668">
        <v>0</v>
      </c>
      <c r="C668">
        <v>21</v>
      </c>
      <c r="D668">
        <v>1</v>
      </c>
      <c r="E668">
        <v>58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80</v>
      </c>
    </row>
    <row r="669" spans="1:11" x14ac:dyDescent="0.25">
      <c r="A669" t="s">
        <v>1665</v>
      </c>
      <c r="B669">
        <v>0</v>
      </c>
      <c r="C669">
        <v>15</v>
      </c>
      <c r="D669">
        <v>13</v>
      </c>
      <c r="E669">
        <v>16</v>
      </c>
      <c r="F669">
        <v>0</v>
      </c>
      <c r="G669">
        <v>0</v>
      </c>
      <c r="H669">
        <v>0</v>
      </c>
      <c r="I669">
        <v>19</v>
      </c>
      <c r="J669">
        <v>0</v>
      </c>
      <c r="K669">
        <v>63</v>
      </c>
    </row>
    <row r="670" spans="1:11" x14ac:dyDescent="0.25">
      <c r="A670" t="s">
        <v>1666</v>
      </c>
      <c r="B670">
        <v>0</v>
      </c>
      <c r="C670">
        <v>12</v>
      </c>
      <c r="D670">
        <v>32</v>
      </c>
      <c r="E670">
        <v>4</v>
      </c>
      <c r="F670">
        <v>0</v>
      </c>
      <c r="G670">
        <v>0</v>
      </c>
      <c r="H670">
        <v>0</v>
      </c>
      <c r="I670">
        <v>52</v>
      </c>
      <c r="J670">
        <v>0</v>
      </c>
      <c r="K670">
        <v>100</v>
      </c>
    </row>
    <row r="671" spans="1:11" x14ac:dyDescent="0.25">
      <c r="A671" t="s">
        <v>1667</v>
      </c>
      <c r="B671">
        <v>0</v>
      </c>
      <c r="C671">
        <v>13</v>
      </c>
      <c r="D671">
        <v>14</v>
      </c>
      <c r="E671">
        <v>43</v>
      </c>
      <c r="F671">
        <v>0</v>
      </c>
      <c r="G671">
        <v>0</v>
      </c>
      <c r="H671">
        <v>0</v>
      </c>
      <c r="I671">
        <v>19</v>
      </c>
      <c r="J671">
        <v>0</v>
      </c>
      <c r="K671">
        <v>89</v>
      </c>
    </row>
    <row r="672" spans="1:11" x14ac:dyDescent="0.25">
      <c r="A672" t="s">
        <v>1668</v>
      </c>
      <c r="B672">
        <v>0</v>
      </c>
      <c r="C672">
        <v>16</v>
      </c>
      <c r="D672">
        <v>4</v>
      </c>
      <c r="E672">
        <v>24</v>
      </c>
      <c r="F672">
        <v>0</v>
      </c>
      <c r="G672">
        <v>0</v>
      </c>
      <c r="H672">
        <v>0</v>
      </c>
      <c r="I672">
        <v>56</v>
      </c>
      <c r="J672">
        <v>1</v>
      </c>
      <c r="K672">
        <v>101</v>
      </c>
    </row>
    <row r="673" spans="1:11" x14ac:dyDescent="0.25">
      <c r="A673" t="s">
        <v>1669</v>
      </c>
      <c r="B673">
        <v>0</v>
      </c>
      <c r="C673">
        <v>47</v>
      </c>
      <c r="D673">
        <v>0</v>
      </c>
      <c r="E673">
        <v>1</v>
      </c>
      <c r="F673">
        <v>0</v>
      </c>
      <c r="G673">
        <v>0</v>
      </c>
      <c r="H673">
        <v>0</v>
      </c>
      <c r="I673">
        <v>34</v>
      </c>
      <c r="J673">
        <v>0</v>
      </c>
      <c r="K673">
        <v>82</v>
      </c>
    </row>
    <row r="674" spans="1:11" x14ac:dyDescent="0.25">
      <c r="A674" t="s">
        <v>1670</v>
      </c>
      <c r="B674">
        <v>0</v>
      </c>
      <c r="C674">
        <v>6</v>
      </c>
      <c r="D674">
        <v>2</v>
      </c>
      <c r="E674">
        <v>16</v>
      </c>
      <c r="F674">
        <v>0</v>
      </c>
      <c r="G674">
        <v>0</v>
      </c>
      <c r="H674">
        <v>0</v>
      </c>
      <c r="I674">
        <v>40</v>
      </c>
      <c r="J674">
        <v>1</v>
      </c>
      <c r="K674">
        <v>65</v>
      </c>
    </row>
    <row r="675" spans="1:11" x14ac:dyDescent="0.25">
      <c r="A675" t="s">
        <v>1671</v>
      </c>
      <c r="B675">
        <v>0</v>
      </c>
      <c r="C675">
        <v>10</v>
      </c>
      <c r="D675">
        <v>0</v>
      </c>
      <c r="E675">
        <v>12</v>
      </c>
      <c r="F675">
        <v>0</v>
      </c>
      <c r="G675">
        <v>0</v>
      </c>
      <c r="H675">
        <v>0</v>
      </c>
      <c r="I675">
        <v>14</v>
      </c>
      <c r="J675">
        <v>0</v>
      </c>
      <c r="K675">
        <v>36</v>
      </c>
    </row>
    <row r="676" spans="1:11" x14ac:dyDescent="0.25">
      <c r="A676" t="s">
        <v>1672</v>
      </c>
      <c r="B676">
        <v>0</v>
      </c>
      <c r="C676">
        <v>45</v>
      </c>
      <c r="D676">
        <v>0</v>
      </c>
      <c r="E676">
        <v>5</v>
      </c>
      <c r="F676">
        <v>0</v>
      </c>
      <c r="G676">
        <v>0</v>
      </c>
      <c r="H676">
        <v>0</v>
      </c>
      <c r="I676">
        <v>15</v>
      </c>
      <c r="J676">
        <v>3</v>
      </c>
      <c r="K676">
        <v>68</v>
      </c>
    </row>
    <row r="677" spans="1:11" x14ac:dyDescent="0.25">
      <c r="A677" t="s">
        <v>1673</v>
      </c>
      <c r="B677">
        <v>0</v>
      </c>
      <c r="C677">
        <v>46</v>
      </c>
      <c r="D677">
        <v>0</v>
      </c>
      <c r="E677">
        <v>3</v>
      </c>
      <c r="F677">
        <v>0</v>
      </c>
      <c r="G677">
        <v>0</v>
      </c>
      <c r="H677">
        <v>0</v>
      </c>
      <c r="I677">
        <v>22</v>
      </c>
      <c r="J677">
        <v>0</v>
      </c>
      <c r="K677">
        <v>71</v>
      </c>
    </row>
    <row r="678" spans="1:11" x14ac:dyDescent="0.25">
      <c r="A678" t="s">
        <v>1674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1675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1676</v>
      </c>
      <c r="B680">
        <v>0</v>
      </c>
      <c r="C680">
        <v>15</v>
      </c>
      <c r="D680">
        <v>0</v>
      </c>
      <c r="E680">
        <v>4</v>
      </c>
      <c r="F680">
        <v>0</v>
      </c>
      <c r="G680">
        <v>0</v>
      </c>
      <c r="H680">
        <v>0</v>
      </c>
      <c r="I680">
        <v>25</v>
      </c>
      <c r="J680">
        <v>0</v>
      </c>
      <c r="K680">
        <v>44</v>
      </c>
    </row>
    <row r="681" spans="1:11" x14ac:dyDescent="0.25">
      <c r="A681" t="s">
        <v>1677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1678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1679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1680</v>
      </c>
      <c r="B684">
        <v>0</v>
      </c>
      <c r="C684">
        <v>0</v>
      </c>
      <c r="D684">
        <v>7</v>
      </c>
      <c r="E684">
        <v>39</v>
      </c>
      <c r="F684">
        <v>0</v>
      </c>
      <c r="G684">
        <v>0</v>
      </c>
      <c r="H684">
        <v>0</v>
      </c>
      <c r="I684">
        <v>60</v>
      </c>
      <c r="J684">
        <v>12</v>
      </c>
      <c r="K684">
        <v>118</v>
      </c>
    </row>
    <row r="685" spans="1:11" x14ac:dyDescent="0.25">
      <c r="A685" t="s">
        <v>1681</v>
      </c>
      <c r="B685">
        <v>0</v>
      </c>
      <c r="C685">
        <v>8</v>
      </c>
      <c r="D685">
        <v>0</v>
      </c>
      <c r="E685">
        <v>51</v>
      </c>
      <c r="F685">
        <v>0</v>
      </c>
      <c r="G685">
        <v>0</v>
      </c>
      <c r="H685">
        <v>0</v>
      </c>
      <c r="I685">
        <v>11</v>
      </c>
      <c r="J685">
        <v>0</v>
      </c>
      <c r="K685">
        <v>70</v>
      </c>
    </row>
    <row r="686" spans="1:11" x14ac:dyDescent="0.25">
      <c r="A686" t="s">
        <v>1682</v>
      </c>
      <c r="B686">
        <v>0</v>
      </c>
      <c r="C686">
        <v>2</v>
      </c>
      <c r="D686">
        <v>0</v>
      </c>
      <c r="E686">
        <v>17</v>
      </c>
      <c r="F686">
        <v>0</v>
      </c>
      <c r="G686">
        <v>0</v>
      </c>
      <c r="H686">
        <v>0</v>
      </c>
      <c r="I686">
        <v>41</v>
      </c>
      <c r="J686">
        <v>0</v>
      </c>
      <c r="K686">
        <v>60</v>
      </c>
    </row>
    <row r="687" spans="1:11" x14ac:dyDescent="0.25">
      <c r="A687" t="s">
        <v>1683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36</v>
      </c>
      <c r="J687">
        <v>1</v>
      </c>
      <c r="K687">
        <v>47</v>
      </c>
    </row>
    <row r="688" spans="1:11" x14ac:dyDescent="0.25">
      <c r="A688" t="s">
        <v>1684</v>
      </c>
      <c r="B688">
        <v>0</v>
      </c>
      <c r="C688">
        <v>6</v>
      </c>
      <c r="D688">
        <v>12</v>
      </c>
      <c r="E688">
        <v>16</v>
      </c>
      <c r="F688">
        <v>5</v>
      </c>
      <c r="G688">
        <v>0</v>
      </c>
      <c r="H688">
        <v>0</v>
      </c>
      <c r="I688">
        <v>24</v>
      </c>
      <c r="J688">
        <v>0</v>
      </c>
      <c r="K688">
        <v>63</v>
      </c>
    </row>
    <row r="689" spans="1:11" x14ac:dyDescent="0.25">
      <c r="A689" t="s">
        <v>1685</v>
      </c>
      <c r="B689">
        <v>0</v>
      </c>
      <c r="C689">
        <v>13</v>
      </c>
      <c r="D689">
        <v>9</v>
      </c>
      <c r="E689">
        <v>21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49</v>
      </c>
    </row>
    <row r="690" spans="1:11" x14ac:dyDescent="0.25">
      <c r="A690" t="s">
        <v>1686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1687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1</v>
      </c>
      <c r="K691">
        <v>35</v>
      </c>
    </row>
    <row r="692" spans="1:11" x14ac:dyDescent="0.25">
      <c r="A692" t="s">
        <v>1688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1</v>
      </c>
      <c r="J692">
        <v>0</v>
      </c>
      <c r="K692">
        <v>1</v>
      </c>
    </row>
    <row r="693" spans="1:11" x14ac:dyDescent="0.25">
      <c r="A693" t="s">
        <v>1689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1690</v>
      </c>
      <c r="B694">
        <v>0</v>
      </c>
      <c r="C694">
        <v>0</v>
      </c>
      <c r="D694">
        <v>43</v>
      </c>
      <c r="E694">
        <v>32</v>
      </c>
      <c r="F694">
        <v>0</v>
      </c>
      <c r="G694">
        <v>0</v>
      </c>
      <c r="H694">
        <v>0</v>
      </c>
      <c r="I694">
        <v>69</v>
      </c>
      <c r="J694">
        <v>0</v>
      </c>
      <c r="K694">
        <v>144</v>
      </c>
    </row>
    <row r="695" spans="1:11" x14ac:dyDescent="0.25">
      <c r="A695" t="s">
        <v>1691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1692</v>
      </c>
      <c r="B696">
        <v>0</v>
      </c>
      <c r="C696">
        <v>18</v>
      </c>
      <c r="D696">
        <v>0</v>
      </c>
      <c r="E696">
        <v>4</v>
      </c>
      <c r="F696">
        <v>0</v>
      </c>
      <c r="G696">
        <v>0</v>
      </c>
      <c r="H696">
        <v>0</v>
      </c>
      <c r="I696">
        <v>25</v>
      </c>
      <c r="J696">
        <v>0</v>
      </c>
      <c r="K696">
        <v>47</v>
      </c>
    </row>
    <row r="697" spans="1:11" x14ac:dyDescent="0.25">
      <c r="A697" t="s">
        <v>1693</v>
      </c>
      <c r="B697">
        <v>0</v>
      </c>
      <c r="C697">
        <v>76</v>
      </c>
      <c r="D697">
        <v>5</v>
      </c>
      <c r="E697">
        <v>4</v>
      </c>
      <c r="F697">
        <v>0</v>
      </c>
      <c r="G697">
        <v>0</v>
      </c>
      <c r="H697">
        <v>0</v>
      </c>
      <c r="I697">
        <v>22</v>
      </c>
      <c r="J697">
        <v>0</v>
      </c>
      <c r="K697">
        <v>107</v>
      </c>
    </row>
    <row r="698" spans="1:11" x14ac:dyDescent="0.25">
      <c r="A698" t="s">
        <v>1694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1695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1696</v>
      </c>
      <c r="B700">
        <v>0</v>
      </c>
      <c r="C700">
        <v>35</v>
      </c>
      <c r="D700">
        <v>26</v>
      </c>
      <c r="E700">
        <v>21</v>
      </c>
      <c r="F700">
        <v>0</v>
      </c>
      <c r="G700">
        <v>0</v>
      </c>
      <c r="H700">
        <v>0</v>
      </c>
      <c r="I700">
        <v>21</v>
      </c>
      <c r="J700">
        <v>2</v>
      </c>
      <c r="K700">
        <v>105</v>
      </c>
    </row>
    <row r="701" spans="1:11" x14ac:dyDescent="0.25">
      <c r="A701" t="s">
        <v>1697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1698</v>
      </c>
      <c r="B702">
        <v>0</v>
      </c>
      <c r="C702">
        <v>67</v>
      </c>
      <c r="D702">
        <v>3</v>
      </c>
      <c r="E702">
        <v>4</v>
      </c>
      <c r="F702">
        <v>0</v>
      </c>
      <c r="G702">
        <v>0</v>
      </c>
      <c r="H702">
        <v>0</v>
      </c>
      <c r="I702">
        <v>24</v>
      </c>
      <c r="J702">
        <v>1</v>
      </c>
      <c r="K702">
        <v>99</v>
      </c>
    </row>
    <row r="703" spans="1:11" x14ac:dyDescent="0.25">
      <c r="A703" t="s">
        <v>1699</v>
      </c>
      <c r="B703">
        <v>0</v>
      </c>
      <c r="C703">
        <v>39</v>
      </c>
      <c r="D703">
        <v>1</v>
      </c>
      <c r="E703">
        <v>7</v>
      </c>
      <c r="F703">
        <v>1</v>
      </c>
      <c r="G703">
        <v>2</v>
      </c>
      <c r="H703">
        <v>0</v>
      </c>
      <c r="I703">
        <v>34</v>
      </c>
      <c r="J703">
        <v>1</v>
      </c>
      <c r="K703">
        <v>85</v>
      </c>
    </row>
    <row r="704" spans="1:11" x14ac:dyDescent="0.25">
      <c r="A704" t="s">
        <v>1700</v>
      </c>
      <c r="B704">
        <v>0</v>
      </c>
      <c r="C704">
        <v>10</v>
      </c>
      <c r="D704">
        <v>13</v>
      </c>
      <c r="E704">
        <v>29</v>
      </c>
      <c r="F704">
        <v>0</v>
      </c>
      <c r="G704">
        <v>0</v>
      </c>
      <c r="H704">
        <v>0</v>
      </c>
      <c r="I704">
        <v>12</v>
      </c>
      <c r="J704">
        <v>0</v>
      </c>
      <c r="K704">
        <v>64</v>
      </c>
    </row>
    <row r="705" spans="1:11" x14ac:dyDescent="0.25">
      <c r="A705" t="s">
        <v>1701</v>
      </c>
      <c r="B705">
        <v>0</v>
      </c>
      <c r="C705">
        <v>37</v>
      </c>
      <c r="D705">
        <v>6</v>
      </c>
      <c r="E705">
        <v>46</v>
      </c>
      <c r="F705">
        <v>0</v>
      </c>
      <c r="G705">
        <v>0</v>
      </c>
      <c r="H705">
        <v>0</v>
      </c>
      <c r="I705">
        <v>30</v>
      </c>
      <c r="J705">
        <v>0</v>
      </c>
      <c r="K705">
        <v>119</v>
      </c>
    </row>
    <row r="706" spans="1:11" x14ac:dyDescent="0.25">
      <c r="A706" t="s">
        <v>1702</v>
      </c>
      <c r="B706">
        <v>0</v>
      </c>
      <c r="C706">
        <v>41</v>
      </c>
      <c r="D706">
        <v>1</v>
      </c>
      <c r="E706">
        <v>7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1703</v>
      </c>
      <c r="B707">
        <v>0</v>
      </c>
      <c r="C707">
        <v>36</v>
      </c>
      <c r="D707">
        <v>3</v>
      </c>
      <c r="E707">
        <v>11</v>
      </c>
      <c r="F707">
        <v>0</v>
      </c>
      <c r="G707">
        <v>0</v>
      </c>
      <c r="H707">
        <v>0</v>
      </c>
      <c r="I707">
        <v>11</v>
      </c>
      <c r="J707">
        <v>0</v>
      </c>
      <c r="K707">
        <v>61</v>
      </c>
    </row>
    <row r="708" spans="1:11" x14ac:dyDescent="0.25">
      <c r="A708" t="s">
        <v>1704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1705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1706</v>
      </c>
      <c r="B710">
        <v>0</v>
      </c>
      <c r="C710">
        <v>34</v>
      </c>
      <c r="D710">
        <v>10</v>
      </c>
      <c r="E710">
        <v>16</v>
      </c>
      <c r="F710">
        <v>0</v>
      </c>
      <c r="G710">
        <v>2</v>
      </c>
      <c r="H710">
        <v>0</v>
      </c>
      <c r="I710">
        <v>21</v>
      </c>
      <c r="J710">
        <v>0</v>
      </c>
      <c r="K710">
        <v>83</v>
      </c>
    </row>
    <row r="711" spans="1:11" x14ac:dyDescent="0.25">
      <c r="A711" t="s">
        <v>1707</v>
      </c>
      <c r="B711">
        <v>0</v>
      </c>
      <c r="C711">
        <v>16</v>
      </c>
      <c r="D711">
        <v>7</v>
      </c>
      <c r="E711">
        <v>9</v>
      </c>
      <c r="F711">
        <v>0</v>
      </c>
      <c r="G711">
        <v>6</v>
      </c>
      <c r="H711">
        <v>0</v>
      </c>
      <c r="I711">
        <v>14</v>
      </c>
      <c r="J711">
        <v>0</v>
      </c>
      <c r="K711">
        <v>52</v>
      </c>
    </row>
    <row r="712" spans="1:11" x14ac:dyDescent="0.25">
      <c r="A712" t="s">
        <v>1708</v>
      </c>
      <c r="B712">
        <v>0</v>
      </c>
      <c r="C712">
        <v>27</v>
      </c>
      <c r="D712">
        <v>8</v>
      </c>
      <c r="E712">
        <v>58</v>
      </c>
      <c r="F712">
        <v>0</v>
      </c>
      <c r="G712">
        <v>0</v>
      </c>
      <c r="H712">
        <v>0</v>
      </c>
      <c r="I712">
        <v>87</v>
      </c>
      <c r="J712">
        <v>0</v>
      </c>
      <c r="K712">
        <v>180</v>
      </c>
    </row>
    <row r="713" spans="1:11" x14ac:dyDescent="0.25">
      <c r="A713" t="s">
        <v>1709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1710</v>
      </c>
      <c r="B714">
        <v>0</v>
      </c>
      <c r="C714">
        <v>22</v>
      </c>
      <c r="D714">
        <v>0</v>
      </c>
      <c r="E714">
        <v>2</v>
      </c>
      <c r="F714">
        <v>0</v>
      </c>
      <c r="G714">
        <v>0</v>
      </c>
      <c r="H714">
        <v>0</v>
      </c>
      <c r="I714">
        <v>29</v>
      </c>
      <c r="J714">
        <v>0</v>
      </c>
      <c r="K714">
        <v>53</v>
      </c>
    </row>
    <row r="715" spans="1:11" x14ac:dyDescent="0.25">
      <c r="A715" t="s">
        <v>1711</v>
      </c>
      <c r="B715">
        <v>0</v>
      </c>
      <c r="C715">
        <v>37</v>
      </c>
      <c r="D715">
        <v>4</v>
      </c>
      <c r="E715">
        <v>10</v>
      </c>
      <c r="F715">
        <v>2</v>
      </c>
      <c r="G715">
        <v>1</v>
      </c>
      <c r="H715">
        <v>0</v>
      </c>
      <c r="I715">
        <v>0</v>
      </c>
      <c r="J715">
        <v>3</v>
      </c>
      <c r="K715">
        <v>57</v>
      </c>
    </row>
    <row r="716" spans="1:11" x14ac:dyDescent="0.25">
      <c r="A716" t="s">
        <v>1712</v>
      </c>
      <c r="B716">
        <v>0</v>
      </c>
      <c r="C716">
        <v>10</v>
      </c>
      <c r="D716">
        <v>6</v>
      </c>
      <c r="E716">
        <v>27</v>
      </c>
      <c r="F716">
        <v>1</v>
      </c>
      <c r="G716">
        <v>0</v>
      </c>
      <c r="H716">
        <v>0</v>
      </c>
      <c r="I716">
        <v>11</v>
      </c>
      <c r="J716">
        <v>0</v>
      </c>
      <c r="K716">
        <v>55</v>
      </c>
    </row>
    <row r="717" spans="1:11" x14ac:dyDescent="0.25">
      <c r="A717" t="s">
        <v>1713</v>
      </c>
      <c r="B717">
        <v>0</v>
      </c>
      <c r="C717">
        <v>16</v>
      </c>
      <c r="D717">
        <v>10</v>
      </c>
      <c r="E717">
        <v>26</v>
      </c>
      <c r="F717">
        <v>0</v>
      </c>
      <c r="G717">
        <v>0</v>
      </c>
      <c r="H717">
        <v>0</v>
      </c>
      <c r="I717">
        <v>10</v>
      </c>
      <c r="J717">
        <v>1</v>
      </c>
      <c r="K717">
        <v>63</v>
      </c>
    </row>
    <row r="718" spans="1:11" x14ac:dyDescent="0.25">
      <c r="A718" t="s">
        <v>1714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1715</v>
      </c>
      <c r="B719">
        <v>0</v>
      </c>
      <c r="C719">
        <v>10</v>
      </c>
      <c r="D719">
        <v>4</v>
      </c>
      <c r="E719">
        <v>24</v>
      </c>
      <c r="F719">
        <v>0</v>
      </c>
      <c r="G719">
        <v>0</v>
      </c>
      <c r="H719">
        <v>0</v>
      </c>
      <c r="I719">
        <v>4</v>
      </c>
      <c r="J719">
        <v>0</v>
      </c>
      <c r="K719">
        <v>42</v>
      </c>
    </row>
    <row r="720" spans="1:11" x14ac:dyDescent="0.25">
      <c r="A720" t="s">
        <v>1716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1717</v>
      </c>
      <c r="B721">
        <v>0</v>
      </c>
      <c r="C721">
        <v>31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9</v>
      </c>
      <c r="J721">
        <v>14</v>
      </c>
      <c r="K721">
        <v>111</v>
      </c>
    </row>
    <row r="722" spans="1:11" x14ac:dyDescent="0.25">
      <c r="A722" t="s">
        <v>1718</v>
      </c>
      <c r="B722">
        <v>0</v>
      </c>
      <c r="C722">
        <v>5</v>
      </c>
      <c r="D722">
        <v>0</v>
      </c>
      <c r="E722">
        <v>37</v>
      </c>
      <c r="F722">
        <v>0</v>
      </c>
      <c r="G722">
        <v>0</v>
      </c>
      <c r="H722">
        <v>0</v>
      </c>
      <c r="I722">
        <v>16</v>
      </c>
      <c r="J722">
        <v>0</v>
      </c>
      <c r="K722">
        <v>58</v>
      </c>
    </row>
    <row r="723" spans="1:11" x14ac:dyDescent="0.25">
      <c r="A723" t="s">
        <v>1719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1720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2</v>
      </c>
      <c r="J724">
        <v>0</v>
      </c>
      <c r="K724">
        <v>135</v>
      </c>
    </row>
    <row r="725" spans="1:11" x14ac:dyDescent="0.25">
      <c r="A725" t="s">
        <v>1721</v>
      </c>
      <c r="B725">
        <v>0</v>
      </c>
      <c r="C725">
        <v>5</v>
      </c>
      <c r="D725">
        <v>0</v>
      </c>
      <c r="E725">
        <v>5</v>
      </c>
      <c r="F725">
        <v>0</v>
      </c>
      <c r="G725">
        <v>0</v>
      </c>
      <c r="H725">
        <v>0</v>
      </c>
      <c r="I725">
        <v>75</v>
      </c>
      <c r="J725">
        <v>0</v>
      </c>
      <c r="K725">
        <v>85</v>
      </c>
    </row>
    <row r="726" spans="1:11" x14ac:dyDescent="0.25">
      <c r="A726" t="s">
        <v>1722</v>
      </c>
      <c r="B726">
        <v>0</v>
      </c>
      <c r="C726">
        <v>47</v>
      </c>
      <c r="D726">
        <v>0</v>
      </c>
      <c r="E726">
        <v>10</v>
      </c>
      <c r="F726">
        <v>1</v>
      </c>
      <c r="G726">
        <v>1</v>
      </c>
      <c r="H726">
        <v>0</v>
      </c>
      <c r="I726">
        <v>88</v>
      </c>
      <c r="J726">
        <v>0</v>
      </c>
      <c r="K726">
        <v>147</v>
      </c>
    </row>
    <row r="727" spans="1:11" x14ac:dyDescent="0.25">
      <c r="A727" t="s">
        <v>1723</v>
      </c>
      <c r="B727">
        <v>0</v>
      </c>
      <c r="C727">
        <v>11</v>
      </c>
      <c r="D727">
        <v>0</v>
      </c>
      <c r="E727">
        <v>59</v>
      </c>
      <c r="F727">
        <v>0</v>
      </c>
      <c r="G727">
        <v>0</v>
      </c>
      <c r="H727">
        <v>0</v>
      </c>
      <c r="I727">
        <v>29</v>
      </c>
      <c r="J727">
        <v>3</v>
      </c>
      <c r="K727">
        <v>102</v>
      </c>
    </row>
    <row r="728" spans="1:11" x14ac:dyDescent="0.25">
      <c r="A728" t="s">
        <v>1724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49</v>
      </c>
      <c r="J728">
        <v>0</v>
      </c>
      <c r="K728">
        <v>85</v>
      </c>
    </row>
    <row r="729" spans="1:11" x14ac:dyDescent="0.25">
      <c r="A729" t="s">
        <v>1725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1726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1727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1728</v>
      </c>
      <c r="B732">
        <v>0</v>
      </c>
      <c r="C732">
        <v>66</v>
      </c>
      <c r="D732">
        <v>19</v>
      </c>
      <c r="E732">
        <v>35</v>
      </c>
      <c r="F732">
        <v>0</v>
      </c>
      <c r="G732">
        <v>2</v>
      </c>
      <c r="H732">
        <v>0</v>
      </c>
      <c r="I732">
        <v>14</v>
      </c>
      <c r="J732">
        <v>0</v>
      </c>
      <c r="K732">
        <v>136</v>
      </c>
    </row>
    <row r="733" spans="1:11" x14ac:dyDescent="0.25">
      <c r="A733" t="s">
        <v>1729</v>
      </c>
      <c r="B733">
        <v>0</v>
      </c>
      <c r="C733">
        <v>14</v>
      </c>
      <c r="D733">
        <v>1</v>
      </c>
      <c r="E733">
        <v>27</v>
      </c>
      <c r="F733">
        <v>0</v>
      </c>
      <c r="G733">
        <v>0</v>
      </c>
      <c r="H733">
        <v>0</v>
      </c>
      <c r="I733">
        <v>67</v>
      </c>
      <c r="J733">
        <v>0</v>
      </c>
      <c r="K733">
        <v>109</v>
      </c>
    </row>
    <row r="734" spans="1:11" x14ac:dyDescent="0.25">
      <c r="A734" t="s">
        <v>1730</v>
      </c>
      <c r="B734">
        <v>0</v>
      </c>
      <c r="C734">
        <v>20</v>
      </c>
      <c r="D734">
        <v>6</v>
      </c>
      <c r="E734">
        <v>7</v>
      </c>
      <c r="F734">
        <v>0</v>
      </c>
      <c r="G734">
        <v>0</v>
      </c>
      <c r="H734">
        <v>0</v>
      </c>
      <c r="I734">
        <v>74</v>
      </c>
      <c r="J734">
        <v>0</v>
      </c>
      <c r="K734">
        <v>107</v>
      </c>
    </row>
    <row r="735" spans="1:11" x14ac:dyDescent="0.25">
      <c r="A735" t="s">
        <v>1731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1732</v>
      </c>
      <c r="B736">
        <v>0</v>
      </c>
      <c r="C736">
        <v>49</v>
      </c>
      <c r="D736">
        <v>18</v>
      </c>
      <c r="E736">
        <v>5</v>
      </c>
      <c r="F736">
        <v>0</v>
      </c>
      <c r="G736">
        <v>0</v>
      </c>
      <c r="H736">
        <v>0</v>
      </c>
      <c r="I736">
        <v>67</v>
      </c>
      <c r="J736">
        <v>0</v>
      </c>
      <c r="K736">
        <v>139</v>
      </c>
    </row>
    <row r="737" spans="1:11" x14ac:dyDescent="0.25">
      <c r="A737" t="s">
        <v>1733</v>
      </c>
      <c r="B737">
        <v>0</v>
      </c>
      <c r="C737">
        <v>138</v>
      </c>
      <c r="D737">
        <v>1</v>
      </c>
      <c r="E737">
        <v>0</v>
      </c>
      <c r="F737">
        <v>0</v>
      </c>
      <c r="G737">
        <v>18</v>
      </c>
      <c r="H737">
        <v>0</v>
      </c>
      <c r="I737">
        <v>0</v>
      </c>
      <c r="J737">
        <v>0</v>
      </c>
      <c r="K737">
        <v>157</v>
      </c>
    </row>
    <row r="738" spans="1:11" x14ac:dyDescent="0.25">
      <c r="A738" t="s">
        <v>1734</v>
      </c>
      <c r="B738">
        <v>0</v>
      </c>
      <c r="C738">
        <v>250</v>
      </c>
      <c r="D738">
        <v>0</v>
      </c>
      <c r="E738">
        <v>0</v>
      </c>
      <c r="F738">
        <v>2</v>
      </c>
      <c r="G738">
        <v>4</v>
      </c>
      <c r="H738">
        <v>0</v>
      </c>
      <c r="I738">
        <v>1</v>
      </c>
      <c r="J738">
        <v>0</v>
      </c>
      <c r="K738">
        <v>257</v>
      </c>
    </row>
    <row r="739" spans="1:11" x14ac:dyDescent="0.25">
      <c r="A739" t="s">
        <v>1735</v>
      </c>
      <c r="B739">
        <v>0</v>
      </c>
      <c r="C739">
        <v>175</v>
      </c>
      <c r="D739">
        <v>3</v>
      </c>
      <c r="E739">
        <v>0</v>
      </c>
      <c r="F739">
        <v>1</v>
      </c>
      <c r="G739">
        <v>2</v>
      </c>
      <c r="H739">
        <v>0</v>
      </c>
      <c r="I739">
        <v>69</v>
      </c>
      <c r="J739">
        <v>0</v>
      </c>
      <c r="K739">
        <v>250</v>
      </c>
    </row>
    <row r="740" spans="1:11" x14ac:dyDescent="0.25">
      <c r="A740" t="s">
        <v>1736</v>
      </c>
      <c r="B740">
        <v>0</v>
      </c>
      <c r="C740">
        <v>57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30</v>
      </c>
      <c r="J740">
        <v>0</v>
      </c>
      <c r="K740">
        <v>87</v>
      </c>
    </row>
    <row r="741" spans="1:11" x14ac:dyDescent="0.25">
      <c r="A741" t="s">
        <v>1737</v>
      </c>
      <c r="B741">
        <v>0</v>
      </c>
      <c r="C741">
        <v>56</v>
      </c>
      <c r="D741">
        <v>3</v>
      </c>
      <c r="E741">
        <v>0</v>
      </c>
      <c r="F741">
        <v>0</v>
      </c>
      <c r="G741">
        <v>0</v>
      </c>
      <c r="H741">
        <v>0</v>
      </c>
      <c r="I741">
        <v>25</v>
      </c>
      <c r="J741">
        <v>0</v>
      </c>
      <c r="K741">
        <v>84</v>
      </c>
    </row>
    <row r="742" spans="1:11" x14ac:dyDescent="0.25">
      <c r="A742" t="s">
        <v>1738</v>
      </c>
      <c r="B742">
        <v>0</v>
      </c>
      <c r="C742">
        <v>104</v>
      </c>
      <c r="D742">
        <v>1</v>
      </c>
      <c r="E742">
        <v>0</v>
      </c>
      <c r="F742">
        <v>0</v>
      </c>
      <c r="G742">
        <v>1</v>
      </c>
      <c r="H742">
        <v>0</v>
      </c>
      <c r="I742">
        <v>19</v>
      </c>
      <c r="J742">
        <v>0</v>
      </c>
      <c r="K742">
        <v>125</v>
      </c>
    </row>
    <row r="743" spans="1:11" x14ac:dyDescent="0.25">
      <c r="A743" t="s">
        <v>1739</v>
      </c>
      <c r="B743">
        <v>0</v>
      </c>
      <c r="C743">
        <v>47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46</v>
      </c>
      <c r="J743">
        <v>0</v>
      </c>
      <c r="K743">
        <v>93</v>
      </c>
    </row>
    <row r="744" spans="1:11" x14ac:dyDescent="0.25">
      <c r="A744" t="s">
        <v>1740</v>
      </c>
      <c r="B744">
        <v>0</v>
      </c>
      <c r="C744">
        <v>25</v>
      </c>
      <c r="D744">
        <v>1</v>
      </c>
      <c r="E744">
        <v>9</v>
      </c>
      <c r="F744">
        <v>0</v>
      </c>
      <c r="G744">
        <v>0</v>
      </c>
      <c r="H744">
        <v>0</v>
      </c>
      <c r="I744">
        <v>37</v>
      </c>
      <c r="J744">
        <v>0</v>
      </c>
      <c r="K744">
        <v>72</v>
      </c>
    </row>
    <row r="745" spans="1:11" x14ac:dyDescent="0.25">
      <c r="A745" t="s">
        <v>1741</v>
      </c>
      <c r="B745">
        <v>0</v>
      </c>
      <c r="C745">
        <v>28</v>
      </c>
      <c r="D745">
        <v>1</v>
      </c>
      <c r="E745">
        <v>4</v>
      </c>
      <c r="F745">
        <v>0</v>
      </c>
      <c r="G745">
        <v>0</v>
      </c>
      <c r="H745">
        <v>0</v>
      </c>
      <c r="I745">
        <v>20</v>
      </c>
      <c r="J745">
        <v>0</v>
      </c>
      <c r="K745">
        <v>53</v>
      </c>
    </row>
    <row r="746" spans="1:11" x14ac:dyDescent="0.25">
      <c r="A746" t="s">
        <v>1742</v>
      </c>
      <c r="B746">
        <v>0</v>
      </c>
      <c r="C746">
        <v>36</v>
      </c>
      <c r="D746">
        <v>0</v>
      </c>
      <c r="E746">
        <v>0</v>
      </c>
      <c r="F746">
        <v>0</v>
      </c>
      <c r="G746">
        <v>2</v>
      </c>
      <c r="H746">
        <v>0</v>
      </c>
      <c r="I746">
        <v>27</v>
      </c>
      <c r="J746">
        <v>0</v>
      </c>
      <c r="K746">
        <v>65</v>
      </c>
    </row>
    <row r="747" spans="1:11" x14ac:dyDescent="0.25">
      <c r="A747" t="s">
        <v>1743</v>
      </c>
      <c r="B747">
        <v>0</v>
      </c>
      <c r="C747">
        <v>40</v>
      </c>
      <c r="D747">
        <v>1</v>
      </c>
      <c r="E747">
        <v>49</v>
      </c>
      <c r="F747">
        <v>0</v>
      </c>
      <c r="G747">
        <v>2</v>
      </c>
      <c r="H747">
        <v>0</v>
      </c>
      <c r="I747">
        <v>152</v>
      </c>
      <c r="J747">
        <v>1</v>
      </c>
      <c r="K747">
        <v>245</v>
      </c>
    </row>
    <row r="748" spans="1:11" x14ac:dyDescent="0.25">
      <c r="A748" t="s">
        <v>1744</v>
      </c>
      <c r="B748">
        <v>0</v>
      </c>
      <c r="C748">
        <v>21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13</v>
      </c>
      <c r="J748">
        <v>0</v>
      </c>
      <c r="K748">
        <v>36</v>
      </c>
    </row>
    <row r="749" spans="1:11" x14ac:dyDescent="0.25">
      <c r="A749" t="s">
        <v>1745</v>
      </c>
      <c r="B749">
        <v>0</v>
      </c>
      <c r="C749">
        <v>75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8</v>
      </c>
      <c r="J749">
        <v>0</v>
      </c>
      <c r="K749">
        <v>84</v>
      </c>
    </row>
    <row r="750" spans="1:11" x14ac:dyDescent="0.25">
      <c r="A750" t="s">
        <v>1746</v>
      </c>
      <c r="B750">
        <v>0</v>
      </c>
      <c r="C750">
        <v>43</v>
      </c>
      <c r="D750">
        <v>0</v>
      </c>
      <c r="E750">
        <v>0</v>
      </c>
      <c r="F750">
        <v>5</v>
      </c>
      <c r="G750">
        <v>1</v>
      </c>
      <c r="H750">
        <v>0</v>
      </c>
      <c r="I750">
        <v>12</v>
      </c>
      <c r="J750">
        <v>1</v>
      </c>
      <c r="K750">
        <v>62</v>
      </c>
    </row>
    <row r="751" spans="1:11" x14ac:dyDescent="0.25">
      <c r="A751" t="s">
        <v>1747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1748</v>
      </c>
      <c r="B752">
        <v>0</v>
      </c>
      <c r="C752">
        <v>75</v>
      </c>
      <c r="D752">
        <v>1</v>
      </c>
      <c r="E752">
        <v>1</v>
      </c>
      <c r="F752">
        <v>0</v>
      </c>
      <c r="G752">
        <v>1</v>
      </c>
      <c r="H752">
        <v>0</v>
      </c>
      <c r="I752">
        <v>19</v>
      </c>
      <c r="J752">
        <v>1</v>
      </c>
      <c r="K752">
        <v>98</v>
      </c>
    </row>
    <row r="753" spans="1:11" x14ac:dyDescent="0.25">
      <c r="A753" t="s">
        <v>1749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1750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1751</v>
      </c>
      <c r="B755">
        <v>0</v>
      </c>
      <c r="C755">
        <v>3</v>
      </c>
      <c r="D755">
        <v>4</v>
      </c>
      <c r="E755">
        <v>1</v>
      </c>
      <c r="F755">
        <v>0</v>
      </c>
      <c r="G755">
        <v>0</v>
      </c>
      <c r="H755">
        <v>0</v>
      </c>
      <c r="I755">
        <v>110</v>
      </c>
      <c r="J755">
        <v>0</v>
      </c>
      <c r="K755">
        <v>118</v>
      </c>
    </row>
    <row r="756" spans="1:11" x14ac:dyDescent="0.25">
      <c r="A756" t="s">
        <v>1752</v>
      </c>
      <c r="B756">
        <v>0</v>
      </c>
      <c r="C756">
        <v>63</v>
      </c>
      <c r="D756">
        <v>3</v>
      </c>
      <c r="E756">
        <v>7</v>
      </c>
      <c r="F756">
        <v>0</v>
      </c>
      <c r="G756">
        <v>0</v>
      </c>
      <c r="H756">
        <v>0</v>
      </c>
      <c r="I756">
        <v>68</v>
      </c>
      <c r="J756">
        <v>0</v>
      </c>
      <c r="K756">
        <v>141</v>
      </c>
    </row>
    <row r="757" spans="1:11" x14ac:dyDescent="0.25">
      <c r="A757" t="s">
        <v>1753</v>
      </c>
      <c r="B757">
        <v>0</v>
      </c>
      <c r="C757">
        <v>7</v>
      </c>
      <c r="D757">
        <v>17</v>
      </c>
      <c r="E757">
        <v>130</v>
      </c>
      <c r="F757">
        <v>0</v>
      </c>
      <c r="G757">
        <v>0</v>
      </c>
      <c r="H757">
        <v>0</v>
      </c>
      <c r="I757">
        <v>94</v>
      </c>
      <c r="J757">
        <v>13</v>
      </c>
      <c r="K757">
        <v>261</v>
      </c>
    </row>
    <row r="758" spans="1:11" x14ac:dyDescent="0.25">
      <c r="A758" t="s">
        <v>1754</v>
      </c>
      <c r="B758">
        <v>0</v>
      </c>
      <c r="C758">
        <v>34</v>
      </c>
      <c r="D758">
        <v>3</v>
      </c>
      <c r="E758">
        <v>2</v>
      </c>
      <c r="F758">
        <v>0</v>
      </c>
      <c r="G758">
        <v>0</v>
      </c>
      <c r="H758">
        <v>0</v>
      </c>
      <c r="I758">
        <v>58</v>
      </c>
      <c r="J758">
        <v>0</v>
      </c>
      <c r="K758">
        <v>97</v>
      </c>
    </row>
    <row r="759" spans="1:11" x14ac:dyDescent="0.25">
      <c r="A759" t="s">
        <v>1755</v>
      </c>
      <c r="B759">
        <v>0</v>
      </c>
      <c r="C759">
        <v>0</v>
      </c>
      <c r="D759">
        <v>23</v>
      </c>
      <c r="E759">
        <v>44</v>
      </c>
      <c r="F759">
        <v>0</v>
      </c>
      <c r="G759">
        <v>0</v>
      </c>
      <c r="H759">
        <v>0</v>
      </c>
      <c r="I759">
        <v>97</v>
      </c>
      <c r="J759">
        <v>0</v>
      </c>
      <c r="K759">
        <v>164</v>
      </c>
    </row>
    <row r="760" spans="1:11" x14ac:dyDescent="0.25">
      <c r="A760" t="s">
        <v>1756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1757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1758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1759</v>
      </c>
      <c r="B763">
        <v>0</v>
      </c>
      <c r="C763">
        <v>8</v>
      </c>
      <c r="D763">
        <v>0</v>
      </c>
      <c r="E763">
        <v>26</v>
      </c>
      <c r="F763">
        <v>0</v>
      </c>
      <c r="G763">
        <v>0</v>
      </c>
      <c r="H763">
        <v>0</v>
      </c>
      <c r="I763">
        <v>27</v>
      </c>
      <c r="J763">
        <v>0</v>
      </c>
      <c r="K763">
        <v>61</v>
      </c>
    </row>
    <row r="764" spans="1:11" x14ac:dyDescent="0.25">
      <c r="A764" t="s">
        <v>1760</v>
      </c>
      <c r="B764">
        <v>0</v>
      </c>
      <c r="C764">
        <v>2</v>
      </c>
      <c r="D764">
        <v>1</v>
      </c>
      <c r="E764">
        <v>10</v>
      </c>
      <c r="F764">
        <v>0</v>
      </c>
      <c r="G764">
        <v>0</v>
      </c>
      <c r="H764">
        <v>0</v>
      </c>
      <c r="I764">
        <v>28</v>
      </c>
      <c r="J764">
        <v>0</v>
      </c>
      <c r="K764">
        <v>41</v>
      </c>
    </row>
    <row r="765" spans="1:11" x14ac:dyDescent="0.25">
      <c r="A765" t="s">
        <v>1761</v>
      </c>
      <c r="B765">
        <v>0</v>
      </c>
      <c r="C765">
        <v>6</v>
      </c>
      <c r="D765">
        <v>1</v>
      </c>
      <c r="E765">
        <v>49</v>
      </c>
      <c r="F765">
        <v>0</v>
      </c>
      <c r="G765">
        <v>0</v>
      </c>
      <c r="H765">
        <v>0</v>
      </c>
      <c r="I765">
        <v>7</v>
      </c>
      <c r="J765">
        <v>0</v>
      </c>
      <c r="K765">
        <v>63</v>
      </c>
    </row>
    <row r="766" spans="1:11" x14ac:dyDescent="0.25">
      <c r="A766" t="s">
        <v>1762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1763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1764</v>
      </c>
      <c r="B768">
        <v>0</v>
      </c>
      <c r="C768">
        <v>3</v>
      </c>
      <c r="D768">
        <v>0</v>
      </c>
      <c r="E768">
        <v>6</v>
      </c>
      <c r="F768">
        <v>0</v>
      </c>
      <c r="G768">
        <v>0</v>
      </c>
      <c r="H768">
        <v>0</v>
      </c>
      <c r="I768">
        <v>85</v>
      </c>
      <c r="J768">
        <v>1</v>
      </c>
      <c r="K768">
        <v>95</v>
      </c>
    </row>
    <row r="769" spans="1:11" x14ac:dyDescent="0.25">
      <c r="A769" t="s">
        <v>1765</v>
      </c>
      <c r="B769">
        <v>0</v>
      </c>
      <c r="C769">
        <v>39</v>
      </c>
      <c r="D769">
        <v>21</v>
      </c>
      <c r="E769">
        <v>0</v>
      </c>
      <c r="F769">
        <v>3</v>
      </c>
      <c r="G769">
        <v>8</v>
      </c>
      <c r="H769">
        <v>0</v>
      </c>
      <c r="I769">
        <v>11</v>
      </c>
      <c r="J769">
        <v>0</v>
      </c>
      <c r="K769">
        <v>82</v>
      </c>
    </row>
    <row r="770" spans="1:11" x14ac:dyDescent="0.25">
      <c r="A770" t="s">
        <v>1766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3</v>
      </c>
      <c r="J770">
        <v>16</v>
      </c>
      <c r="K770">
        <v>31</v>
      </c>
    </row>
    <row r="771" spans="1:11" x14ac:dyDescent="0.25">
      <c r="A771" t="s">
        <v>1767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1768</v>
      </c>
      <c r="B772">
        <v>0</v>
      </c>
      <c r="C772">
        <v>58</v>
      </c>
      <c r="D772">
        <v>1</v>
      </c>
      <c r="E772">
        <v>48</v>
      </c>
      <c r="F772">
        <v>0</v>
      </c>
      <c r="G772">
        <v>2</v>
      </c>
      <c r="H772">
        <v>0</v>
      </c>
      <c r="I772">
        <v>18</v>
      </c>
      <c r="J772">
        <v>0</v>
      </c>
      <c r="K772">
        <v>127</v>
      </c>
    </row>
    <row r="773" spans="1:11" x14ac:dyDescent="0.25">
      <c r="A773" t="s">
        <v>1769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8</v>
      </c>
      <c r="J773">
        <v>0</v>
      </c>
      <c r="K773">
        <v>88</v>
      </c>
    </row>
    <row r="774" spans="1:11" x14ac:dyDescent="0.25">
      <c r="A774" t="s">
        <v>1770</v>
      </c>
      <c r="B774">
        <v>0</v>
      </c>
      <c r="C774">
        <v>35</v>
      </c>
      <c r="D774">
        <v>5</v>
      </c>
      <c r="E774">
        <v>33</v>
      </c>
      <c r="F774">
        <v>0</v>
      </c>
      <c r="G774">
        <v>0</v>
      </c>
      <c r="H774">
        <v>0</v>
      </c>
      <c r="I774">
        <v>27</v>
      </c>
      <c r="J774">
        <v>0</v>
      </c>
      <c r="K774">
        <v>100</v>
      </c>
    </row>
    <row r="775" spans="1:11" x14ac:dyDescent="0.25">
      <c r="A775" t="s">
        <v>1771</v>
      </c>
      <c r="B775">
        <v>0</v>
      </c>
      <c r="C775">
        <v>86</v>
      </c>
      <c r="D775">
        <v>5</v>
      </c>
      <c r="E775">
        <v>12</v>
      </c>
      <c r="F775">
        <v>0</v>
      </c>
      <c r="G775">
        <v>2</v>
      </c>
      <c r="H775">
        <v>0</v>
      </c>
      <c r="I775">
        <v>10</v>
      </c>
      <c r="J775">
        <v>1</v>
      </c>
      <c r="K775">
        <v>116</v>
      </c>
    </row>
    <row r="776" spans="1:11" x14ac:dyDescent="0.25">
      <c r="A776" t="s">
        <v>1772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1773</v>
      </c>
      <c r="B777">
        <v>0</v>
      </c>
      <c r="C777">
        <v>3</v>
      </c>
      <c r="D777">
        <v>2</v>
      </c>
      <c r="E777">
        <v>19</v>
      </c>
      <c r="F777">
        <v>0</v>
      </c>
      <c r="G777">
        <v>0</v>
      </c>
      <c r="H777">
        <v>0</v>
      </c>
      <c r="I777">
        <v>25</v>
      </c>
      <c r="J777">
        <v>0</v>
      </c>
      <c r="K777">
        <v>49</v>
      </c>
    </row>
    <row r="778" spans="1:11" x14ac:dyDescent="0.25">
      <c r="A778" t="s">
        <v>1774</v>
      </c>
      <c r="B778">
        <v>0</v>
      </c>
      <c r="C778">
        <v>6</v>
      </c>
      <c r="D778">
        <v>1</v>
      </c>
      <c r="E778">
        <v>33</v>
      </c>
      <c r="F778">
        <v>0</v>
      </c>
      <c r="G778">
        <v>0</v>
      </c>
      <c r="H778">
        <v>0</v>
      </c>
      <c r="I778">
        <v>16</v>
      </c>
      <c r="J778">
        <v>0</v>
      </c>
      <c r="K778">
        <v>56</v>
      </c>
    </row>
    <row r="779" spans="1:11" x14ac:dyDescent="0.25">
      <c r="A779" t="s">
        <v>1775</v>
      </c>
      <c r="B779">
        <v>0</v>
      </c>
      <c r="C779">
        <v>12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14</v>
      </c>
      <c r="J779">
        <v>0</v>
      </c>
      <c r="K779">
        <v>48</v>
      </c>
    </row>
    <row r="780" spans="1:11" x14ac:dyDescent="0.25">
      <c r="A780" t="s">
        <v>1776</v>
      </c>
      <c r="B780">
        <v>0</v>
      </c>
      <c r="C780">
        <v>16</v>
      </c>
      <c r="D780">
        <v>6</v>
      </c>
      <c r="E780">
        <v>4</v>
      </c>
      <c r="F780">
        <v>0</v>
      </c>
      <c r="G780">
        <v>0</v>
      </c>
      <c r="H780">
        <v>0</v>
      </c>
      <c r="I780">
        <v>23</v>
      </c>
      <c r="J780">
        <v>0</v>
      </c>
      <c r="K780">
        <v>49</v>
      </c>
    </row>
    <row r="781" spans="1:11" x14ac:dyDescent="0.25">
      <c r="A781" t="s">
        <v>1777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1778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1779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1780</v>
      </c>
      <c r="B784">
        <v>0</v>
      </c>
      <c r="C784">
        <v>30</v>
      </c>
      <c r="D784">
        <v>4</v>
      </c>
      <c r="E784">
        <v>25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1781</v>
      </c>
      <c r="B785">
        <v>0</v>
      </c>
      <c r="C785">
        <v>18</v>
      </c>
      <c r="D785">
        <v>23</v>
      </c>
      <c r="E785">
        <v>24</v>
      </c>
      <c r="F785">
        <v>0</v>
      </c>
      <c r="G785">
        <v>0</v>
      </c>
      <c r="H785">
        <v>0</v>
      </c>
      <c r="I785">
        <v>62</v>
      </c>
      <c r="J785">
        <v>0</v>
      </c>
      <c r="K785">
        <v>127</v>
      </c>
    </row>
    <row r="786" spans="1:11" x14ac:dyDescent="0.25">
      <c r="A786" t="s">
        <v>1782</v>
      </c>
      <c r="B786">
        <v>0</v>
      </c>
      <c r="C786">
        <v>67</v>
      </c>
      <c r="D786">
        <v>11</v>
      </c>
      <c r="E786">
        <v>25</v>
      </c>
      <c r="F786">
        <v>0</v>
      </c>
      <c r="G786">
        <v>0</v>
      </c>
      <c r="H786">
        <v>0</v>
      </c>
      <c r="I786">
        <v>10</v>
      </c>
      <c r="J786">
        <v>0</v>
      </c>
      <c r="K786">
        <v>113</v>
      </c>
    </row>
    <row r="787" spans="1:11" x14ac:dyDescent="0.25">
      <c r="A787" t="s">
        <v>1783</v>
      </c>
      <c r="B787">
        <v>0</v>
      </c>
      <c r="C787">
        <v>78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0</v>
      </c>
      <c r="J787">
        <v>0</v>
      </c>
      <c r="K787">
        <v>133</v>
      </c>
    </row>
    <row r="788" spans="1:11" x14ac:dyDescent="0.25">
      <c r="A788" t="s">
        <v>1784</v>
      </c>
      <c r="B788">
        <v>0</v>
      </c>
      <c r="C788">
        <v>56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119</v>
      </c>
    </row>
    <row r="789" spans="1:11" x14ac:dyDescent="0.25">
      <c r="A789" t="s">
        <v>1785</v>
      </c>
      <c r="B789">
        <v>0</v>
      </c>
      <c r="C789">
        <v>88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2</v>
      </c>
      <c r="J789">
        <v>1</v>
      </c>
      <c r="K789">
        <v>135</v>
      </c>
    </row>
    <row r="790" spans="1:11" x14ac:dyDescent="0.25">
      <c r="A790" t="s">
        <v>1786</v>
      </c>
      <c r="B790">
        <v>0</v>
      </c>
      <c r="C790">
        <v>29</v>
      </c>
      <c r="D790">
        <v>2</v>
      </c>
      <c r="E790">
        <v>0</v>
      </c>
      <c r="F790">
        <v>0</v>
      </c>
      <c r="G790">
        <v>0</v>
      </c>
      <c r="H790">
        <v>0</v>
      </c>
      <c r="I790">
        <v>1</v>
      </c>
      <c r="J790">
        <v>1</v>
      </c>
      <c r="K790">
        <v>33</v>
      </c>
    </row>
    <row r="791" spans="1:11" x14ac:dyDescent="0.25">
      <c r="A791" t="s">
        <v>1787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1788</v>
      </c>
      <c r="B792">
        <v>0</v>
      </c>
      <c r="C792">
        <v>33</v>
      </c>
      <c r="D792">
        <v>5</v>
      </c>
      <c r="E792">
        <v>0</v>
      </c>
      <c r="F792">
        <v>0</v>
      </c>
      <c r="G792">
        <v>0</v>
      </c>
      <c r="H792">
        <v>0</v>
      </c>
      <c r="I792">
        <v>4</v>
      </c>
      <c r="J792">
        <v>0</v>
      </c>
      <c r="K792">
        <v>42</v>
      </c>
    </row>
    <row r="793" spans="1:11" x14ac:dyDescent="0.25">
      <c r="A793" t="s">
        <v>1789</v>
      </c>
      <c r="B793">
        <v>0</v>
      </c>
      <c r="C793">
        <v>38</v>
      </c>
      <c r="D793">
        <v>6</v>
      </c>
      <c r="E793">
        <v>0</v>
      </c>
      <c r="F793">
        <v>0</v>
      </c>
      <c r="G793">
        <v>0</v>
      </c>
      <c r="H793">
        <v>0</v>
      </c>
      <c r="I793">
        <v>5</v>
      </c>
      <c r="J793">
        <v>2</v>
      </c>
      <c r="K793">
        <v>51</v>
      </c>
    </row>
    <row r="794" spans="1:11" x14ac:dyDescent="0.25">
      <c r="A794" t="s">
        <v>1790</v>
      </c>
      <c r="B794">
        <v>0</v>
      </c>
      <c r="C794">
        <v>37</v>
      </c>
      <c r="D794">
        <v>5</v>
      </c>
      <c r="E794">
        <v>1</v>
      </c>
      <c r="F794">
        <v>1</v>
      </c>
      <c r="G794">
        <v>0</v>
      </c>
      <c r="H794">
        <v>0</v>
      </c>
      <c r="I794">
        <v>5</v>
      </c>
      <c r="J794">
        <v>0</v>
      </c>
      <c r="K794">
        <v>49</v>
      </c>
    </row>
    <row r="795" spans="1:11" x14ac:dyDescent="0.25">
      <c r="A795" t="s">
        <v>1791</v>
      </c>
      <c r="B795">
        <v>0</v>
      </c>
      <c r="C795">
        <v>38</v>
      </c>
      <c r="D795">
        <v>8</v>
      </c>
      <c r="E795">
        <v>1</v>
      </c>
      <c r="F795">
        <v>0</v>
      </c>
      <c r="G795">
        <v>0</v>
      </c>
      <c r="H795">
        <v>0</v>
      </c>
      <c r="I795">
        <v>3</v>
      </c>
      <c r="J795">
        <v>0</v>
      </c>
      <c r="K795">
        <v>50</v>
      </c>
    </row>
    <row r="796" spans="1:11" x14ac:dyDescent="0.25">
      <c r="A796" t="s">
        <v>1792</v>
      </c>
      <c r="B796">
        <v>0</v>
      </c>
      <c r="C796">
        <v>71</v>
      </c>
      <c r="D796">
        <v>15</v>
      </c>
      <c r="E796">
        <v>2</v>
      </c>
      <c r="F796">
        <v>0</v>
      </c>
      <c r="G796">
        <v>0</v>
      </c>
      <c r="H796">
        <v>0</v>
      </c>
      <c r="I796">
        <v>14</v>
      </c>
      <c r="J796">
        <v>0</v>
      </c>
      <c r="K796">
        <v>102</v>
      </c>
    </row>
    <row r="797" spans="1:11" x14ac:dyDescent="0.25">
      <c r="A797" t="s">
        <v>1793</v>
      </c>
      <c r="B797">
        <v>0</v>
      </c>
      <c r="C797">
        <v>53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2</v>
      </c>
      <c r="J797">
        <v>1</v>
      </c>
      <c r="K797">
        <v>61</v>
      </c>
    </row>
    <row r="798" spans="1:11" x14ac:dyDescent="0.25">
      <c r="A798" t="s">
        <v>1794</v>
      </c>
      <c r="B798">
        <v>0</v>
      </c>
      <c r="C798">
        <v>30</v>
      </c>
      <c r="D798">
        <v>2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1</v>
      </c>
      <c r="K798">
        <v>34</v>
      </c>
    </row>
    <row r="799" spans="1:11" x14ac:dyDescent="0.25">
      <c r="A799" t="s">
        <v>1795</v>
      </c>
      <c r="B799">
        <v>0</v>
      </c>
      <c r="C799">
        <v>34</v>
      </c>
      <c r="D799">
        <v>4</v>
      </c>
      <c r="E799">
        <v>1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1796</v>
      </c>
      <c r="B800">
        <v>0</v>
      </c>
      <c r="C800">
        <v>38</v>
      </c>
      <c r="D800">
        <v>10</v>
      </c>
      <c r="E800">
        <v>5</v>
      </c>
      <c r="F800">
        <v>0</v>
      </c>
      <c r="G800">
        <v>0</v>
      </c>
      <c r="H800">
        <v>0</v>
      </c>
      <c r="I800">
        <v>11</v>
      </c>
      <c r="J800">
        <v>0</v>
      </c>
      <c r="K800">
        <v>64</v>
      </c>
    </row>
    <row r="801" spans="1:11" x14ac:dyDescent="0.25">
      <c r="A801" t="s">
        <v>1797</v>
      </c>
      <c r="B801">
        <v>0</v>
      </c>
      <c r="C801">
        <v>43</v>
      </c>
      <c r="D801">
        <v>9</v>
      </c>
      <c r="E801">
        <v>2</v>
      </c>
      <c r="F801">
        <v>0</v>
      </c>
      <c r="G801">
        <v>0</v>
      </c>
      <c r="H801">
        <v>0</v>
      </c>
      <c r="I801">
        <v>13</v>
      </c>
      <c r="J801">
        <v>2</v>
      </c>
      <c r="K801">
        <v>69</v>
      </c>
    </row>
    <row r="802" spans="1:11" x14ac:dyDescent="0.25">
      <c r="A802" t="s">
        <v>1798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1799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1800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6</v>
      </c>
      <c r="J804">
        <v>1</v>
      </c>
      <c r="K804">
        <v>95</v>
      </c>
    </row>
    <row r="805" spans="1:11" x14ac:dyDescent="0.25">
      <c r="A805" t="s">
        <v>1801</v>
      </c>
      <c r="B805">
        <v>0</v>
      </c>
      <c r="C805">
        <v>211</v>
      </c>
      <c r="D805">
        <v>8</v>
      </c>
      <c r="E805">
        <v>3</v>
      </c>
      <c r="F805">
        <v>0</v>
      </c>
      <c r="G805">
        <v>0</v>
      </c>
      <c r="H805">
        <v>0</v>
      </c>
      <c r="I805">
        <v>14</v>
      </c>
      <c r="J805">
        <v>1</v>
      </c>
      <c r="K805">
        <v>237</v>
      </c>
    </row>
    <row r="806" spans="1:11" x14ac:dyDescent="0.25">
      <c r="A806" t="s">
        <v>1802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4</v>
      </c>
      <c r="J806">
        <v>0</v>
      </c>
      <c r="K806">
        <v>198</v>
      </c>
    </row>
    <row r="807" spans="1:11" x14ac:dyDescent="0.25">
      <c r="A807" t="s">
        <v>1803</v>
      </c>
      <c r="B807">
        <v>0</v>
      </c>
      <c r="C807">
        <v>129</v>
      </c>
      <c r="D807">
        <v>7</v>
      </c>
      <c r="E807">
        <v>2</v>
      </c>
      <c r="F807">
        <v>0</v>
      </c>
      <c r="G807">
        <v>0</v>
      </c>
      <c r="H807">
        <v>0</v>
      </c>
      <c r="I807">
        <v>12</v>
      </c>
      <c r="J807">
        <v>0</v>
      </c>
      <c r="K807">
        <v>150</v>
      </c>
    </row>
    <row r="808" spans="1:11" x14ac:dyDescent="0.25">
      <c r="A808" t="s">
        <v>1804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1805</v>
      </c>
      <c r="B809">
        <v>0</v>
      </c>
      <c r="C809">
        <v>144</v>
      </c>
      <c r="D809">
        <v>11</v>
      </c>
      <c r="E809">
        <v>1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168</v>
      </c>
    </row>
    <row r="810" spans="1:11" x14ac:dyDescent="0.25">
      <c r="A810" t="s">
        <v>1806</v>
      </c>
      <c r="B810">
        <v>0</v>
      </c>
      <c r="C810">
        <v>14</v>
      </c>
      <c r="D810">
        <v>70</v>
      </c>
      <c r="E810">
        <v>8</v>
      </c>
      <c r="F810">
        <v>0</v>
      </c>
      <c r="G810">
        <v>0</v>
      </c>
      <c r="H810">
        <v>0</v>
      </c>
      <c r="I810">
        <v>1</v>
      </c>
      <c r="J810">
        <v>4</v>
      </c>
      <c r="K810">
        <v>97</v>
      </c>
    </row>
    <row r="811" spans="1:11" x14ac:dyDescent="0.25">
      <c r="A811" t="s">
        <v>1807</v>
      </c>
      <c r="B811">
        <v>0</v>
      </c>
      <c r="C811">
        <v>72</v>
      </c>
      <c r="D811">
        <v>38</v>
      </c>
      <c r="E811">
        <v>2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115</v>
      </c>
    </row>
    <row r="812" spans="1:11" x14ac:dyDescent="0.25">
      <c r="A812" t="s">
        <v>1808</v>
      </c>
      <c r="B812">
        <v>0</v>
      </c>
      <c r="C812">
        <v>103</v>
      </c>
      <c r="D812">
        <v>1</v>
      </c>
      <c r="E812">
        <v>0</v>
      </c>
      <c r="F812">
        <v>0</v>
      </c>
      <c r="G812">
        <v>0</v>
      </c>
      <c r="H812">
        <v>0</v>
      </c>
      <c r="I812">
        <v>2</v>
      </c>
      <c r="J812">
        <v>0</v>
      </c>
      <c r="K812">
        <v>106</v>
      </c>
    </row>
    <row r="813" spans="1:11" x14ac:dyDescent="0.25">
      <c r="A813" t="s">
        <v>1809</v>
      </c>
      <c r="B813">
        <v>0</v>
      </c>
      <c r="C813">
        <v>36</v>
      </c>
      <c r="D813">
        <v>7</v>
      </c>
      <c r="E813">
        <v>0</v>
      </c>
      <c r="F813">
        <v>0</v>
      </c>
      <c r="G813">
        <v>0</v>
      </c>
      <c r="H813">
        <v>0</v>
      </c>
      <c r="I813">
        <v>32</v>
      </c>
      <c r="J813">
        <v>0</v>
      </c>
      <c r="K813">
        <v>75</v>
      </c>
    </row>
    <row r="814" spans="1:11" x14ac:dyDescent="0.25">
      <c r="A814" t="s">
        <v>1810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1811</v>
      </c>
      <c r="B815">
        <v>0</v>
      </c>
      <c r="C815">
        <v>94</v>
      </c>
      <c r="D815">
        <v>41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156</v>
      </c>
    </row>
    <row r="816" spans="1:11" x14ac:dyDescent="0.25">
      <c r="A816" t="s">
        <v>1812</v>
      </c>
      <c r="B816">
        <v>0</v>
      </c>
      <c r="C816">
        <v>161</v>
      </c>
      <c r="D816">
        <v>15</v>
      </c>
      <c r="E816">
        <v>1</v>
      </c>
      <c r="F816">
        <v>1</v>
      </c>
      <c r="G816">
        <v>0</v>
      </c>
      <c r="H816">
        <v>0</v>
      </c>
      <c r="I816">
        <v>4</v>
      </c>
      <c r="J816">
        <v>1</v>
      </c>
      <c r="K816">
        <v>183</v>
      </c>
    </row>
    <row r="817" spans="1:11" x14ac:dyDescent="0.25">
      <c r="A817" t="s">
        <v>1813</v>
      </c>
      <c r="B817">
        <v>0</v>
      </c>
      <c r="C817">
        <v>8</v>
      </c>
      <c r="D817">
        <v>52</v>
      </c>
      <c r="E817">
        <v>45</v>
      </c>
      <c r="F817">
        <v>0</v>
      </c>
      <c r="G817">
        <v>0</v>
      </c>
      <c r="H817">
        <v>0</v>
      </c>
      <c r="I817">
        <v>8</v>
      </c>
      <c r="J817">
        <v>0</v>
      </c>
      <c r="K817">
        <v>113</v>
      </c>
    </row>
    <row r="818" spans="1:11" x14ac:dyDescent="0.25">
      <c r="A818" t="s">
        <v>1814</v>
      </c>
      <c r="B818">
        <v>0</v>
      </c>
      <c r="C818">
        <v>62</v>
      </c>
      <c r="D818">
        <v>29</v>
      </c>
      <c r="E818">
        <v>1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92</v>
      </c>
    </row>
    <row r="819" spans="1:11" x14ac:dyDescent="0.25">
      <c r="A819" t="s">
        <v>1815</v>
      </c>
      <c r="B819">
        <v>0</v>
      </c>
      <c r="C819">
        <v>0</v>
      </c>
      <c r="D819">
        <v>42</v>
      </c>
      <c r="E819">
        <v>28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70</v>
      </c>
    </row>
    <row r="820" spans="1:11" x14ac:dyDescent="0.25">
      <c r="A820" t="s">
        <v>1816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2057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1817</v>
      </c>
      <c r="B822">
        <v>0</v>
      </c>
      <c r="C822">
        <v>59</v>
      </c>
      <c r="D822">
        <v>10</v>
      </c>
      <c r="E822">
        <v>0</v>
      </c>
      <c r="F822">
        <v>0</v>
      </c>
      <c r="G822">
        <v>0</v>
      </c>
      <c r="H822">
        <v>0</v>
      </c>
      <c r="I822">
        <v>1</v>
      </c>
      <c r="J822">
        <v>0</v>
      </c>
      <c r="K822">
        <v>70</v>
      </c>
    </row>
    <row r="823" spans="1:11" x14ac:dyDescent="0.25">
      <c r="A823" t="s">
        <v>1818</v>
      </c>
      <c r="B823">
        <v>0</v>
      </c>
      <c r="C823">
        <v>40</v>
      </c>
      <c r="D823">
        <v>22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69</v>
      </c>
    </row>
    <row r="824" spans="1:11" x14ac:dyDescent="0.25">
      <c r="A824" t="s">
        <v>1819</v>
      </c>
      <c r="B824">
        <v>0</v>
      </c>
      <c r="C824">
        <v>18</v>
      </c>
      <c r="D824">
        <v>3</v>
      </c>
      <c r="E824">
        <v>21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42</v>
      </c>
    </row>
    <row r="825" spans="1:11" x14ac:dyDescent="0.25">
      <c r="A825" t="s">
        <v>1820</v>
      </c>
      <c r="B825">
        <v>0</v>
      </c>
      <c r="C825">
        <v>19</v>
      </c>
      <c r="D825">
        <v>2</v>
      </c>
      <c r="E825">
        <v>18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1821</v>
      </c>
      <c r="B826">
        <v>0</v>
      </c>
      <c r="C826">
        <v>65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76</v>
      </c>
    </row>
    <row r="827" spans="1:11" x14ac:dyDescent="0.25">
      <c r="A827" t="s">
        <v>1822</v>
      </c>
      <c r="B827">
        <v>0</v>
      </c>
      <c r="C827">
        <v>40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47</v>
      </c>
    </row>
    <row r="828" spans="1:11" x14ac:dyDescent="0.25">
      <c r="A828" t="s">
        <v>1823</v>
      </c>
      <c r="B828">
        <v>0</v>
      </c>
      <c r="C828">
        <v>22</v>
      </c>
      <c r="D828">
        <v>0</v>
      </c>
      <c r="E828">
        <v>14</v>
      </c>
      <c r="F828">
        <v>0</v>
      </c>
      <c r="G828">
        <v>0</v>
      </c>
      <c r="H828">
        <v>0</v>
      </c>
      <c r="I828">
        <v>9</v>
      </c>
      <c r="J828">
        <v>0</v>
      </c>
      <c r="K828">
        <v>45</v>
      </c>
    </row>
    <row r="829" spans="1:11" x14ac:dyDescent="0.25">
      <c r="A829" t="s">
        <v>1824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1825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1826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1827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1828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1829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1830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1831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1832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1833</v>
      </c>
      <c r="B838">
        <v>0</v>
      </c>
      <c r="C838">
        <v>60</v>
      </c>
      <c r="D838">
        <v>1</v>
      </c>
      <c r="E838">
        <v>76</v>
      </c>
      <c r="F838">
        <v>0</v>
      </c>
      <c r="G838">
        <v>0</v>
      </c>
      <c r="H838">
        <v>0</v>
      </c>
      <c r="I838">
        <v>3</v>
      </c>
      <c r="J838">
        <v>0</v>
      </c>
      <c r="K838">
        <v>140</v>
      </c>
    </row>
    <row r="839" spans="1:11" x14ac:dyDescent="0.25">
      <c r="A839" t="s">
        <v>1834</v>
      </c>
      <c r="B839">
        <v>0</v>
      </c>
      <c r="C839">
        <v>135</v>
      </c>
      <c r="D839">
        <v>1</v>
      </c>
      <c r="E839">
        <v>0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159</v>
      </c>
    </row>
    <row r="840" spans="1:11" x14ac:dyDescent="0.25">
      <c r="A840" t="s">
        <v>1835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1836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1837</v>
      </c>
      <c r="B842">
        <v>0</v>
      </c>
      <c r="C842">
        <v>97</v>
      </c>
      <c r="D842">
        <v>8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1838</v>
      </c>
      <c r="B843">
        <v>0</v>
      </c>
      <c r="C843">
        <v>65</v>
      </c>
      <c r="D843">
        <v>7</v>
      </c>
      <c r="E843">
        <v>1</v>
      </c>
      <c r="F843">
        <v>0</v>
      </c>
      <c r="G843">
        <v>0</v>
      </c>
      <c r="H843">
        <v>0</v>
      </c>
      <c r="I843">
        <v>1</v>
      </c>
      <c r="J843">
        <v>0</v>
      </c>
      <c r="K843">
        <v>74</v>
      </c>
    </row>
    <row r="844" spans="1:11" x14ac:dyDescent="0.25">
      <c r="A844" t="s">
        <v>1839</v>
      </c>
      <c r="B844">
        <v>0</v>
      </c>
      <c r="C844">
        <v>59</v>
      </c>
      <c r="D844">
        <v>5</v>
      </c>
      <c r="E844">
        <v>30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95</v>
      </c>
    </row>
    <row r="845" spans="1:11" x14ac:dyDescent="0.25">
      <c r="A845" t="s">
        <v>1840</v>
      </c>
      <c r="B845">
        <v>0</v>
      </c>
      <c r="C845">
        <v>44</v>
      </c>
      <c r="D845">
        <v>4</v>
      </c>
      <c r="E845">
        <v>2</v>
      </c>
      <c r="F845">
        <v>0</v>
      </c>
      <c r="G845">
        <v>11</v>
      </c>
      <c r="H845">
        <v>0</v>
      </c>
      <c r="I845">
        <v>1</v>
      </c>
      <c r="J845">
        <v>0</v>
      </c>
      <c r="K845">
        <v>62</v>
      </c>
    </row>
    <row r="846" spans="1:11" x14ac:dyDescent="0.25">
      <c r="A846" t="s">
        <v>1841</v>
      </c>
      <c r="B846">
        <v>0</v>
      </c>
      <c r="C846">
        <v>100</v>
      </c>
      <c r="D846">
        <v>2</v>
      </c>
      <c r="E846">
        <v>0</v>
      </c>
      <c r="F846">
        <v>0</v>
      </c>
      <c r="G846">
        <v>22</v>
      </c>
      <c r="H846">
        <v>0</v>
      </c>
      <c r="I846">
        <v>1</v>
      </c>
      <c r="J846">
        <v>0</v>
      </c>
      <c r="K846">
        <v>125</v>
      </c>
    </row>
    <row r="847" spans="1:11" x14ac:dyDescent="0.25">
      <c r="A847" t="s">
        <v>1842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1843</v>
      </c>
      <c r="B848">
        <v>0</v>
      </c>
      <c r="C848">
        <v>134</v>
      </c>
      <c r="D848">
        <v>8</v>
      </c>
      <c r="E848">
        <v>2</v>
      </c>
      <c r="F848">
        <v>0</v>
      </c>
      <c r="G848">
        <v>2</v>
      </c>
      <c r="H848">
        <v>0</v>
      </c>
      <c r="I848">
        <v>3</v>
      </c>
      <c r="J848">
        <v>1</v>
      </c>
      <c r="K848">
        <v>150</v>
      </c>
    </row>
    <row r="849" spans="1:11" x14ac:dyDescent="0.25">
      <c r="A849" t="s">
        <v>1844</v>
      </c>
      <c r="B849">
        <v>0</v>
      </c>
      <c r="C849">
        <v>34</v>
      </c>
      <c r="D849">
        <v>3</v>
      </c>
      <c r="E849">
        <v>17</v>
      </c>
      <c r="F849">
        <v>0</v>
      </c>
      <c r="G849">
        <v>0</v>
      </c>
      <c r="H849">
        <v>0</v>
      </c>
      <c r="I849">
        <v>1</v>
      </c>
      <c r="J849">
        <v>0</v>
      </c>
      <c r="K849">
        <v>55</v>
      </c>
    </row>
    <row r="850" spans="1:11" x14ac:dyDescent="0.25">
      <c r="A850" t="s">
        <v>1845</v>
      </c>
      <c r="B850">
        <v>0</v>
      </c>
      <c r="C850">
        <v>36</v>
      </c>
      <c r="D850">
        <v>1</v>
      </c>
      <c r="E850">
        <v>8</v>
      </c>
      <c r="F850">
        <v>0</v>
      </c>
      <c r="G850">
        <v>0</v>
      </c>
      <c r="H850">
        <v>0</v>
      </c>
      <c r="I850">
        <v>17</v>
      </c>
      <c r="J850">
        <v>0</v>
      </c>
      <c r="K850">
        <v>62</v>
      </c>
    </row>
    <row r="851" spans="1:11" x14ac:dyDescent="0.25">
      <c r="A851" t="s">
        <v>1846</v>
      </c>
      <c r="B851">
        <v>0</v>
      </c>
      <c r="C851">
        <v>41</v>
      </c>
      <c r="D851">
        <v>10</v>
      </c>
      <c r="E851">
        <v>12</v>
      </c>
      <c r="F851">
        <v>0</v>
      </c>
      <c r="G851">
        <v>0</v>
      </c>
      <c r="H851">
        <v>0</v>
      </c>
      <c r="I851">
        <v>3</v>
      </c>
      <c r="J851">
        <v>0</v>
      </c>
      <c r="K851">
        <v>66</v>
      </c>
    </row>
    <row r="852" spans="1:11" x14ac:dyDescent="0.25">
      <c r="A852" t="s">
        <v>1847</v>
      </c>
      <c r="B852">
        <v>0</v>
      </c>
      <c r="C852">
        <v>11</v>
      </c>
      <c r="D852">
        <v>8</v>
      </c>
      <c r="E852">
        <v>10</v>
      </c>
      <c r="F852">
        <v>0</v>
      </c>
      <c r="G852">
        <v>0</v>
      </c>
      <c r="H852">
        <v>0</v>
      </c>
      <c r="I852">
        <v>0</v>
      </c>
      <c r="J852">
        <v>1</v>
      </c>
      <c r="K852">
        <v>30</v>
      </c>
    </row>
    <row r="853" spans="1:11" x14ac:dyDescent="0.25">
      <c r="A853" t="s">
        <v>1848</v>
      </c>
      <c r="B853">
        <v>0</v>
      </c>
      <c r="C853">
        <v>40</v>
      </c>
      <c r="D853">
        <v>1</v>
      </c>
      <c r="E853">
        <v>0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1849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1850</v>
      </c>
      <c r="B855">
        <v>0</v>
      </c>
      <c r="C855">
        <v>17</v>
      </c>
      <c r="D855">
        <v>20</v>
      </c>
      <c r="E855">
        <v>13</v>
      </c>
      <c r="F855">
        <v>0</v>
      </c>
      <c r="G855">
        <v>0</v>
      </c>
      <c r="H855">
        <v>0</v>
      </c>
      <c r="I855">
        <v>4</v>
      </c>
      <c r="J855">
        <v>0</v>
      </c>
      <c r="K855">
        <v>54</v>
      </c>
    </row>
    <row r="856" spans="1:11" x14ac:dyDescent="0.25">
      <c r="A856" t="s">
        <v>1851</v>
      </c>
      <c r="B856">
        <v>0</v>
      </c>
      <c r="C856">
        <v>82</v>
      </c>
      <c r="D856">
        <v>14</v>
      </c>
      <c r="E856">
        <v>44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140</v>
      </c>
    </row>
    <row r="857" spans="1:11" x14ac:dyDescent="0.25">
      <c r="A857" t="s">
        <v>1852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1853</v>
      </c>
      <c r="B858">
        <v>0</v>
      </c>
      <c r="C858">
        <v>50</v>
      </c>
      <c r="D858">
        <v>2</v>
      </c>
      <c r="E858">
        <v>0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54</v>
      </c>
    </row>
    <row r="859" spans="1:11" x14ac:dyDescent="0.25">
      <c r="A859" t="s">
        <v>1854</v>
      </c>
      <c r="B859">
        <v>0</v>
      </c>
      <c r="C859">
        <v>30</v>
      </c>
      <c r="D859">
        <v>17</v>
      </c>
      <c r="E859">
        <v>13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60</v>
      </c>
    </row>
    <row r="860" spans="1:11" x14ac:dyDescent="0.25">
      <c r="A860" t="s">
        <v>1855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1856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1857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1858</v>
      </c>
      <c r="B863">
        <v>0</v>
      </c>
      <c r="C863">
        <v>49</v>
      </c>
      <c r="D863">
        <v>3</v>
      </c>
      <c r="E863">
        <v>0</v>
      </c>
      <c r="F863">
        <v>0</v>
      </c>
      <c r="G863">
        <v>0</v>
      </c>
      <c r="H863">
        <v>0</v>
      </c>
      <c r="I863">
        <v>1</v>
      </c>
      <c r="J863">
        <v>0</v>
      </c>
      <c r="K863">
        <v>53</v>
      </c>
    </row>
    <row r="864" spans="1:11" x14ac:dyDescent="0.25">
      <c r="A864" t="s">
        <v>1859</v>
      </c>
      <c r="B864">
        <v>0</v>
      </c>
      <c r="C864">
        <v>48</v>
      </c>
      <c r="D864">
        <v>2</v>
      </c>
      <c r="E864">
        <v>11</v>
      </c>
      <c r="F864">
        <v>0</v>
      </c>
      <c r="G864">
        <v>0</v>
      </c>
      <c r="H864">
        <v>0</v>
      </c>
      <c r="I864">
        <v>1</v>
      </c>
      <c r="J864">
        <v>0</v>
      </c>
      <c r="K864">
        <v>62</v>
      </c>
    </row>
    <row r="865" spans="1:11" x14ac:dyDescent="0.25">
      <c r="A865" t="s">
        <v>1860</v>
      </c>
      <c r="B865">
        <v>0</v>
      </c>
      <c r="C865">
        <v>124</v>
      </c>
      <c r="D865">
        <v>6</v>
      </c>
      <c r="E865">
        <v>34</v>
      </c>
      <c r="F865">
        <v>0</v>
      </c>
      <c r="G865">
        <v>0</v>
      </c>
      <c r="H865">
        <v>0</v>
      </c>
      <c r="I865">
        <v>10</v>
      </c>
      <c r="J865">
        <v>0</v>
      </c>
      <c r="K865">
        <v>174</v>
      </c>
    </row>
    <row r="866" spans="1:11" x14ac:dyDescent="0.25">
      <c r="A866" t="s">
        <v>1861</v>
      </c>
      <c r="B866">
        <v>0</v>
      </c>
      <c r="C866">
        <v>35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1</v>
      </c>
      <c r="K866">
        <v>91</v>
      </c>
    </row>
    <row r="867" spans="1:11" x14ac:dyDescent="0.25">
      <c r="A867" t="s">
        <v>1862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1863</v>
      </c>
      <c r="B868">
        <v>0</v>
      </c>
      <c r="C868">
        <v>25</v>
      </c>
      <c r="D868">
        <v>0</v>
      </c>
      <c r="E868">
        <v>0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1864</v>
      </c>
      <c r="B869">
        <v>0</v>
      </c>
      <c r="C869">
        <v>42</v>
      </c>
      <c r="D869">
        <v>0</v>
      </c>
      <c r="E869">
        <v>0</v>
      </c>
      <c r="F869">
        <v>0</v>
      </c>
      <c r="G869">
        <v>5</v>
      </c>
      <c r="H869">
        <v>0</v>
      </c>
      <c r="I869">
        <v>0</v>
      </c>
      <c r="J869">
        <v>1</v>
      </c>
      <c r="K869">
        <v>48</v>
      </c>
    </row>
    <row r="870" spans="1:11" x14ac:dyDescent="0.25">
      <c r="A870" t="s">
        <v>1865</v>
      </c>
      <c r="B870">
        <v>0</v>
      </c>
      <c r="C870">
        <v>37</v>
      </c>
      <c r="D870">
        <v>3</v>
      </c>
      <c r="E870">
        <v>3</v>
      </c>
      <c r="F870">
        <v>0</v>
      </c>
      <c r="G870">
        <v>10</v>
      </c>
      <c r="H870">
        <v>0</v>
      </c>
      <c r="I870">
        <v>0</v>
      </c>
      <c r="J870">
        <v>0</v>
      </c>
      <c r="K870">
        <v>53</v>
      </c>
    </row>
    <row r="871" spans="1:11" x14ac:dyDescent="0.25">
      <c r="A871" t="s">
        <v>1866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1867</v>
      </c>
      <c r="B872">
        <v>0</v>
      </c>
      <c r="C872">
        <v>77</v>
      </c>
      <c r="D872">
        <v>0</v>
      </c>
      <c r="E872">
        <v>0</v>
      </c>
      <c r="F872">
        <v>0</v>
      </c>
      <c r="G872">
        <v>2</v>
      </c>
      <c r="H872">
        <v>0</v>
      </c>
      <c r="I872">
        <v>6</v>
      </c>
      <c r="J872">
        <v>0</v>
      </c>
      <c r="K872">
        <v>85</v>
      </c>
    </row>
    <row r="873" spans="1:11" x14ac:dyDescent="0.25">
      <c r="A873" t="s">
        <v>1868</v>
      </c>
      <c r="B873">
        <v>0</v>
      </c>
      <c r="C873">
        <v>21</v>
      </c>
      <c r="D873">
        <v>1</v>
      </c>
      <c r="E873">
        <v>19</v>
      </c>
      <c r="F873">
        <v>0</v>
      </c>
      <c r="G873">
        <v>6</v>
      </c>
      <c r="H873">
        <v>0</v>
      </c>
      <c r="I873">
        <v>0</v>
      </c>
      <c r="J873">
        <v>0</v>
      </c>
      <c r="K873">
        <v>47</v>
      </c>
    </row>
    <row r="874" spans="1:11" x14ac:dyDescent="0.25">
      <c r="A874" t="s">
        <v>1869</v>
      </c>
      <c r="B874">
        <v>0</v>
      </c>
      <c r="C874">
        <v>35</v>
      </c>
      <c r="D874">
        <v>0</v>
      </c>
      <c r="E874">
        <v>13</v>
      </c>
      <c r="F874">
        <v>0</v>
      </c>
      <c r="G874">
        <v>1</v>
      </c>
      <c r="H874">
        <v>0</v>
      </c>
      <c r="I874">
        <v>1</v>
      </c>
      <c r="J874">
        <v>0</v>
      </c>
      <c r="K874">
        <v>50</v>
      </c>
    </row>
    <row r="875" spans="1:11" x14ac:dyDescent="0.25">
      <c r="A875" t="s">
        <v>1870</v>
      </c>
      <c r="B875">
        <v>0</v>
      </c>
      <c r="C875">
        <v>40</v>
      </c>
      <c r="D875">
        <v>46</v>
      </c>
      <c r="E875">
        <v>9</v>
      </c>
      <c r="F875">
        <v>0</v>
      </c>
      <c r="G875">
        <v>1</v>
      </c>
      <c r="H875">
        <v>0</v>
      </c>
      <c r="I875">
        <v>0</v>
      </c>
      <c r="J875">
        <v>0</v>
      </c>
      <c r="K875">
        <v>96</v>
      </c>
    </row>
    <row r="876" spans="1:11" x14ac:dyDescent="0.25">
      <c r="A876" t="s">
        <v>1871</v>
      </c>
      <c r="B876">
        <v>0</v>
      </c>
      <c r="C876">
        <v>59</v>
      </c>
      <c r="D876">
        <v>1</v>
      </c>
      <c r="E876">
        <v>1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1872</v>
      </c>
      <c r="B877">
        <v>0</v>
      </c>
      <c r="C877">
        <v>12</v>
      </c>
      <c r="D877">
        <v>1</v>
      </c>
      <c r="E877">
        <v>27</v>
      </c>
      <c r="F877">
        <v>0</v>
      </c>
      <c r="G877">
        <v>0</v>
      </c>
      <c r="H877">
        <v>0</v>
      </c>
      <c r="I877">
        <v>3</v>
      </c>
      <c r="J877">
        <v>0</v>
      </c>
      <c r="K877">
        <v>43</v>
      </c>
    </row>
    <row r="878" spans="1:11" x14ac:dyDescent="0.25">
      <c r="A878" t="s">
        <v>1873</v>
      </c>
      <c r="B878">
        <v>0</v>
      </c>
      <c r="C878">
        <v>14</v>
      </c>
      <c r="D878">
        <v>3</v>
      </c>
      <c r="E878">
        <v>14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1874</v>
      </c>
      <c r="B879">
        <v>0</v>
      </c>
      <c r="C879">
        <v>16</v>
      </c>
      <c r="D879">
        <v>0</v>
      </c>
      <c r="E879">
        <v>56</v>
      </c>
      <c r="F879">
        <v>0</v>
      </c>
      <c r="G879">
        <v>0</v>
      </c>
      <c r="H879">
        <v>0</v>
      </c>
      <c r="I879">
        <v>0</v>
      </c>
      <c r="J879">
        <v>1</v>
      </c>
      <c r="K879">
        <v>73</v>
      </c>
    </row>
    <row r="880" spans="1:11" x14ac:dyDescent="0.25">
      <c r="A880" t="s">
        <v>1875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1876</v>
      </c>
      <c r="B881">
        <v>0</v>
      </c>
      <c r="C881">
        <v>68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0</v>
      </c>
      <c r="J881">
        <v>0</v>
      </c>
      <c r="K881">
        <v>69</v>
      </c>
    </row>
    <row r="882" spans="1:11" x14ac:dyDescent="0.25">
      <c r="A882" t="s">
        <v>1877</v>
      </c>
      <c r="B882">
        <v>0</v>
      </c>
      <c r="C882">
        <v>83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84</v>
      </c>
    </row>
    <row r="883" spans="1:11" x14ac:dyDescent="0.25">
      <c r="A883" t="s">
        <v>1878</v>
      </c>
      <c r="B883">
        <v>0</v>
      </c>
      <c r="C883">
        <v>73</v>
      </c>
      <c r="D883">
        <v>6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80</v>
      </c>
    </row>
    <row r="884" spans="1:11" x14ac:dyDescent="0.25">
      <c r="A884" t="s">
        <v>1879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1880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1881</v>
      </c>
      <c r="B886">
        <v>0</v>
      </c>
      <c r="C886">
        <v>219</v>
      </c>
      <c r="D886">
        <v>4</v>
      </c>
      <c r="E886">
        <v>2</v>
      </c>
      <c r="F886">
        <v>2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1882</v>
      </c>
      <c r="B887">
        <v>0</v>
      </c>
      <c r="C887">
        <v>87</v>
      </c>
      <c r="D887">
        <v>1</v>
      </c>
      <c r="E887">
        <v>3</v>
      </c>
      <c r="F887">
        <v>0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1883</v>
      </c>
      <c r="B888">
        <v>0</v>
      </c>
      <c r="C888">
        <v>64</v>
      </c>
      <c r="D888">
        <v>25</v>
      </c>
      <c r="E888">
        <v>12</v>
      </c>
      <c r="F888">
        <v>0</v>
      </c>
      <c r="G888">
        <v>0</v>
      </c>
      <c r="H888">
        <v>0</v>
      </c>
      <c r="I888">
        <v>40</v>
      </c>
      <c r="J888">
        <v>0</v>
      </c>
      <c r="K888">
        <v>141</v>
      </c>
    </row>
    <row r="889" spans="1:11" x14ac:dyDescent="0.25">
      <c r="A889" t="s">
        <v>1884</v>
      </c>
      <c r="B889">
        <v>0</v>
      </c>
      <c r="C889">
        <v>25</v>
      </c>
      <c r="D889">
        <v>53</v>
      </c>
      <c r="E889">
        <v>22</v>
      </c>
      <c r="F889">
        <v>0</v>
      </c>
      <c r="G889">
        <v>0</v>
      </c>
      <c r="H889">
        <v>0</v>
      </c>
      <c r="I889">
        <v>64</v>
      </c>
      <c r="J889">
        <v>0</v>
      </c>
      <c r="K889">
        <v>164</v>
      </c>
    </row>
    <row r="890" spans="1:11" x14ac:dyDescent="0.25">
      <c r="A890" t="s">
        <v>1885</v>
      </c>
      <c r="B890">
        <v>0</v>
      </c>
      <c r="C890">
        <v>80</v>
      </c>
      <c r="D890">
        <v>22</v>
      </c>
      <c r="E890">
        <v>14</v>
      </c>
      <c r="F890">
        <v>0</v>
      </c>
      <c r="G890">
        <v>0</v>
      </c>
      <c r="H890">
        <v>0</v>
      </c>
      <c r="I890">
        <v>41</v>
      </c>
      <c r="J890">
        <v>6</v>
      </c>
      <c r="K890">
        <v>163</v>
      </c>
    </row>
    <row r="891" spans="1:11" x14ac:dyDescent="0.25">
      <c r="A891" t="s">
        <v>1886</v>
      </c>
      <c r="B891">
        <v>0</v>
      </c>
      <c r="C891">
        <v>150</v>
      </c>
      <c r="D891">
        <v>45</v>
      </c>
      <c r="E891">
        <v>11</v>
      </c>
      <c r="F891">
        <v>0</v>
      </c>
      <c r="G891">
        <v>0</v>
      </c>
      <c r="H891">
        <v>0</v>
      </c>
      <c r="I891">
        <v>31</v>
      </c>
      <c r="J891">
        <v>2</v>
      </c>
      <c r="K891">
        <v>239</v>
      </c>
    </row>
    <row r="892" spans="1:11" x14ac:dyDescent="0.25">
      <c r="A892" t="s">
        <v>1887</v>
      </c>
      <c r="B892">
        <v>0</v>
      </c>
      <c r="C892">
        <v>104</v>
      </c>
      <c r="D892">
        <v>4</v>
      </c>
      <c r="E892">
        <v>0</v>
      </c>
      <c r="F892">
        <v>0</v>
      </c>
      <c r="G892">
        <v>4</v>
      </c>
      <c r="H892">
        <v>0</v>
      </c>
      <c r="I892">
        <v>16</v>
      </c>
      <c r="J892">
        <v>1</v>
      </c>
      <c r="K892">
        <v>129</v>
      </c>
    </row>
    <row r="893" spans="1:11" x14ac:dyDescent="0.25">
      <c r="A893" t="s">
        <v>1888</v>
      </c>
      <c r="B893">
        <v>0</v>
      </c>
      <c r="C893">
        <v>3</v>
      </c>
      <c r="D893">
        <v>42</v>
      </c>
      <c r="E893">
        <v>56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101</v>
      </c>
    </row>
    <row r="894" spans="1:11" x14ac:dyDescent="0.25">
      <c r="A894" t="s">
        <v>1889</v>
      </c>
      <c r="B894">
        <v>0</v>
      </c>
      <c r="C894">
        <v>176</v>
      </c>
      <c r="D894">
        <v>21</v>
      </c>
      <c r="E894">
        <v>8</v>
      </c>
      <c r="F894">
        <v>1</v>
      </c>
      <c r="G894">
        <v>2</v>
      </c>
      <c r="H894">
        <v>1</v>
      </c>
      <c r="I894">
        <v>2</v>
      </c>
      <c r="J894">
        <v>0</v>
      </c>
      <c r="K894">
        <v>211</v>
      </c>
    </row>
    <row r="895" spans="1:11" x14ac:dyDescent="0.25">
      <c r="A895" t="s">
        <v>1890</v>
      </c>
      <c r="B895">
        <v>0</v>
      </c>
      <c r="C895">
        <v>148</v>
      </c>
      <c r="D895">
        <v>27</v>
      </c>
      <c r="E895">
        <v>28</v>
      </c>
      <c r="F895">
        <v>0</v>
      </c>
      <c r="G895">
        <v>0</v>
      </c>
      <c r="H895">
        <v>0</v>
      </c>
      <c r="I895">
        <v>0</v>
      </c>
      <c r="J895">
        <v>4</v>
      </c>
      <c r="K895">
        <v>207</v>
      </c>
    </row>
    <row r="896" spans="1:11" x14ac:dyDescent="0.25">
      <c r="A896" t="s">
        <v>1891</v>
      </c>
      <c r="B896">
        <v>0</v>
      </c>
      <c r="C896">
        <v>59</v>
      </c>
      <c r="D896">
        <v>30</v>
      </c>
      <c r="E896">
        <v>24</v>
      </c>
      <c r="F896">
        <v>0</v>
      </c>
      <c r="G896">
        <v>0</v>
      </c>
      <c r="H896">
        <v>0</v>
      </c>
      <c r="I896">
        <v>0</v>
      </c>
      <c r="J896">
        <v>7</v>
      </c>
      <c r="K896">
        <v>120</v>
      </c>
    </row>
    <row r="897" spans="1:11" x14ac:dyDescent="0.25">
      <c r="A897" t="s">
        <v>1892</v>
      </c>
      <c r="B897">
        <v>0</v>
      </c>
      <c r="C897">
        <v>180</v>
      </c>
      <c r="D897">
        <v>2</v>
      </c>
      <c r="E897">
        <v>2</v>
      </c>
      <c r="F897">
        <v>1</v>
      </c>
      <c r="G897">
        <v>15</v>
      </c>
      <c r="H897">
        <v>0</v>
      </c>
      <c r="I897">
        <v>10</v>
      </c>
      <c r="J897">
        <v>1</v>
      </c>
      <c r="K897">
        <v>211</v>
      </c>
    </row>
    <row r="898" spans="1:11" x14ac:dyDescent="0.25">
      <c r="A898" t="s">
        <v>1893</v>
      </c>
      <c r="B898">
        <v>0</v>
      </c>
      <c r="C898">
        <v>79</v>
      </c>
      <c r="D898">
        <v>66</v>
      </c>
      <c r="E898">
        <v>16</v>
      </c>
      <c r="F898">
        <v>0</v>
      </c>
      <c r="G898">
        <v>0</v>
      </c>
      <c r="H898">
        <v>0</v>
      </c>
      <c r="I898">
        <v>0</v>
      </c>
      <c r="J898">
        <v>7</v>
      </c>
      <c r="K898">
        <v>168</v>
      </c>
    </row>
    <row r="899" spans="1:11" x14ac:dyDescent="0.25">
      <c r="A899" t="s">
        <v>1894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1895</v>
      </c>
      <c r="B900">
        <v>0</v>
      </c>
      <c r="C900">
        <v>158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2</v>
      </c>
      <c r="J900">
        <v>0</v>
      </c>
      <c r="K900">
        <v>178</v>
      </c>
    </row>
    <row r="901" spans="1:11" x14ac:dyDescent="0.25">
      <c r="A901" t="s">
        <v>1896</v>
      </c>
      <c r="B901">
        <v>0</v>
      </c>
      <c r="C901">
        <v>171</v>
      </c>
      <c r="D901">
        <v>14</v>
      </c>
      <c r="E901">
        <v>7</v>
      </c>
      <c r="F901">
        <v>0</v>
      </c>
      <c r="G901">
        <v>1</v>
      </c>
      <c r="H901">
        <v>0</v>
      </c>
      <c r="I901">
        <v>16</v>
      </c>
      <c r="J901">
        <v>0</v>
      </c>
      <c r="K901">
        <v>209</v>
      </c>
    </row>
    <row r="902" spans="1:11" x14ac:dyDescent="0.25">
      <c r="A902" t="s">
        <v>1897</v>
      </c>
      <c r="B902">
        <v>0</v>
      </c>
      <c r="C902">
        <v>96</v>
      </c>
      <c r="D902">
        <v>5</v>
      </c>
      <c r="E902">
        <v>2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103</v>
      </c>
    </row>
    <row r="903" spans="1:11" x14ac:dyDescent="0.25">
      <c r="A903" t="s">
        <v>1898</v>
      </c>
      <c r="B903">
        <v>0</v>
      </c>
      <c r="C903">
        <v>128</v>
      </c>
      <c r="D903">
        <v>1</v>
      </c>
      <c r="E903">
        <v>1</v>
      </c>
      <c r="F903">
        <v>0</v>
      </c>
      <c r="G903">
        <v>1</v>
      </c>
      <c r="H903">
        <v>0</v>
      </c>
      <c r="I903">
        <v>9</v>
      </c>
      <c r="J903">
        <v>0</v>
      </c>
      <c r="K903">
        <v>140</v>
      </c>
    </row>
    <row r="904" spans="1:11" x14ac:dyDescent="0.25">
      <c r="A904" t="s">
        <v>1899</v>
      </c>
      <c r="B904">
        <v>0</v>
      </c>
      <c r="C904">
        <v>83</v>
      </c>
      <c r="D904">
        <v>8</v>
      </c>
      <c r="E904">
        <v>8</v>
      </c>
      <c r="F904">
        <v>1</v>
      </c>
      <c r="G904">
        <v>3</v>
      </c>
      <c r="H904">
        <v>0</v>
      </c>
      <c r="I904">
        <v>19</v>
      </c>
      <c r="J904">
        <v>0</v>
      </c>
      <c r="K904">
        <v>122</v>
      </c>
    </row>
    <row r="905" spans="1:11" x14ac:dyDescent="0.25">
      <c r="A905" t="s">
        <v>1900</v>
      </c>
      <c r="B905">
        <v>0</v>
      </c>
      <c r="C905">
        <v>168</v>
      </c>
      <c r="D905">
        <v>38</v>
      </c>
      <c r="E905">
        <v>29</v>
      </c>
      <c r="F905">
        <v>1</v>
      </c>
      <c r="G905">
        <v>0</v>
      </c>
      <c r="H905">
        <v>0</v>
      </c>
      <c r="I905">
        <v>4</v>
      </c>
      <c r="J905">
        <v>2</v>
      </c>
      <c r="K905">
        <v>242</v>
      </c>
    </row>
    <row r="906" spans="1:11" x14ac:dyDescent="0.25">
      <c r="A906" t="s">
        <v>1901</v>
      </c>
      <c r="B906">
        <v>0</v>
      </c>
      <c r="C906">
        <v>162</v>
      </c>
      <c r="D906">
        <v>1</v>
      </c>
      <c r="E906">
        <v>3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166</v>
      </c>
    </row>
    <row r="907" spans="1:11" x14ac:dyDescent="0.25">
      <c r="A907" t="s">
        <v>1902</v>
      </c>
      <c r="B907">
        <v>0</v>
      </c>
      <c r="C907">
        <v>37</v>
      </c>
      <c r="D907">
        <v>4</v>
      </c>
      <c r="E907">
        <v>67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108</v>
      </c>
    </row>
    <row r="908" spans="1:11" x14ac:dyDescent="0.25">
      <c r="A908" t="s">
        <v>1903</v>
      </c>
      <c r="B908">
        <v>0</v>
      </c>
      <c r="C908">
        <v>114</v>
      </c>
      <c r="D908">
        <v>9</v>
      </c>
      <c r="E908">
        <v>1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124</v>
      </c>
    </row>
    <row r="909" spans="1:11" x14ac:dyDescent="0.25">
      <c r="A909" t="s">
        <v>1904</v>
      </c>
      <c r="B909">
        <v>0</v>
      </c>
      <c r="C909">
        <v>105</v>
      </c>
      <c r="D909">
        <v>1</v>
      </c>
      <c r="E909">
        <v>0</v>
      </c>
      <c r="F909">
        <v>0</v>
      </c>
      <c r="G909">
        <v>2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1905</v>
      </c>
      <c r="B910">
        <v>0</v>
      </c>
      <c r="C910">
        <v>182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0</v>
      </c>
      <c r="K910">
        <v>187</v>
      </c>
    </row>
    <row r="911" spans="1:11" x14ac:dyDescent="0.25">
      <c r="A911" t="s">
        <v>1906</v>
      </c>
      <c r="B911">
        <v>0</v>
      </c>
      <c r="C911">
        <v>119</v>
      </c>
      <c r="D911">
        <v>2</v>
      </c>
      <c r="E911">
        <v>2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1907</v>
      </c>
      <c r="B912">
        <v>0</v>
      </c>
      <c r="C912">
        <v>130</v>
      </c>
      <c r="D912">
        <v>5</v>
      </c>
      <c r="E912">
        <v>2</v>
      </c>
      <c r="F912">
        <v>0</v>
      </c>
      <c r="G912">
        <v>0</v>
      </c>
      <c r="H912">
        <v>0</v>
      </c>
      <c r="I912">
        <v>1</v>
      </c>
      <c r="J912">
        <v>1</v>
      </c>
      <c r="K912">
        <v>139</v>
      </c>
    </row>
    <row r="913" spans="1:11" x14ac:dyDescent="0.25">
      <c r="A913" t="s">
        <v>1908</v>
      </c>
      <c r="B913">
        <v>0</v>
      </c>
      <c r="C913">
        <v>80</v>
      </c>
      <c r="D913">
        <v>2</v>
      </c>
      <c r="E913">
        <v>12</v>
      </c>
      <c r="F913">
        <v>1</v>
      </c>
      <c r="G913">
        <v>0</v>
      </c>
      <c r="H913">
        <v>0</v>
      </c>
      <c r="I913">
        <v>34</v>
      </c>
      <c r="J913">
        <v>0</v>
      </c>
      <c r="K913">
        <v>129</v>
      </c>
    </row>
    <row r="914" spans="1:11" x14ac:dyDescent="0.25">
      <c r="A914" t="s">
        <v>1909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1910</v>
      </c>
      <c r="B915">
        <v>0</v>
      </c>
      <c r="C915">
        <v>47</v>
      </c>
      <c r="D915">
        <v>8</v>
      </c>
      <c r="E915">
        <v>7</v>
      </c>
      <c r="F915">
        <v>0</v>
      </c>
      <c r="G915">
        <v>0</v>
      </c>
      <c r="H915">
        <v>0</v>
      </c>
      <c r="I915">
        <v>5</v>
      </c>
      <c r="J915">
        <v>0</v>
      </c>
      <c r="K915">
        <v>67</v>
      </c>
    </row>
    <row r="916" spans="1:11" x14ac:dyDescent="0.25">
      <c r="A916" t="s">
        <v>1911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1912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1913</v>
      </c>
      <c r="B918">
        <v>0</v>
      </c>
      <c r="C918">
        <v>40</v>
      </c>
      <c r="D918">
        <v>17</v>
      </c>
      <c r="E918">
        <v>43</v>
      </c>
      <c r="F918">
        <v>0</v>
      </c>
      <c r="G918">
        <v>0</v>
      </c>
      <c r="H918">
        <v>0</v>
      </c>
      <c r="I918">
        <v>20</v>
      </c>
      <c r="J918">
        <v>0</v>
      </c>
      <c r="K918">
        <v>120</v>
      </c>
    </row>
    <row r="919" spans="1:11" x14ac:dyDescent="0.25">
      <c r="A919" t="s">
        <v>1914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1915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1916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1917</v>
      </c>
      <c r="B922">
        <v>0</v>
      </c>
      <c r="C922">
        <v>32</v>
      </c>
      <c r="D922">
        <v>2</v>
      </c>
      <c r="E922">
        <v>64</v>
      </c>
      <c r="F922">
        <v>0</v>
      </c>
      <c r="G922">
        <v>0</v>
      </c>
      <c r="H922">
        <v>0</v>
      </c>
      <c r="I922">
        <v>61</v>
      </c>
      <c r="J922">
        <v>1</v>
      </c>
      <c r="K922">
        <v>160</v>
      </c>
    </row>
    <row r="923" spans="1:11" x14ac:dyDescent="0.25">
      <c r="A923" t="s">
        <v>1918</v>
      </c>
      <c r="B923">
        <v>0</v>
      </c>
      <c r="C923">
        <v>159</v>
      </c>
      <c r="D923">
        <v>3</v>
      </c>
      <c r="E923">
        <v>1</v>
      </c>
      <c r="F923">
        <v>3</v>
      </c>
      <c r="G923">
        <v>1</v>
      </c>
      <c r="H923">
        <v>0</v>
      </c>
      <c r="I923">
        <v>0</v>
      </c>
      <c r="J923">
        <v>0</v>
      </c>
      <c r="K923">
        <v>167</v>
      </c>
    </row>
    <row r="924" spans="1:11" x14ac:dyDescent="0.25">
      <c r="A924" t="s">
        <v>1919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1920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1921</v>
      </c>
      <c r="B926">
        <v>0</v>
      </c>
      <c r="C926">
        <v>41</v>
      </c>
      <c r="D926">
        <v>9</v>
      </c>
      <c r="E926">
        <v>59</v>
      </c>
      <c r="F926">
        <v>1</v>
      </c>
      <c r="G926">
        <v>0</v>
      </c>
      <c r="H926">
        <v>0</v>
      </c>
      <c r="I926">
        <v>14</v>
      </c>
      <c r="J926">
        <v>0</v>
      </c>
      <c r="K926">
        <v>124</v>
      </c>
    </row>
    <row r="927" spans="1:11" x14ac:dyDescent="0.25">
      <c r="A927" t="s">
        <v>1922</v>
      </c>
      <c r="B927">
        <v>0</v>
      </c>
      <c r="C927">
        <v>24</v>
      </c>
      <c r="D927">
        <v>2</v>
      </c>
      <c r="E927">
        <v>15</v>
      </c>
      <c r="F927">
        <v>0</v>
      </c>
      <c r="G927">
        <v>0</v>
      </c>
      <c r="H927">
        <v>0</v>
      </c>
      <c r="I927">
        <v>44</v>
      </c>
      <c r="J927">
        <v>0</v>
      </c>
      <c r="K927">
        <v>85</v>
      </c>
    </row>
    <row r="928" spans="1:11" x14ac:dyDescent="0.25">
      <c r="A928" t="s">
        <v>1923</v>
      </c>
      <c r="B928">
        <v>0</v>
      </c>
      <c r="C928">
        <v>67</v>
      </c>
      <c r="D928">
        <v>1</v>
      </c>
      <c r="E928">
        <v>21</v>
      </c>
      <c r="F928">
        <v>0</v>
      </c>
      <c r="G928">
        <v>0</v>
      </c>
      <c r="H928">
        <v>0</v>
      </c>
      <c r="I928">
        <v>20</v>
      </c>
      <c r="J928">
        <v>0</v>
      </c>
      <c r="K928">
        <v>109</v>
      </c>
    </row>
    <row r="929" spans="1:11" x14ac:dyDescent="0.25">
      <c r="A929" t="s">
        <v>1924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1925</v>
      </c>
      <c r="B930">
        <v>0</v>
      </c>
      <c r="C930">
        <v>16</v>
      </c>
      <c r="D930">
        <v>8</v>
      </c>
      <c r="E930">
        <v>25</v>
      </c>
      <c r="F930">
        <v>0</v>
      </c>
      <c r="G930">
        <v>0</v>
      </c>
      <c r="H930">
        <v>0</v>
      </c>
      <c r="I930">
        <v>46</v>
      </c>
      <c r="J930">
        <v>0</v>
      </c>
      <c r="K930">
        <v>95</v>
      </c>
    </row>
    <row r="931" spans="1:11" x14ac:dyDescent="0.25">
      <c r="A931" t="s">
        <v>1926</v>
      </c>
      <c r="B931">
        <v>0</v>
      </c>
      <c r="C931">
        <v>144</v>
      </c>
      <c r="D931">
        <v>3</v>
      </c>
      <c r="E931">
        <v>1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1927</v>
      </c>
      <c r="B932">
        <v>0</v>
      </c>
      <c r="C932">
        <v>81</v>
      </c>
      <c r="D932">
        <v>2</v>
      </c>
      <c r="E932">
        <v>5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89</v>
      </c>
    </row>
    <row r="933" spans="1:11" x14ac:dyDescent="0.25">
      <c r="A933" t="s">
        <v>1928</v>
      </c>
      <c r="B933">
        <v>0</v>
      </c>
      <c r="C933">
        <v>39</v>
      </c>
      <c r="D933">
        <v>0</v>
      </c>
      <c r="E933">
        <v>11</v>
      </c>
      <c r="F933">
        <v>0</v>
      </c>
      <c r="G933">
        <v>0</v>
      </c>
      <c r="H933">
        <v>0</v>
      </c>
      <c r="I933">
        <v>25</v>
      </c>
      <c r="J933">
        <v>0</v>
      </c>
      <c r="K933">
        <v>75</v>
      </c>
    </row>
    <row r="934" spans="1:11" x14ac:dyDescent="0.25">
      <c r="A934" t="s">
        <v>1929</v>
      </c>
      <c r="B934">
        <v>0</v>
      </c>
      <c r="C934">
        <v>79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1</v>
      </c>
      <c r="K934">
        <v>97</v>
      </c>
    </row>
    <row r="935" spans="1:11" x14ac:dyDescent="0.25">
      <c r="A935" t="s">
        <v>1930</v>
      </c>
      <c r="B935">
        <v>0</v>
      </c>
      <c r="C935">
        <v>108</v>
      </c>
      <c r="D935">
        <v>1</v>
      </c>
      <c r="E935">
        <v>2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112</v>
      </c>
    </row>
    <row r="936" spans="1:11" x14ac:dyDescent="0.25">
      <c r="A936" t="s">
        <v>1931</v>
      </c>
      <c r="B936">
        <v>0</v>
      </c>
      <c r="C936">
        <v>93</v>
      </c>
      <c r="D936">
        <v>1</v>
      </c>
      <c r="E936">
        <v>0</v>
      </c>
      <c r="F936">
        <v>0</v>
      </c>
      <c r="G936">
        <v>0</v>
      </c>
      <c r="H936">
        <v>0</v>
      </c>
      <c r="I936">
        <v>2</v>
      </c>
      <c r="J936">
        <v>0</v>
      </c>
      <c r="K936">
        <v>96</v>
      </c>
    </row>
    <row r="937" spans="1:11" x14ac:dyDescent="0.25">
      <c r="A937" t="s">
        <v>1932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1933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1934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1935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1936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1937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1938</v>
      </c>
      <c r="B943">
        <v>0</v>
      </c>
      <c r="C943">
        <v>9</v>
      </c>
      <c r="D943">
        <v>36</v>
      </c>
      <c r="E943">
        <v>33</v>
      </c>
      <c r="F943">
        <v>0</v>
      </c>
      <c r="G943">
        <v>0</v>
      </c>
      <c r="H943">
        <v>0</v>
      </c>
      <c r="I943">
        <v>24</v>
      </c>
      <c r="J943">
        <v>0</v>
      </c>
      <c r="K943">
        <v>102</v>
      </c>
    </row>
    <row r="944" spans="1:11" x14ac:dyDescent="0.25">
      <c r="A944" t="s">
        <v>1939</v>
      </c>
      <c r="B944">
        <v>0</v>
      </c>
      <c r="C944">
        <v>10</v>
      </c>
      <c r="D944">
        <v>17</v>
      </c>
      <c r="E944">
        <v>10</v>
      </c>
      <c r="F944">
        <v>0</v>
      </c>
      <c r="G944">
        <v>0</v>
      </c>
      <c r="H944">
        <v>0</v>
      </c>
      <c r="I944">
        <v>37</v>
      </c>
      <c r="J944">
        <v>1</v>
      </c>
      <c r="K944">
        <v>75</v>
      </c>
    </row>
    <row r="945" spans="1:11" x14ac:dyDescent="0.25">
      <c r="A945" t="s">
        <v>1940</v>
      </c>
      <c r="B945">
        <v>0</v>
      </c>
      <c r="C945">
        <v>85</v>
      </c>
      <c r="D945">
        <v>9</v>
      </c>
      <c r="E945">
        <v>0</v>
      </c>
      <c r="F945">
        <v>0</v>
      </c>
      <c r="G945">
        <v>1</v>
      </c>
      <c r="H945">
        <v>0</v>
      </c>
      <c r="I945">
        <v>21</v>
      </c>
      <c r="J945">
        <v>0</v>
      </c>
      <c r="K945">
        <v>116</v>
      </c>
    </row>
    <row r="946" spans="1:11" x14ac:dyDescent="0.25">
      <c r="A946" t="s">
        <v>1941</v>
      </c>
      <c r="B946">
        <v>0</v>
      </c>
      <c r="C946">
        <v>0</v>
      </c>
      <c r="D946">
        <v>16</v>
      </c>
      <c r="E946">
        <v>49</v>
      </c>
      <c r="F946">
        <v>0</v>
      </c>
      <c r="G946">
        <v>0</v>
      </c>
      <c r="H946">
        <v>0</v>
      </c>
      <c r="I946">
        <v>14</v>
      </c>
      <c r="J946">
        <v>0</v>
      </c>
      <c r="K946">
        <v>79</v>
      </c>
    </row>
    <row r="947" spans="1:11" x14ac:dyDescent="0.25">
      <c r="A947" t="s">
        <v>1942</v>
      </c>
      <c r="B947">
        <v>0</v>
      </c>
      <c r="C947">
        <v>82</v>
      </c>
      <c r="D947">
        <v>10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92</v>
      </c>
    </row>
    <row r="948" spans="1:11" x14ac:dyDescent="0.25">
      <c r="A948" t="s">
        <v>1943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1944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1945</v>
      </c>
      <c r="B950">
        <v>0</v>
      </c>
      <c r="C950">
        <v>0</v>
      </c>
      <c r="D950">
        <v>20</v>
      </c>
      <c r="E950">
        <v>13</v>
      </c>
      <c r="F950">
        <v>0</v>
      </c>
      <c r="G950">
        <v>0</v>
      </c>
      <c r="H950">
        <v>0</v>
      </c>
      <c r="I950">
        <v>1</v>
      </c>
      <c r="J950">
        <v>25</v>
      </c>
      <c r="K950">
        <v>59</v>
      </c>
    </row>
    <row r="951" spans="1:11" x14ac:dyDescent="0.25">
      <c r="A951" t="s">
        <v>1946</v>
      </c>
      <c r="B951">
        <v>0</v>
      </c>
      <c r="C951">
        <v>8</v>
      </c>
      <c r="D951">
        <v>11</v>
      </c>
      <c r="E951">
        <v>9</v>
      </c>
      <c r="F951">
        <v>0</v>
      </c>
      <c r="G951">
        <v>0</v>
      </c>
      <c r="H951">
        <v>0</v>
      </c>
      <c r="I951">
        <v>41</v>
      </c>
      <c r="J951">
        <v>11</v>
      </c>
      <c r="K951">
        <v>80</v>
      </c>
    </row>
    <row r="952" spans="1:11" x14ac:dyDescent="0.25">
      <c r="A952" t="s">
        <v>1947</v>
      </c>
      <c r="B952">
        <v>0</v>
      </c>
      <c r="C952">
        <v>0</v>
      </c>
      <c r="D952">
        <v>6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8</v>
      </c>
      <c r="K952">
        <v>38</v>
      </c>
    </row>
    <row r="953" spans="1:11" x14ac:dyDescent="0.25">
      <c r="A953" t="s">
        <v>1948</v>
      </c>
      <c r="B953">
        <v>0</v>
      </c>
      <c r="C953">
        <v>43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1949</v>
      </c>
      <c r="B954">
        <v>0</v>
      </c>
      <c r="C954">
        <v>40</v>
      </c>
      <c r="D954">
        <v>1</v>
      </c>
      <c r="E954">
        <v>13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54</v>
      </c>
    </row>
    <row r="955" spans="1:11" x14ac:dyDescent="0.25">
      <c r="A955" t="s">
        <v>1950</v>
      </c>
      <c r="B955">
        <v>0</v>
      </c>
      <c r="C955">
        <v>61</v>
      </c>
      <c r="D955">
        <v>0</v>
      </c>
      <c r="E955">
        <v>8</v>
      </c>
      <c r="F955">
        <v>0</v>
      </c>
      <c r="G955">
        <v>0</v>
      </c>
      <c r="H955">
        <v>0</v>
      </c>
      <c r="I955">
        <v>2</v>
      </c>
      <c r="J955">
        <v>0</v>
      </c>
      <c r="K955">
        <v>71</v>
      </c>
    </row>
    <row r="956" spans="1:11" x14ac:dyDescent="0.25">
      <c r="A956" t="s">
        <v>1951</v>
      </c>
      <c r="B956">
        <v>0</v>
      </c>
      <c r="C956">
        <v>41</v>
      </c>
      <c r="D956">
        <v>4</v>
      </c>
      <c r="E956">
        <v>10</v>
      </c>
      <c r="F956">
        <v>0</v>
      </c>
      <c r="G956">
        <v>0</v>
      </c>
      <c r="H956">
        <v>0</v>
      </c>
      <c r="I956">
        <v>5</v>
      </c>
      <c r="J956">
        <v>0</v>
      </c>
      <c r="K956">
        <v>60</v>
      </c>
    </row>
    <row r="957" spans="1:11" x14ac:dyDescent="0.25">
      <c r="A957" t="s">
        <v>1952</v>
      </c>
      <c r="B957">
        <v>0</v>
      </c>
      <c r="C957">
        <v>27</v>
      </c>
      <c r="D957">
        <v>3</v>
      </c>
      <c r="E957">
        <v>8</v>
      </c>
      <c r="F957">
        <v>0</v>
      </c>
      <c r="G957">
        <v>0</v>
      </c>
      <c r="H957">
        <v>0</v>
      </c>
      <c r="I957">
        <v>5</v>
      </c>
      <c r="J957">
        <v>0</v>
      </c>
      <c r="K957">
        <v>43</v>
      </c>
    </row>
    <row r="958" spans="1:11" x14ac:dyDescent="0.25">
      <c r="A958" t="s">
        <v>1953</v>
      </c>
      <c r="B958">
        <v>0</v>
      </c>
      <c r="C958">
        <v>66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10</v>
      </c>
      <c r="J958">
        <v>0</v>
      </c>
      <c r="K958">
        <v>76</v>
      </c>
    </row>
    <row r="959" spans="1:11" x14ac:dyDescent="0.25">
      <c r="A959" t="s">
        <v>1954</v>
      </c>
      <c r="B959">
        <v>0</v>
      </c>
      <c r="C959">
        <v>97</v>
      </c>
      <c r="D959">
        <v>0</v>
      </c>
      <c r="E959">
        <v>1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99</v>
      </c>
    </row>
    <row r="960" spans="1:11" x14ac:dyDescent="0.25">
      <c r="A960" t="s">
        <v>1955</v>
      </c>
      <c r="B960">
        <v>0</v>
      </c>
      <c r="C960">
        <v>145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1956</v>
      </c>
      <c r="B961">
        <v>0</v>
      </c>
      <c r="C961">
        <v>5</v>
      </c>
      <c r="D961">
        <v>1</v>
      </c>
      <c r="E961">
        <v>49</v>
      </c>
      <c r="F961">
        <v>0</v>
      </c>
      <c r="G961">
        <v>0</v>
      </c>
      <c r="H961">
        <v>0</v>
      </c>
      <c r="I961">
        <v>30</v>
      </c>
      <c r="J961">
        <v>0</v>
      </c>
      <c r="K961">
        <v>85</v>
      </c>
    </row>
    <row r="962" spans="1:11" x14ac:dyDescent="0.25">
      <c r="A962" t="s">
        <v>1957</v>
      </c>
      <c r="B962">
        <v>0</v>
      </c>
      <c r="C962">
        <v>149</v>
      </c>
      <c r="D962">
        <v>0</v>
      </c>
      <c r="E962">
        <v>11</v>
      </c>
      <c r="F962">
        <v>2</v>
      </c>
      <c r="G962">
        <v>0</v>
      </c>
      <c r="H962">
        <v>0</v>
      </c>
      <c r="I962">
        <v>12</v>
      </c>
      <c r="J962">
        <v>0</v>
      </c>
      <c r="K962">
        <v>174</v>
      </c>
    </row>
    <row r="963" spans="1:11" x14ac:dyDescent="0.25">
      <c r="A963" t="s">
        <v>1958</v>
      </c>
      <c r="B963">
        <v>0</v>
      </c>
      <c r="C963">
        <v>24</v>
      </c>
      <c r="D963">
        <v>1</v>
      </c>
      <c r="E963">
        <v>38</v>
      </c>
      <c r="F963">
        <v>0</v>
      </c>
      <c r="G963">
        <v>0</v>
      </c>
      <c r="H963">
        <v>0</v>
      </c>
      <c r="I963">
        <v>13</v>
      </c>
      <c r="J963">
        <v>0</v>
      </c>
      <c r="K963">
        <v>76</v>
      </c>
    </row>
    <row r="964" spans="1:11" x14ac:dyDescent="0.25">
      <c r="A964" t="s">
        <v>1959</v>
      </c>
      <c r="B964">
        <v>0</v>
      </c>
      <c r="C964">
        <v>141</v>
      </c>
      <c r="D964">
        <v>8</v>
      </c>
      <c r="E964">
        <v>28</v>
      </c>
      <c r="F964">
        <v>0</v>
      </c>
      <c r="G964">
        <v>0</v>
      </c>
      <c r="H964">
        <v>0</v>
      </c>
      <c r="I964">
        <v>6</v>
      </c>
      <c r="J964">
        <v>0</v>
      </c>
      <c r="K964">
        <v>183</v>
      </c>
    </row>
    <row r="965" spans="1:11" x14ac:dyDescent="0.25">
      <c r="A965" t="s">
        <v>1960</v>
      </c>
      <c r="B965">
        <v>0</v>
      </c>
      <c r="C965">
        <v>179</v>
      </c>
      <c r="D965">
        <v>13</v>
      </c>
      <c r="E965">
        <v>1</v>
      </c>
      <c r="F965">
        <v>0</v>
      </c>
      <c r="G965">
        <v>4</v>
      </c>
      <c r="H965">
        <v>0</v>
      </c>
      <c r="I965">
        <v>1</v>
      </c>
      <c r="J965">
        <v>0</v>
      </c>
      <c r="K965">
        <v>198</v>
      </c>
    </row>
    <row r="966" spans="1:11" x14ac:dyDescent="0.25">
      <c r="A966" t="s">
        <v>1961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1962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1963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1964</v>
      </c>
      <c r="B969">
        <v>0</v>
      </c>
      <c r="C969">
        <v>26</v>
      </c>
      <c r="D969">
        <v>0</v>
      </c>
      <c r="E969">
        <v>31</v>
      </c>
      <c r="F969">
        <v>0</v>
      </c>
      <c r="G969">
        <v>0</v>
      </c>
      <c r="H969">
        <v>0</v>
      </c>
      <c r="I969">
        <v>76</v>
      </c>
      <c r="J969">
        <v>0</v>
      </c>
      <c r="K969">
        <v>133</v>
      </c>
    </row>
    <row r="970" spans="1:11" x14ac:dyDescent="0.25">
      <c r="A970" t="s">
        <v>1965</v>
      </c>
      <c r="B970">
        <v>0</v>
      </c>
      <c r="C970">
        <v>138</v>
      </c>
      <c r="D970">
        <v>0</v>
      </c>
      <c r="E970">
        <v>0</v>
      </c>
      <c r="F970">
        <v>0</v>
      </c>
      <c r="G970">
        <v>3</v>
      </c>
      <c r="H970">
        <v>0</v>
      </c>
      <c r="I970">
        <v>1</v>
      </c>
      <c r="J970">
        <v>0</v>
      </c>
      <c r="K970">
        <v>142</v>
      </c>
    </row>
    <row r="971" spans="1:11" x14ac:dyDescent="0.25">
      <c r="A971" t="s">
        <v>1966</v>
      </c>
      <c r="B971">
        <v>0</v>
      </c>
      <c r="C971">
        <v>161</v>
      </c>
      <c r="D971">
        <v>0</v>
      </c>
      <c r="E971">
        <v>0</v>
      </c>
      <c r="F971">
        <v>0</v>
      </c>
      <c r="G971">
        <v>2</v>
      </c>
      <c r="H971">
        <v>0</v>
      </c>
      <c r="I971">
        <v>18</v>
      </c>
      <c r="J971">
        <v>0</v>
      </c>
      <c r="K971">
        <v>181</v>
      </c>
    </row>
    <row r="972" spans="1:11" x14ac:dyDescent="0.25">
      <c r="A972" t="s">
        <v>1967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1968</v>
      </c>
      <c r="B973">
        <v>0</v>
      </c>
      <c r="C973">
        <v>26</v>
      </c>
      <c r="D973">
        <v>49</v>
      </c>
      <c r="E973">
        <v>59</v>
      </c>
      <c r="F973">
        <v>0</v>
      </c>
      <c r="G973">
        <v>0</v>
      </c>
      <c r="H973">
        <v>0</v>
      </c>
      <c r="I973">
        <v>21</v>
      </c>
      <c r="J973">
        <v>0</v>
      </c>
      <c r="K973">
        <v>155</v>
      </c>
    </row>
    <row r="974" spans="1:11" x14ac:dyDescent="0.25">
      <c r="A974" t="s">
        <v>1969</v>
      </c>
      <c r="B974">
        <v>0</v>
      </c>
      <c r="C974">
        <v>50</v>
      </c>
      <c r="D974">
        <v>4</v>
      </c>
      <c r="E974">
        <v>4</v>
      </c>
      <c r="F974">
        <v>0</v>
      </c>
      <c r="G974">
        <v>2</v>
      </c>
      <c r="H974">
        <v>0</v>
      </c>
      <c r="I974">
        <v>5</v>
      </c>
      <c r="J974">
        <v>0</v>
      </c>
      <c r="K974">
        <v>65</v>
      </c>
    </row>
    <row r="975" spans="1:11" x14ac:dyDescent="0.25">
      <c r="A975" t="s">
        <v>1970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1971</v>
      </c>
      <c r="B976">
        <v>0</v>
      </c>
      <c r="C976">
        <v>64</v>
      </c>
      <c r="D976">
        <v>53</v>
      </c>
      <c r="E976">
        <v>96</v>
      </c>
      <c r="F976">
        <v>0</v>
      </c>
      <c r="G976">
        <v>1</v>
      </c>
      <c r="H976">
        <v>0</v>
      </c>
      <c r="I976">
        <v>4</v>
      </c>
      <c r="J976">
        <v>2</v>
      </c>
      <c r="K976">
        <v>220</v>
      </c>
    </row>
    <row r="977" spans="1:11" x14ac:dyDescent="0.25">
      <c r="A977" t="s">
        <v>1972</v>
      </c>
      <c r="B977">
        <v>0</v>
      </c>
      <c r="C977">
        <v>261</v>
      </c>
      <c r="D977">
        <v>2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1973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1974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1975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1976</v>
      </c>
      <c r="B981">
        <v>0</v>
      </c>
      <c r="C981">
        <v>37</v>
      </c>
      <c r="D981">
        <v>0</v>
      </c>
      <c r="E981">
        <v>6</v>
      </c>
      <c r="F981">
        <v>0</v>
      </c>
      <c r="G981">
        <v>0</v>
      </c>
      <c r="H981">
        <v>0</v>
      </c>
      <c r="I981">
        <v>2</v>
      </c>
      <c r="J981">
        <v>0</v>
      </c>
      <c r="K981">
        <v>45</v>
      </c>
    </row>
    <row r="982" spans="1:11" x14ac:dyDescent="0.25">
      <c r="A982" t="s">
        <v>1977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1978</v>
      </c>
      <c r="B983">
        <v>0</v>
      </c>
      <c r="C983">
        <v>71</v>
      </c>
      <c r="D983">
        <v>19</v>
      </c>
      <c r="E983">
        <v>15</v>
      </c>
      <c r="F983">
        <v>0</v>
      </c>
      <c r="G983">
        <v>0</v>
      </c>
      <c r="H983">
        <v>0</v>
      </c>
      <c r="I983">
        <v>30</v>
      </c>
      <c r="J983">
        <v>0</v>
      </c>
      <c r="K983">
        <v>135</v>
      </c>
    </row>
    <row r="984" spans="1:11" x14ac:dyDescent="0.25">
      <c r="A984" t="s">
        <v>1979</v>
      </c>
      <c r="B984">
        <v>0</v>
      </c>
      <c r="C984">
        <v>46</v>
      </c>
      <c r="D984">
        <v>2</v>
      </c>
      <c r="E984">
        <v>6</v>
      </c>
      <c r="F984">
        <v>0</v>
      </c>
      <c r="G984">
        <v>0</v>
      </c>
      <c r="H984">
        <v>0</v>
      </c>
      <c r="I984">
        <v>0</v>
      </c>
      <c r="J984">
        <v>1</v>
      </c>
      <c r="K984">
        <v>55</v>
      </c>
    </row>
    <row r="985" spans="1:11" x14ac:dyDescent="0.25">
      <c r="A985" t="s">
        <v>1980</v>
      </c>
      <c r="B985">
        <v>0</v>
      </c>
      <c r="C985">
        <v>153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0</v>
      </c>
      <c r="J985">
        <v>0</v>
      </c>
      <c r="K985">
        <v>162</v>
      </c>
    </row>
    <row r="986" spans="1:11" x14ac:dyDescent="0.25">
      <c r="A986" t="s">
        <v>1981</v>
      </c>
      <c r="B986">
        <v>0</v>
      </c>
      <c r="C986">
        <v>43</v>
      </c>
      <c r="D986">
        <v>1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1982</v>
      </c>
      <c r="B987">
        <v>0</v>
      </c>
      <c r="C987">
        <v>65</v>
      </c>
      <c r="D987">
        <v>3</v>
      </c>
      <c r="E987">
        <v>6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1983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1984</v>
      </c>
      <c r="B989">
        <v>0</v>
      </c>
      <c r="C989">
        <v>21</v>
      </c>
      <c r="D989">
        <v>2</v>
      </c>
      <c r="E989">
        <v>21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44</v>
      </c>
    </row>
    <row r="990" spans="1:11" x14ac:dyDescent="0.25">
      <c r="A990" t="s">
        <v>1985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1986</v>
      </c>
      <c r="B991">
        <v>0</v>
      </c>
      <c r="C991">
        <v>35</v>
      </c>
      <c r="D991">
        <v>2</v>
      </c>
      <c r="E991">
        <v>4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41</v>
      </c>
    </row>
    <row r="992" spans="1:11" x14ac:dyDescent="0.25">
      <c r="A992" t="s">
        <v>1987</v>
      </c>
      <c r="B992">
        <v>0</v>
      </c>
      <c r="C992">
        <v>29</v>
      </c>
      <c r="D992">
        <v>12</v>
      </c>
      <c r="E992">
        <v>6</v>
      </c>
      <c r="F992">
        <v>0</v>
      </c>
      <c r="G992">
        <v>0</v>
      </c>
      <c r="H992">
        <v>0</v>
      </c>
      <c r="I992">
        <v>7</v>
      </c>
      <c r="J992">
        <v>0</v>
      </c>
      <c r="K992">
        <v>54</v>
      </c>
    </row>
    <row r="993" spans="1:11" x14ac:dyDescent="0.25">
      <c r="A993" t="s">
        <v>1988</v>
      </c>
      <c r="B993">
        <v>0</v>
      </c>
      <c r="C993">
        <v>42</v>
      </c>
      <c r="D993">
        <v>1</v>
      </c>
      <c r="E993">
        <v>4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1989</v>
      </c>
      <c r="B994">
        <v>0</v>
      </c>
      <c r="C994">
        <v>11</v>
      </c>
      <c r="D994">
        <v>34</v>
      </c>
      <c r="E994">
        <v>7</v>
      </c>
      <c r="F994">
        <v>0</v>
      </c>
      <c r="G994">
        <v>0</v>
      </c>
      <c r="H994">
        <v>0</v>
      </c>
      <c r="I994">
        <v>0</v>
      </c>
      <c r="J994">
        <v>1</v>
      </c>
      <c r="K994">
        <v>53</v>
      </c>
    </row>
    <row r="995" spans="1:11" x14ac:dyDescent="0.25">
      <c r="A995" t="s">
        <v>1990</v>
      </c>
      <c r="B995">
        <v>0</v>
      </c>
      <c r="C995">
        <v>25</v>
      </c>
      <c r="D995">
        <v>52</v>
      </c>
      <c r="E995">
        <v>16</v>
      </c>
      <c r="F995">
        <v>0</v>
      </c>
      <c r="G995">
        <v>0</v>
      </c>
      <c r="H995">
        <v>0</v>
      </c>
      <c r="I995">
        <v>1</v>
      </c>
      <c r="J995">
        <v>0</v>
      </c>
      <c r="K995">
        <v>94</v>
      </c>
    </row>
    <row r="996" spans="1:11" x14ac:dyDescent="0.25">
      <c r="A996" t="s">
        <v>1991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1992</v>
      </c>
      <c r="B997">
        <v>0</v>
      </c>
      <c r="C997">
        <v>51</v>
      </c>
      <c r="D997">
        <v>0</v>
      </c>
      <c r="E997">
        <v>24</v>
      </c>
      <c r="F997">
        <v>0</v>
      </c>
      <c r="G997">
        <v>0</v>
      </c>
      <c r="H997">
        <v>0</v>
      </c>
      <c r="I997">
        <v>12</v>
      </c>
      <c r="J997">
        <v>0</v>
      </c>
      <c r="K997">
        <v>87</v>
      </c>
    </row>
    <row r="998" spans="1:11" x14ac:dyDescent="0.25">
      <c r="A998" t="s">
        <v>1993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1994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1995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1996</v>
      </c>
      <c r="B1001">
        <v>0</v>
      </c>
      <c r="C1001">
        <v>73</v>
      </c>
      <c r="D1001">
        <v>1</v>
      </c>
      <c r="E1001">
        <v>39</v>
      </c>
      <c r="F1001">
        <v>2</v>
      </c>
      <c r="G1001">
        <v>0</v>
      </c>
      <c r="H1001">
        <v>0</v>
      </c>
      <c r="I1001">
        <v>12</v>
      </c>
      <c r="J1001">
        <v>0</v>
      </c>
      <c r="K1001">
        <v>127</v>
      </c>
    </row>
    <row r="1002" spans="1:11" x14ac:dyDescent="0.25">
      <c r="A1002" t="s">
        <v>1997</v>
      </c>
      <c r="B1002">
        <v>0</v>
      </c>
      <c r="C1002">
        <v>122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0</v>
      </c>
      <c r="K1002">
        <v>126</v>
      </c>
    </row>
    <row r="1003" spans="1:11" x14ac:dyDescent="0.25">
      <c r="A1003" t="s">
        <v>1998</v>
      </c>
      <c r="B1003">
        <v>0</v>
      </c>
      <c r="C1003">
        <v>105</v>
      </c>
      <c r="D1003">
        <v>9</v>
      </c>
      <c r="E1003">
        <v>2</v>
      </c>
      <c r="F1003">
        <v>0</v>
      </c>
      <c r="G1003">
        <v>3</v>
      </c>
      <c r="H1003">
        <v>0</v>
      </c>
      <c r="I1003">
        <v>0</v>
      </c>
      <c r="J1003">
        <v>0</v>
      </c>
      <c r="K1003">
        <v>119</v>
      </c>
    </row>
    <row r="1004" spans="1:11" x14ac:dyDescent="0.25">
      <c r="A1004" t="s">
        <v>1999</v>
      </c>
      <c r="B1004">
        <v>0</v>
      </c>
      <c r="C1004">
        <v>116</v>
      </c>
      <c r="D1004">
        <v>1</v>
      </c>
      <c r="E1004">
        <v>28</v>
      </c>
      <c r="F1004">
        <v>0</v>
      </c>
      <c r="G1004">
        <v>0</v>
      </c>
      <c r="H1004">
        <v>0</v>
      </c>
      <c r="I1004">
        <v>7</v>
      </c>
      <c r="J1004">
        <v>0</v>
      </c>
      <c r="K1004">
        <v>152</v>
      </c>
    </row>
    <row r="1005" spans="1:11" x14ac:dyDescent="0.25">
      <c r="A1005" t="s">
        <v>2000</v>
      </c>
      <c r="B1005">
        <v>0</v>
      </c>
      <c r="C1005">
        <v>51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0</v>
      </c>
      <c r="J1005">
        <v>1</v>
      </c>
      <c r="K1005">
        <v>71</v>
      </c>
    </row>
    <row r="1006" spans="1:11" x14ac:dyDescent="0.25">
      <c r="A1006" t="s">
        <v>2001</v>
      </c>
      <c r="B1006">
        <v>0</v>
      </c>
      <c r="C1006">
        <v>84</v>
      </c>
      <c r="D1006">
        <v>2</v>
      </c>
      <c r="E1006">
        <v>0</v>
      </c>
      <c r="F1006">
        <v>2</v>
      </c>
      <c r="G1006">
        <v>2</v>
      </c>
      <c r="H1006">
        <v>0</v>
      </c>
      <c r="I1006">
        <v>0</v>
      </c>
      <c r="J1006">
        <v>2</v>
      </c>
      <c r="K1006">
        <v>92</v>
      </c>
    </row>
    <row r="1007" spans="1:11" x14ac:dyDescent="0.25">
      <c r="A1007" t="s">
        <v>2002</v>
      </c>
      <c r="B1007">
        <v>0</v>
      </c>
      <c r="C1007">
        <v>78</v>
      </c>
      <c r="D1007">
        <v>1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2003</v>
      </c>
      <c r="B1008">
        <v>0</v>
      </c>
      <c r="C1008">
        <v>55</v>
      </c>
      <c r="D1008">
        <v>2</v>
      </c>
      <c r="E1008">
        <v>10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2004</v>
      </c>
      <c r="B1009">
        <v>0</v>
      </c>
      <c r="C1009">
        <v>46</v>
      </c>
      <c r="D1009">
        <v>0</v>
      </c>
      <c r="E1009">
        <v>12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58</v>
      </c>
    </row>
    <row r="1010" spans="1:11" x14ac:dyDescent="0.25">
      <c r="A1010" t="s">
        <v>2005</v>
      </c>
      <c r="B1010">
        <v>0</v>
      </c>
      <c r="C1010">
        <v>18</v>
      </c>
      <c r="D1010">
        <v>0</v>
      </c>
      <c r="E1010">
        <v>58</v>
      </c>
      <c r="F1010">
        <v>0</v>
      </c>
      <c r="G1010">
        <v>0</v>
      </c>
      <c r="H1010">
        <v>0</v>
      </c>
      <c r="I1010">
        <v>7</v>
      </c>
      <c r="J1010">
        <v>0</v>
      </c>
      <c r="K1010">
        <v>83</v>
      </c>
    </row>
    <row r="1011" spans="1:11" x14ac:dyDescent="0.25">
      <c r="A1011" t="s">
        <v>2006</v>
      </c>
      <c r="B1011">
        <v>0</v>
      </c>
      <c r="C1011">
        <v>76</v>
      </c>
      <c r="D1011">
        <v>6</v>
      </c>
      <c r="E1011">
        <v>4</v>
      </c>
      <c r="F1011">
        <v>0</v>
      </c>
      <c r="G1011">
        <v>0</v>
      </c>
      <c r="H1011">
        <v>0</v>
      </c>
      <c r="I1011">
        <v>0</v>
      </c>
      <c r="J1011">
        <v>1</v>
      </c>
      <c r="K1011">
        <v>87</v>
      </c>
    </row>
    <row r="1012" spans="1:11" x14ac:dyDescent="0.25">
      <c r="A1012" t="s">
        <v>2007</v>
      </c>
      <c r="B1012">
        <v>0</v>
      </c>
      <c r="C1012">
        <v>67</v>
      </c>
      <c r="D1012">
        <v>0</v>
      </c>
      <c r="E1012">
        <v>0</v>
      </c>
      <c r="F1012">
        <v>0</v>
      </c>
      <c r="G1012">
        <v>3</v>
      </c>
      <c r="H1012">
        <v>0</v>
      </c>
      <c r="I1012">
        <v>11</v>
      </c>
      <c r="J1012">
        <v>0</v>
      </c>
      <c r="K1012">
        <v>81</v>
      </c>
    </row>
    <row r="1013" spans="1:11" x14ac:dyDescent="0.25">
      <c r="A1013" t="s">
        <v>2008</v>
      </c>
      <c r="B1013">
        <v>0</v>
      </c>
      <c r="C1013">
        <v>78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5</v>
      </c>
      <c r="J1013">
        <v>0</v>
      </c>
      <c r="K1013">
        <v>83</v>
      </c>
    </row>
    <row r="1014" spans="1:11" x14ac:dyDescent="0.25">
      <c r="A1014" t="s">
        <v>2009</v>
      </c>
      <c r="B1014">
        <v>0</v>
      </c>
      <c r="C1014">
        <v>96</v>
      </c>
      <c r="D1014">
        <v>0</v>
      </c>
      <c r="E1014">
        <v>0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2010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2011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2012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2013</v>
      </c>
      <c r="B1018">
        <v>0</v>
      </c>
      <c r="C1018">
        <v>53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53</v>
      </c>
    </row>
    <row r="1019" spans="1:11" x14ac:dyDescent="0.25">
      <c r="A1019" t="s">
        <v>2014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2015</v>
      </c>
      <c r="B1020">
        <v>0</v>
      </c>
      <c r="C1020">
        <v>56</v>
      </c>
      <c r="D1020">
        <v>19</v>
      </c>
      <c r="E1020">
        <v>4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2016</v>
      </c>
      <c r="B1021">
        <v>0</v>
      </c>
      <c r="C1021">
        <v>30</v>
      </c>
      <c r="D1021">
        <v>34</v>
      </c>
      <c r="E1021">
        <v>28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93</v>
      </c>
    </row>
    <row r="1022" spans="1:11" x14ac:dyDescent="0.25">
      <c r="A1022" t="s">
        <v>2017</v>
      </c>
      <c r="B1022">
        <v>0</v>
      </c>
      <c r="C1022">
        <v>37</v>
      </c>
      <c r="D1022">
        <v>11</v>
      </c>
      <c r="E1022">
        <v>10</v>
      </c>
      <c r="F1022">
        <v>0</v>
      </c>
      <c r="G1022">
        <v>0</v>
      </c>
      <c r="H1022">
        <v>0</v>
      </c>
      <c r="I1022">
        <v>7</v>
      </c>
      <c r="J1022">
        <v>2</v>
      </c>
      <c r="K1022">
        <v>67</v>
      </c>
    </row>
    <row r="1023" spans="1:11" x14ac:dyDescent="0.25">
      <c r="A1023" t="s">
        <v>2018</v>
      </c>
      <c r="B1023">
        <v>0</v>
      </c>
      <c r="C1023">
        <v>39</v>
      </c>
      <c r="D1023">
        <v>5</v>
      </c>
      <c r="E1023">
        <v>8</v>
      </c>
      <c r="F1023">
        <v>0</v>
      </c>
      <c r="G1023">
        <v>0</v>
      </c>
      <c r="H1023">
        <v>0</v>
      </c>
      <c r="I1023">
        <v>8</v>
      </c>
      <c r="J1023">
        <v>2</v>
      </c>
      <c r="K1023">
        <v>62</v>
      </c>
    </row>
    <row r="1024" spans="1:11" x14ac:dyDescent="0.25">
      <c r="A1024" t="s">
        <v>2019</v>
      </c>
      <c r="B1024">
        <v>0</v>
      </c>
      <c r="C1024">
        <v>79</v>
      </c>
      <c r="D1024">
        <v>12</v>
      </c>
      <c r="E1024">
        <v>6</v>
      </c>
      <c r="F1024">
        <v>0</v>
      </c>
      <c r="G1024">
        <v>1</v>
      </c>
      <c r="H1024">
        <v>0</v>
      </c>
      <c r="I1024">
        <v>1</v>
      </c>
      <c r="J1024">
        <v>0</v>
      </c>
      <c r="K1024">
        <v>99</v>
      </c>
    </row>
    <row r="1025" spans="1:11" x14ac:dyDescent="0.25">
      <c r="A1025" t="s">
        <v>2020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2021</v>
      </c>
      <c r="B1026">
        <v>0</v>
      </c>
      <c r="C1026">
        <v>23</v>
      </c>
      <c r="D1026">
        <v>7</v>
      </c>
      <c r="E1026">
        <v>4</v>
      </c>
      <c r="F1026">
        <v>0</v>
      </c>
      <c r="G1026">
        <v>0</v>
      </c>
      <c r="H1026">
        <v>0</v>
      </c>
      <c r="I1026">
        <v>12</v>
      </c>
      <c r="J1026">
        <v>2</v>
      </c>
      <c r="K1026">
        <v>48</v>
      </c>
    </row>
    <row r="1027" spans="1:11" x14ac:dyDescent="0.25">
      <c r="A1027" t="s">
        <v>2022</v>
      </c>
      <c r="B1027">
        <v>0</v>
      </c>
      <c r="C1027">
        <v>19</v>
      </c>
      <c r="D1027">
        <v>19</v>
      </c>
      <c r="E1027">
        <v>2</v>
      </c>
      <c r="F1027">
        <v>0</v>
      </c>
      <c r="G1027">
        <v>0</v>
      </c>
      <c r="H1027">
        <v>0</v>
      </c>
      <c r="I1027">
        <v>9</v>
      </c>
      <c r="J1027">
        <v>0</v>
      </c>
      <c r="K1027">
        <v>49</v>
      </c>
    </row>
    <row r="1028" spans="1:11" x14ac:dyDescent="0.25">
      <c r="A1028" t="s">
        <v>2023</v>
      </c>
      <c r="B1028">
        <v>0</v>
      </c>
      <c r="C1028">
        <v>14</v>
      </c>
      <c r="D1028">
        <v>21</v>
      </c>
      <c r="E1028">
        <v>0</v>
      </c>
      <c r="F1028">
        <v>0</v>
      </c>
      <c r="G1028">
        <v>0</v>
      </c>
      <c r="H1028">
        <v>0</v>
      </c>
      <c r="I1028">
        <v>4</v>
      </c>
      <c r="J1028">
        <v>0</v>
      </c>
      <c r="K1028">
        <v>39</v>
      </c>
    </row>
    <row r="1029" spans="1:11" x14ac:dyDescent="0.25">
      <c r="A1029" t="s">
        <v>2024</v>
      </c>
      <c r="B1029">
        <v>0</v>
      </c>
      <c r="C1029">
        <v>32</v>
      </c>
      <c r="D1029">
        <v>4</v>
      </c>
      <c r="E1029">
        <v>5</v>
      </c>
      <c r="F1029">
        <v>0</v>
      </c>
      <c r="G1029">
        <v>0</v>
      </c>
      <c r="H1029">
        <v>0</v>
      </c>
      <c r="I1029">
        <v>4</v>
      </c>
      <c r="J1029">
        <v>0</v>
      </c>
      <c r="K1029">
        <v>45</v>
      </c>
    </row>
    <row r="1030" spans="1:11" x14ac:dyDescent="0.25">
      <c r="A1030" t="s">
        <v>2025</v>
      </c>
      <c r="B1030">
        <v>0</v>
      </c>
      <c r="C1030">
        <v>54</v>
      </c>
      <c r="D1030">
        <v>7</v>
      </c>
      <c r="E1030">
        <v>12</v>
      </c>
      <c r="F1030">
        <v>0</v>
      </c>
      <c r="G1030">
        <v>0</v>
      </c>
      <c r="H1030">
        <v>0</v>
      </c>
      <c r="I1030">
        <v>13</v>
      </c>
      <c r="J1030">
        <v>0</v>
      </c>
      <c r="K1030">
        <v>86</v>
      </c>
    </row>
    <row r="1031" spans="1:11" x14ac:dyDescent="0.25">
      <c r="A1031" t="s">
        <v>2026</v>
      </c>
      <c r="B1031">
        <v>0</v>
      </c>
      <c r="C1031">
        <v>15</v>
      </c>
      <c r="D1031">
        <v>20</v>
      </c>
      <c r="E1031">
        <v>23</v>
      </c>
      <c r="F1031">
        <v>0</v>
      </c>
      <c r="G1031">
        <v>0</v>
      </c>
      <c r="H1031">
        <v>0</v>
      </c>
      <c r="I1031">
        <v>7</v>
      </c>
      <c r="J1031">
        <v>0</v>
      </c>
      <c r="K1031">
        <v>65</v>
      </c>
    </row>
    <row r="1032" spans="1:11" x14ac:dyDescent="0.25">
      <c r="A1032" t="s">
        <v>2027</v>
      </c>
      <c r="B1032">
        <v>0</v>
      </c>
      <c r="C1032">
        <v>18</v>
      </c>
      <c r="D1032">
        <v>2</v>
      </c>
      <c r="E1032">
        <v>12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32</v>
      </c>
    </row>
    <row r="1033" spans="1:11" x14ac:dyDescent="0.25">
      <c r="A1033" t="s">
        <v>2028</v>
      </c>
      <c r="B1033">
        <v>0</v>
      </c>
      <c r="C1033">
        <v>28</v>
      </c>
      <c r="D1033">
        <v>0</v>
      </c>
      <c r="E1033">
        <v>7</v>
      </c>
      <c r="F1033">
        <v>0</v>
      </c>
      <c r="G1033">
        <v>0</v>
      </c>
      <c r="H1033">
        <v>0</v>
      </c>
      <c r="I1033">
        <v>11</v>
      </c>
      <c r="J1033">
        <v>0</v>
      </c>
      <c r="K1033">
        <v>46</v>
      </c>
    </row>
    <row r="1034" spans="1:11" x14ac:dyDescent="0.25">
      <c r="A1034" t="s">
        <v>2029</v>
      </c>
      <c r="B1034">
        <v>0</v>
      </c>
      <c r="C1034">
        <v>67</v>
      </c>
      <c r="D1034">
        <v>1</v>
      </c>
      <c r="E1034">
        <v>4</v>
      </c>
      <c r="F1034">
        <v>0</v>
      </c>
      <c r="G1034">
        <v>0</v>
      </c>
      <c r="H1034">
        <v>0</v>
      </c>
      <c r="I1034">
        <v>13</v>
      </c>
      <c r="J1034">
        <v>0</v>
      </c>
      <c r="K1034">
        <v>85</v>
      </c>
    </row>
    <row r="1035" spans="1:11" x14ac:dyDescent="0.25">
      <c r="A1035" t="s">
        <v>2030</v>
      </c>
      <c r="B1035">
        <v>0</v>
      </c>
      <c r="C1035">
        <v>88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16</v>
      </c>
      <c r="J1035">
        <v>1</v>
      </c>
      <c r="K1035">
        <v>106</v>
      </c>
    </row>
    <row r="1036" spans="1:11" x14ac:dyDescent="0.25">
      <c r="A1036" t="s">
        <v>2031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2032</v>
      </c>
      <c r="B1037">
        <v>0</v>
      </c>
      <c r="C1037">
        <v>87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87</v>
      </c>
    </row>
    <row r="1038" spans="1:11" x14ac:dyDescent="0.25">
      <c r="A1038" t="s">
        <v>2033</v>
      </c>
      <c r="B1038">
        <v>0</v>
      </c>
      <c r="C1038">
        <v>46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46</v>
      </c>
    </row>
    <row r="1039" spans="1:11" x14ac:dyDescent="0.25">
      <c r="A1039" t="s">
        <v>2034</v>
      </c>
      <c r="B1039">
        <v>0</v>
      </c>
      <c r="C1039">
        <v>23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13</v>
      </c>
      <c r="J1039">
        <v>0</v>
      </c>
      <c r="K1039">
        <v>42</v>
      </c>
    </row>
    <row r="1040" spans="1:11" x14ac:dyDescent="0.25">
      <c r="A1040" t="s">
        <v>2035</v>
      </c>
      <c r="B1040">
        <v>0</v>
      </c>
      <c r="C1040">
        <v>38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5</v>
      </c>
      <c r="J1040">
        <v>0</v>
      </c>
      <c r="K1040">
        <v>44</v>
      </c>
    </row>
    <row r="1041" spans="1:11" x14ac:dyDescent="0.25">
      <c r="A1041" t="s">
        <v>2036</v>
      </c>
      <c r="B1041">
        <v>0</v>
      </c>
      <c r="C1041">
        <v>34</v>
      </c>
      <c r="D1041">
        <v>7</v>
      </c>
      <c r="E1041">
        <v>0</v>
      </c>
      <c r="F1041">
        <v>0</v>
      </c>
      <c r="G1041">
        <v>0</v>
      </c>
      <c r="H1041">
        <v>0</v>
      </c>
      <c r="I1041">
        <v>7</v>
      </c>
      <c r="J1041">
        <v>0</v>
      </c>
      <c r="K1041">
        <v>48</v>
      </c>
    </row>
    <row r="1042" spans="1:11" x14ac:dyDescent="0.25">
      <c r="A1042" t="s">
        <v>2037</v>
      </c>
      <c r="B1042">
        <v>0</v>
      </c>
      <c r="C1042">
        <v>36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5</v>
      </c>
      <c r="J1042">
        <v>0</v>
      </c>
      <c r="K1042">
        <v>55</v>
      </c>
    </row>
    <row r="1043" spans="1:11" x14ac:dyDescent="0.25">
      <c r="A1043" t="s">
        <v>2038</v>
      </c>
      <c r="B1043">
        <v>0</v>
      </c>
      <c r="C1043">
        <v>37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7</v>
      </c>
      <c r="J1043">
        <v>1</v>
      </c>
      <c r="K1043">
        <v>45</v>
      </c>
    </row>
    <row r="1044" spans="1:11" x14ac:dyDescent="0.25">
      <c r="A1044" t="s">
        <v>2039</v>
      </c>
      <c r="B1044">
        <v>0</v>
      </c>
      <c r="C1044">
        <v>14</v>
      </c>
      <c r="D1044">
        <v>7</v>
      </c>
      <c r="E1044">
        <v>0</v>
      </c>
      <c r="F1044">
        <v>0</v>
      </c>
      <c r="G1044">
        <v>0</v>
      </c>
      <c r="H1044">
        <v>0</v>
      </c>
      <c r="I1044">
        <v>30</v>
      </c>
      <c r="J1044">
        <v>0</v>
      </c>
      <c r="K1044">
        <v>51</v>
      </c>
    </row>
    <row r="1045" spans="1:11" x14ac:dyDescent="0.25">
      <c r="A1045" t="s">
        <v>2040</v>
      </c>
      <c r="B1045">
        <v>0</v>
      </c>
      <c r="C1045">
        <v>26</v>
      </c>
      <c r="D1045">
        <v>17</v>
      </c>
      <c r="E1045">
        <v>0</v>
      </c>
      <c r="F1045">
        <v>0</v>
      </c>
      <c r="G1045">
        <v>0</v>
      </c>
      <c r="H1045">
        <v>0</v>
      </c>
      <c r="I1045">
        <v>39</v>
      </c>
      <c r="J1045">
        <v>0</v>
      </c>
      <c r="K1045">
        <v>82</v>
      </c>
    </row>
    <row r="1046" spans="1:11" x14ac:dyDescent="0.25">
      <c r="A1046" t="s">
        <v>2041</v>
      </c>
      <c r="B1046">
        <v>0</v>
      </c>
      <c r="C1046">
        <v>18</v>
      </c>
      <c r="D1046">
        <v>33</v>
      </c>
      <c r="E1046">
        <v>0</v>
      </c>
      <c r="F1046">
        <v>0</v>
      </c>
      <c r="G1046">
        <v>0</v>
      </c>
      <c r="H1046">
        <v>0</v>
      </c>
      <c r="I1046">
        <v>4</v>
      </c>
      <c r="J1046">
        <v>0</v>
      </c>
      <c r="K1046">
        <v>55</v>
      </c>
    </row>
    <row r="1047" spans="1:11" x14ac:dyDescent="0.25">
      <c r="A1047" t="s">
        <v>2042</v>
      </c>
      <c r="B1047">
        <v>0</v>
      </c>
      <c r="C1047">
        <v>49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10</v>
      </c>
      <c r="J1047">
        <v>0</v>
      </c>
      <c r="K1047">
        <v>59</v>
      </c>
    </row>
    <row r="1048" spans="1:11" x14ac:dyDescent="0.25">
      <c r="A1048" t="s">
        <v>2043</v>
      </c>
      <c r="B1048">
        <v>0</v>
      </c>
      <c r="C1048">
        <v>9</v>
      </c>
      <c r="D1048">
        <v>16</v>
      </c>
      <c r="E1048">
        <v>31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2044</v>
      </c>
      <c r="B1049">
        <v>0</v>
      </c>
      <c r="C1049">
        <v>91</v>
      </c>
      <c r="D1049">
        <v>6</v>
      </c>
      <c r="E1049">
        <v>0</v>
      </c>
      <c r="F1049">
        <v>1</v>
      </c>
      <c r="G1049">
        <v>2</v>
      </c>
      <c r="H1049">
        <v>0</v>
      </c>
      <c r="I1049">
        <v>21</v>
      </c>
      <c r="J1049">
        <v>18</v>
      </c>
      <c r="K1049">
        <v>139</v>
      </c>
    </row>
    <row r="1050" spans="1:11" x14ac:dyDescent="0.25">
      <c r="A1050" t="s">
        <v>2045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2046</v>
      </c>
      <c r="B1051">
        <v>0</v>
      </c>
      <c r="C1051">
        <v>37</v>
      </c>
      <c r="D1051">
        <v>2</v>
      </c>
      <c r="E1051">
        <v>16</v>
      </c>
      <c r="F1051">
        <v>0</v>
      </c>
      <c r="G1051">
        <v>0</v>
      </c>
      <c r="H1051">
        <v>0</v>
      </c>
      <c r="I1051">
        <v>15</v>
      </c>
      <c r="J1051">
        <v>0</v>
      </c>
      <c r="K1051">
        <v>70</v>
      </c>
    </row>
    <row r="1052" spans="1:11" x14ac:dyDescent="0.25">
      <c r="A1052" t="s">
        <v>2047</v>
      </c>
      <c r="B1052">
        <v>0</v>
      </c>
      <c r="C1052">
        <v>40</v>
      </c>
      <c r="D1052">
        <v>11</v>
      </c>
      <c r="E1052">
        <v>11</v>
      </c>
      <c r="F1052">
        <v>0</v>
      </c>
      <c r="G1052">
        <v>0</v>
      </c>
      <c r="H1052">
        <v>0</v>
      </c>
      <c r="I1052">
        <v>11</v>
      </c>
      <c r="J1052">
        <v>2</v>
      </c>
      <c r="K1052">
        <v>75</v>
      </c>
    </row>
    <row r="1053" spans="1:11" x14ac:dyDescent="0.25">
      <c r="A1053" t="s">
        <v>2048</v>
      </c>
      <c r="B1053">
        <v>0</v>
      </c>
      <c r="C1053">
        <v>45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2</v>
      </c>
      <c r="J1053">
        <v>4</v>
      </c>
      <c r="K1053">
        <v>57</v>
      </c>
    </row>
    <row r="1054" spans="1:11" x14ac:dyDescent="0.25">
      <c r="A1054" t="s">
        <v>2049</v>
      </c>
      <c r="B1054">
        <v>0</v>
      </c>
      <c r="C1054">
        <v>109</v>
      </c>
      <c r="D1054">
        <v>3</v>
      </c>
      <c r="E1054">
        <v>7</v>
      </c>
      <c r="F1054">
        <v>0</v>
      </c>
      <c r="G1054">
        <v>2</v>
      </c>
      <c r="H1054">
        <v>0</v>
      </c>
      <c r="I1054">
        <v>5</v>
      </c>
      <c r="J1054">
        <v>6</v>
      </c>
      <c r="K1054">
        <v>132</v>
      </c>
    </row>
    <row r="1055" spans="1:11" x14ac:dyDescent="0.25">
      <c r="A1055" t="s">
        <v>2050</v>
      </c>
      <c r="B1055">
        <v>0</v>
      </c>
      <c r="C1055">
        <v>9</v>
      </c>
      <c r="D1055">
        <v>8</v>
      </c>
      <c r="E1055">
        <v>29</v>
      </c>
      <c r="F1055">
        <v>0</v>
      </c>
      <c r="G1055">
        <v>0</v>
      </c>
      <c r="H1055">
        <v>0</v>
      </c>
      <c r="I1055">
        <v>13</v>
      </c>
      <c r="J1055">
        <v>0</v>
      </c>
      <c r="K1055">
        <v>59</v>
      </c>
    </row>
    <row r="1056" spans="1:11" x14ac:dyDescent="0.25">
      <c r="A1056" t="s">
        <v>2051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2052</v>
      </c>
      <c r="B1057">
        <v>0</v>
      </c>
      <c r="C1057">
        <v>49</v>
      </c>
      <c r="D1057">
        <v>0</v>
      </c>
      <c r="E1057">
        <v>6</v>
      </c>
      <c r="F1057">
        <v>0</v>
      </c>
      <c r="G1057">
        <v>0</v>
      </c>
      <c r="H1057">
        <v>0</v>
      </c>
      <c r="I1057">
        <v>9</v>
      </c>
      <c r="J1057">
        <v>0</v>
      </c>
      <c r="K1057">
        <v>64</v>
      </c>
    </row>
    <row r="1058" spans="1:11" x14ac:dyDescent="0.25">
      <c r="A1058" t="s">
        <v>2053</v>
      </c>
      <c r="B1058">
        <v>0</v>
      </c>
      <c r="C1058">
        <v>4</v>
      </c>
      <c r="D1058">
        <v>15</v>
      </c>
      <c r="E1058">
        <v>9</v>
      </c>
      <c r="F1058">
        <v>0</v>
      </c>
      <c r="G1058">
        <v>0</v>
      </c>
      <c r="H1058">
        <v>0</v>
      </c>
      <c r="I1058">
        <v>20</v>
      </c>
      <c r="J1058">
        <v>0</v>
      </c>
      <c r="K1058">
        <v>48</v>
      </c>
    </row>
    <row r="1059" spans="1:11" x14ac:dyDescent="0.25">
      <c r="A1059" t="s">
        <v>2054</v>
      </c>
      <c r="B1059">
        <v>0</v>
      </c>
      <c r="C1059">
        <v>32</v>
      </c>
      <c r="D1059">
        <v>2</v>
      </c>
      <c r="E1059">
        <v>5</v>
      </c>
      <c r="F1059">
        <v>0</v>
      </c>
      <c r="G1059">
        <v>0</v>
      </c>
      <c r="H1059">
        <v>0</v>
      </c>
      <c r="I1059">
        <v>16</v>
      </c>
      <c r="J1059">
        <v>0</v>
      </c>
      <c r="K1059">
        <v>55</v>
      </c>
    </row>
    <row r="1060" spans="1:11" x14ac:dyDescent="0.25">
      <c r="A1060" t="s">
        <v>2055</v>
      </c>
      <c r="B1060">
        <v>0</v>
      </c>
      <c r="C1060">
        <v>4</v>
      </c>
      <c r="D1060">
        <v>2</v>
      </c>
      <c r="E1060">
        <v>4</v>
      </c>
      <c r="F1060">
        <v>0</v>
      </c>
      <c r="G1060">
        <v>0</v>
      </c>
      <c r="H1060">
        <v>0</v>
      </c>
      <c r="I1060">
        <v>41</v>
      </c>
      <c r="J1060">
        <v>0</v>
      </c>
      <c r="K1060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55" workbookViewId="0">
      <selection activeCell="A74" sqref="A7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501</v>
      </c>
      <c r="F2">
        <v>501</v>
      </c>
      <c r="G2">
        <f>VLOOKUP(A2,PPL!B:N,13,0)</f>
        <v>505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580</v>
      </c>
      <c r="F3">
        <v>580</v>
      </c>
      <c r="G3">
        <f>VLOOKUP(A3,PPL!B:N,13,0)</f>
        <v>597</v>
      </c>
      <c r="H3">
        <f t="shared" ref="H3:H61" si="0">G3-F3</f>
        <v>17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679</v>
      </c>
      <c r="F4">
        <v>691</v>
      </c>
      <c r="G4">
        <f>VLOOKUP(A4,PPL!B:N,13,0)</f>
        <v>690</v>
      </c>
      <c r="H4">
        <f t="shared" si="0"/>
        <v>-1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584</v>
      </c>
      <c r="F5">
        <v>584</v>
      </c>
      <c r="G5">
        <f>VLOOKUP(A5,PPL!B:N,13,0)</f>
        <v>596</v>
      </c>
      <c r="H5">
        <f t="shared" si="0"/>
        <v>12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499</v>
      </c>
      <c r="F6">
        <v>513</v>
      </c>
      <c r="G6">
        <f>VLOOKUP(A6,PPL!B:N,13,0)</f>
        <v>524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524</v>
      </c>
      <c r="F7">
        <v>542</v>
      </c>
      <c r="G7">
        <f>VLOOKUP(A7,PPL!B:N,13,0)</f>
        <v>544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666</v>
      </c>
      <c r="F8">
        <v>676</v>
      </c>
      <c r="G8">
        <f>VLOOKUP(A8,PPL!B:N,13,0)</f>
        <v>703</v>
      </c>
      <c r="H8">
        <f t="shared" si="0"/>
        <v>27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641</v>
      </c>
      <c r="F9">
        <v>648</v>
      </c>
      <c r="G9">
        <f>VLOOKUP(A9,PPL!B:N,13,0)</f>
        <v>653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569</v>
      </c>
      <c r="F10">
        <v>587</v>
      </c>
      <c r="G10">
        <f>VLOOKUP(A10,PPL!B:N,13,0)</f>
        <v>589</v>
      </c>
      <c r="H10">
        <f t="shared" si="0"/>
        <v>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791</v>
      </c>
      <c r="F11">
        <v>791</v>
      </c>
      <c r="G11">
        <f>VLOOKUP(A11,PPL!B:N,13,0)</f>
        <v>802</v>
      </c>
      <c r="H11">
        <f t="shared" si="0"/>
        <v>11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568</v>
      </c>
      <c r="F12">
        <v>577</v>
      </c>
      <c r="G12">
        <f>VLOOKUP(A12,PPL!B:N,13,0)</f>
        <v>617</v>
      </c>
      <c r="H12">
        <f t="shared" si="0"/>
        <v>40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632</v>
      </c>
      <c r="F13">
        <v>697</v>
      </c>
      <c r="G13">
        <f>VLOOKUP(A13,PPL!B:N,13,0)</f>
        <v>771</v>
      </c>
      <c r="H13">
        <f t="shared" si="0"/>
        <v>74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694</v>
      </c>
      <c r="G14">
        <f>VLOOKUP(A14,PPL!B:N,13,0)</f>
        <v>739</v>
      </c>
      <c r="H14">
        <f t="shared" si="0"/>
        <v>45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790</v>
      </c>
      <c r="F15">
        <v>847</v>
      </c>
      <c r="G15">
        <f>VLOOKUP(A15,PPL!B:N,13,0)</f>
        <v>864</v>
      </c>
      <c r="H15">
        <f t="shared" si="0"/>
        <v>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488</v>
      </c>
      <c r="F16">
        <v>508</v>
      </c>
      <c r="G16">
        <f>VLOOKUP(A16,PPL!B:N,13,0)</f>
        <v>508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633</v>
      </c>
      <c r="F17">
        <v>661</v>
      </c>
      <c r="G17">
        <f>VLOOKUP(A17,PPL!B:N,13,0)</f>
        <v>703</v>
      </c>
      <c r="H17">
        <f t="shared" si="0"/>
        <v>42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797</v>
      </c>
      <c r="F18">
        <v>836</v>
      </c>
      <c r="G18">
        <f>VLOOKUP(A18,PPL!B:N,13,0)</f>
        <v>896</v>
      </c>
      <c r="H18">
        <f t="shared" si="0"/>
        <v>60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614</v>
      </c>
      <c r="F19">
        <v>638</v>
      </c>
      <c r="G19">
        <f>VLOOKUP(A19,PPL!B:N,13,0)</f>
        <v>694</v>
      </c>
      <c r="H19">
        <f t="shared" si="0"/>
        <v>56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601</v>
      </c>
      <c r="F20">
        <v>623</v>
      </c>
      <c r="G20">
        <f>VLOOKUP(A20,PPL!B:N,13,0)</f>
        <v>643</v>
      </c>
      <c r="H20">
        <f t="shared" si="0"/>
        <v>20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571</v>
      </c>
      <c r="F21">
        <v>596</v>
      </c>
      <c r="G21">
        <f>VLOOKUP(A21,PPL!B:N,13,0)</f>
        <v>668</v>
      </c>
      <c r="H21">
        <f t="shared" si="0"/>
        <v>72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566</v>
      </c>
      <c r="F22">
        <v>566</v>
      </c>
      <c r="G22">
        <f>VLOOKUP(A22,PPL!B:N,13,0)</f>
        <v>578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877</v>
      </c>
      <c r="F23">
        <v>883</v>
      </c>
      <c r="G23">
        <f>VLOOKUP(A23,PPL!B:N,13,0)</f>
        <v>884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468</v>
      </c>
      <c r="F24">
        <v>484</v>
      </c>
      <c r="G24">
        <f>VLOOKUP(A24,PPL!B:N,13,0)</f>
        <v>496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770</v>
      </c>
      <c r="F25">
        <v>792</v>
      </c>
      <c r="G25">
        <f>VLOOKUP(A25,PPL!B:N,13,0)</f>
        <v>799</v>
      </c>
      <c r="H25">
        <f t="shared" si="0"/>
        <v>7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596</v>
      </c>
      <c r="F26">
        <v>602</v>
      </c>
      <c r="G26">
        <f>VLOOKUP(A26,PPL!B:N,13,0)</f>
        <v>623</v>
      </c>
      <c r="H26">
        <f t="shared" si="0"/>
        <v>21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566</v>
      </c>
      <c r="F27">
        <v>634</v>
      </c>
      <c r="G27">
        <f>VLOOKUP(A27,PPL!B:N,13,0)</f>
        <v>634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580</v>
      </c>
      <c r="F28">
        <v>593</v>
      </c>
      <c r="G28">
        <f>VLOOKUP(A28,PPL!B:N,13,0)</f>
        <v>599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597</v>
      </c>
      <c r="F29">
        <v>645</v>
      </c>
      <c r="G29">
        <f>VLOOKUP(A29,PPL!B:N,13,0)</f>
        <v>651</v>
      </c>
      <c r="H29">
        <f t="shared" si="0"/>
        <v>6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468</v>
      </c>
      <c r="F30">
        <v>482</v>
      </c>
      <c r="G30">
        <f>VLOOKUP(A30,PPL!B:N,13,0)</f>
        <v>498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675</v>
      </c>
      <c r="F31">
        <v>679</v>
      </c>
      <c r="G31">
        <f>VLOOKUP(A31,PPL!B:N,13,0)</f>
        <v>681</v>
      </c>
      <c r="H31">
        <f t="shared" si="0"/>
        <v>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796</v>
      </c>
      <c r="F32">
        <v>822</v>
      </c>
      <c r="G32">
        <f>VLOOKUP(A32,PPL!B:N,13,0)</f>
        <v>836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729</v>
      </c>
      <c r="F33">
        <v>753</v>
      </c>
      <c r="G33">
        <f>VLOOKUP(A33,PPL!B:N,13,0)</f>
        <v>785</v>
      </c>
      <c r="H33">
        <f t="shared" si="0"/>
        <v>32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502</v>
      </c>
      <c r="F34">
        <v>542</v>
      </c>
      <c r="G34">
        <f>VLOOKUP(A34,PPL!B:N,13,0)</f>
        <v>560</v>
      </c>
      <c r="H34">
        <f t="shared" si="0"/>
        <v>18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454</v>
      </c>
      <c r="F35">
        <v>466</v>
      </c>
      <c r="G35">
        <f>VLOOKUP(A35,PPL!B:N,13,0)</f>
        <v>480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841</v>
      </c>
      <c r="F36">
        <v>853</v>
      </c>
      <c r="G36">
        <f>VLOOKUP(A36,PPL!B:N,13,0)</f>
        <v>863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570</v>
      </c>
      <c r="F37">
        <v>592</v>
      </c>
      <c r="G37">
        <f>VLOOKUP(A37,PPL!B:N,13,0)</f>
        <v>606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539</v>
      </c>
      <c r="G38">
        <f>VLOOKUP(A38,PPL!B:N,13,0)</f>
        <v>539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625</v>
      </c>
      <c r="F39">
        <v>626</v>
      </c>
      <c r="G39">
        <f>VLOOKUP(A39,PPL!B:N,13,0)</f>
        <v>627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601</v>
      </c>
      <c r="F40">
        <v>606</v>
      </c>
      <c r="G40">
        <f>VLOOKUP(A40,PPL!B:N,13,0)</f>
        <v>606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802</v>
      </c>
      <c r="F41">
        <v>838</v>
      </c>
      <c r="G41">
        <f>VLOOKUP(A41,PPL!B:N,13,0)</f>
        <v>842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402</v>
      </c>
      <c r="G42">
        <f>VLOOKUP(A42,PPL!B:N,13,0)</f>
        <v>423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587</v>
      </c>
      <c r="F43">
        <v>640</v>
      </c>
      <c r="G43">
        <f>VLOOKUP(A43,PPL!B:N,13,0)</f>
        <v>726</v>
      </c>
      <c r="H43">
        <f t="shared" si="0"/>
        <v>86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521</v>
      </c>
      <c r="F44">
        <v>546</v>
      </c>
      <c r="G44">
        <f>VLOOKUP(A44,PPL!B:N,13,0)</f>
        <v>567</v>
      </c>
      <c r="H44">
        <f t="shared" si="0"/>
        <v>21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564</v>
      </c>
      <c r="F45">
        <v>575</v>
      </c>
      <c r="G45">
        <f>VLOOKUP(A45,PPL!B:N,13,0)</f>
        <v>607</v>
      </c>
      <c r="H45">
        <f t="shared" si="0"/>
        <v>32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592</v>
      </c>
      <c r="F46">
        <v>592</v>
      </c>
      <c r="G46">
        <f>VLOOKUP(A46,PPL!B:N,13,0)</f>
        <v>656</v>
      </c>
      <c r="H46">
        <f t="shared" si="0"/>
        <v>64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566</v>
      </c>
      <c r="F47">
        <v>612</v>
      </c>
      <c r="G47">
        <f>VLOOKUP(A47,PPL!B:N,13,0)</f>
        <v>704</v>
      </c>
      <c r="H47">
        <f t="shared" si="0"/>
        <v>92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587</v>
      </c>
      <c r="F48">
        <v>623</v>
      </c>
      <c r="G48">
        <f>VLOOKUP(A48,PPL!B:N,13,0)</f>
        <v>689</v>
      </c>
      <c r="H48">
        <f t="shared" si="0"/>
        <v>66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511</v>
      </c>
      <c r="F49">
        <v>531</v>
      </c>
      <c r="G49">
        <f>VLOOKUP(A49,PPL!B:N,13,0)</f>
        <v>588</v>
      </c>
      <c r="H49">
        <f t="shared" si="0"/>
        <v>57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550</v>
      </c>
      <c r="F50">
        <v>647</v>
      </c>
      <c r="G50">
        <f>VLOOKUP(A50,PPL!B:N,13,0)</f>
        <v>743</v>
      </c>
      <c r="H50">
        <f t="shared" si="0"/>
        <v>96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457</v>
      </c>
      <c r="F51">
        <v>540</v>
      </c>
      <c r="G51">
        <f>VLOOKUP(A51,PPL!B:N,13,0)</f>
        <v>638</v>
      </c>
      <c r="H51">
        <f t="shared" si="0"/>
        <v>98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722</v>
      </c>
      <c r="F52">
        <v>837</v>
      </c>
      <c r="G52">
        <f>VLOOKUP(A52,PPL!B:N,13,0)</f>
        <v>841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556</v>
      </c>
      <c r="F53">
        <v>610</v>
      </c>
      <c r="G53">
        <f>VLOOKUP(A53,PPL!B:N,13,0)</f>
        <v>664</v>
      </c>
      <c r="H53">
        <f t="shared" si="0"/>
        <v>54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596</v>
      </c>
      <c r="F54">
        <v>675</v>
      </c>
      <c r="G54">
        <f>VLOOKUP(A54,PPL!B:N,13,0)</f>
        <v>701</v>
      </c>
      <c r="H54">
        <f t="shared" si="0"/>
        <v>26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411</v>
      </c>
      <c r="F55">
        <v>423</v>
      </c>
      <c r="G55">
        <f>VLOOKUP(A55,PPL!B:N,13,0)</f>
        <v>546</v>
      </c>
      <c r="H55">
        <f t="shared" si="0"/>
        <v>123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552</v>
      </c>
      <c r="F56">
        <v>633</v>
      </c>
      <c r="G56">
        <f>VLOOKUP(A56,PPL!B:N,13,0)</f>
        <v>671</v>
      </c>
      <c r="H56">
        <f t="shared" si="0"/>
        <v>38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604</v>
      </c>
      <c r="F57">
        <v>617</v>
      </c>
      <c r="G57">
        <f>VLOOKUP(A57,PPL!B:N,13,0)</f>
        <v>633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525</v>
      </c>
      <c r="F58">
        <v>557</v>
      </c>
      <c r="G58">
        <f>VLOOKUP(A58,PPL!B:N,13,0)</f>
        <v>679</v>
      </c>
      <c r="H58">
        <f t="shared" si="0"/>
        <v>122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658</v>
      </c>
      <c r="F59">
        <v>695</v>
      </c>
      <c r="G59">
        <f>VLOOKUP(A59,PPL!B:N,13,0)</f>
        <v>757</v>
      </c>
      <c r="H59">
        <f t="shared" si="0"/>
        <v>62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553</v>
      </c>
      <c r="F60">
        <v>619</v>
      </c>
      <c r="G60">
        <f>VLOOKUP(A60,PPL!B:N,13,0)</f>
        <v>723</v>
      </c>
      <c r="H60">
        <f t="shared" si="0"/>
        <v>104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568</v>
      </c>
      <c r="F61">
        <v>590</v>
      </c>
      <c r="G61">
        <f>VLOOKUP(A61,PPL!B:N,13,0)</f>
        <v>766</v>
      </c>
      <c r="H61">
        <f t="shared" si="0"/>
        <v>176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476</v>
      </c>
      <c r="F62">
        <v>496</v>
      </c>
      <c r="G62">
        <f>VLOOKUP(A62,PPL!B:N,13,0)</f>
        <v>682</v>
      </c>
      <c r="H62">
        <f t="shared" ref="H62:H123" si="2">G62-F62</f>
        <v>186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652</v>
      </c>
      <c r="F63">
        <v>702</v>
      </c>
      <c r="G63">
        <f>VLOOKUP(A63,PPL!B:N,13,0)</f>
        <v>863</v>
      </c>
      <c r="H63">
        <f t="shared" si="2"/>
        <v>161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504</v>
      </c>
      <c r="F64">
        <v>527</v>
      </c>
      <c r="G64">
        <f>VLOOKUP(A64,PPL!B:N,13,0)</f>
        <v>638</v>
      </c>
      <c r="H64">
        <f t="shared" si="2"/>
        <v>111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420</v>
      </c>
      <c r="F65">
        <v>449</v>
      </c>
      <c r="G65">
        <f>VLOOKUP(A65,PPL!B:N,13,0)</f>
        <v>651</v>
      </c>
      <c r="H65">
        <f t="shared" si="2"/>
        <v>202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416</v>
      </c>
      <c r="F66">
        <v>455</v>
      </c>
      <c r="G66">
        <f>VLOOKUP(A66,PPL!B:N,13,0)</f>
        <v>455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416</v>
      </c>
      <c r="F67">
        <v>442</v>
      </c>
      <c r="G67">
        <f>VLOOKUP(A67,PPL!B:N,13,0)</f>
        <v>446</v>
      </c>
      <c r="H67">
        <f t="shared" si="2"/>
        <v>4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426</v>
      </c>
      <c r="F69">
        <v>430</v>
      </c>
      <c r="G69">
        <f>VLOOKUP(A69,PPL!B:N,13,0)</f>
        <v>430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485</v>
      </c>
      <c r="F70">
        <v>513</v>
      </c>
      <c r="G70">
        <f>VLOOKUP(A70,PPL!B:N,13,0)</f>
        <v>513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413</v>
      </c>
      <c r="F71">
        <v>463</v>
      </c>
      <c r="G71">
        <f>VLOOKUP(A71,PPL!B:N,13,0)</f>
        <v>466</v>
      </c>
      <c r="H71">
        <f t="shared" si="2"/>
        <v>3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477</v>
      </c>
      <c r="F72">
        <v>484</v>
      </c>
      <c r="G72">
        <f>VLOOKUP(A72,PPL!B:N,13,0)</f>
        <v>485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431</v>
      </c>
      <c r="F73">
        <v>437</v>
      </c>
      <c r="G73">
        <f>VLOOKUP(A73,PPL!B:N,13,0)</f>
        <v>458</v>
      </c>
      <c r="H73">
        <f t="shared" si="2"/>
        <v>21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451</v>
      </c>
      <c r="G74">
        <f>VLOOKUP(A74,PPL!B:N,13,0)</f>
        <v>451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528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395</v>
      </c>
      <c r="F76">
        <v>413</v>
      </c>
      <c r="G76">
        <f>VLOOKUP(A76,PPL!B:N,13,0)</f>
        <v>415</v>
      </c>
      <c r="H76">
        <f t="shared" si="2"/>
        <v>2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341</v>
      </c>
      <c r="F77">
        <v>352</v>
      </c>
      <c r="G77">
        <f>VLOOKUP(A77,PPL!B:N,13,0)</f>
        <v>362</v>
      </c>
      <c r="H77">
        <f t="shared" si="2"/>
        <v>10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416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348</v>
      </c>
      <c r="F79">
        <v>368</v>
      </c>
      <c r="G79">
        <f>VLOOKUP(A79,PPL!B:N,13,0)</f>
        <v>383</v>
      </c>
      <c r="H79">
        <f t="shared" si="2"/>
        <v>15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301</v>
      </c>
      <c r="F80">
        <v>339</v>
      </c>
      <c r="G80">
        <f>VLOOKUP(A80,PPL!B:N,13,0)</f>
        <v>367</v>
      </c>
      <c r="H80">
        <f t="shared" si="2"/>
        <v>28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553</v>
      </c>
      <c r="F81">
        <v>573</v>
      </c>
      <c r="G81">
        <f>VLOOKUP(A81,PPL!B:N,13,0)</f>
        <v>589</v>
      </c>
      <c r="H81">
        <f t="shared" si="2"/>
        <v>16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626</v>
      </c>
      <c r="F82">
        <v>644</v>
      </c>
      <c r="G82">
        <f>VLOOKUP(A82,PPL!B:N,13,0)</f>
        <v>654</v>
      </c>
      <c r="H82">
        <f t="shared" si="2"/>
        <v>10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499</v>
      </c>
      <c r="F83">
        <v>532</v>
      </c>
      <c r="G83">
        <f>VLOOKUP(A83,PPL!B:N,13,0)</f>
        <v>560</v>
      </c>
      <c r="H83">
        <f t="shared" si="2"/>
        <v>28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521</v>
      </c>
      <c r="F84">
        <v>563</v>
      </c>
      <c r="G84">
        <f>VLOOKUP(A84,PPL!B:N,13,0)</f>
        <v>572</v>
      </c>
      <c r="H84">
        <f t="shared" si="2"/>
        <v>9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399</v>
      </c>
      <c r="F85">
        <v>405</v>
      </c>
      <c r="G85">
        <f>VLOOKUP(A85,PPL!B:N,13,0)</f>
        <v>412</v>
      </c>
      <c r="H85">
        <f t="shared" si="2"/>
        <v>7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593</v>
      </c>
      <c r="F86">
        <v>627</v>
      </c>
      <c r="G86">
        <f>VLOOKUP(A86,PPL!B:N,13,0)</f>
        <v>638</v>
      </c>
      <c r="H86">
        <f t="shared" si="2"/>
        <v>11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413</v>
      </c>
      <c r="F87">
        <v>433</v>
      </c>
      <c r="G87">
        <f>VLOOKUP(A87,PPL!B:N,13,0)</f>
        <v>440</v>
      </c>
      <c r="H87">
        <f t="shared" si="2"/>
        <v>7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415</v>
      </c>
      <c r="F88">
        <v>435</v>
      </c>
      <c r="G88">
        <f>VLOOKUP(A88,PPL!B:N,13,0)</f>
        <v>435</v>
      </c>
      <c r="H88">
        <f t="shared" si="2"/>
        <v>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457</v>
      </c>
      <c r="F89">
        <v>457</v>
      </c>
      <c r="G89">
        <f>VLOOKUP(A89,PPL!B:N,13,0)</f>
        <v>462</v>
      </c>
      <c r="H89">
        <f t="shared" si="2"/>
        <v>5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489</v>
      </c>
      <c r="F90">
        <v>508</v>
      </c>
      <c r="G90">
        <f>VLOOKUP(A90,PPL!B:N,13,0)</f>
        <v>511</v>
      </c>
      <c r="H90">
        <f t="shared" si="2"/>
        <v>3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1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518</v>
      </c>
      <c r="F92">
        <v>530</v>
      </c>
      <c r="G92">
        <f>VLOOKUP(A92,PPL!B:N,13,0)</f>
        <v>530</v>
      </c>
      <c r="H92">
        <f t="shared" si="2"/>
        <v>0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548</v>
      </c>
      <c r="F93">
        <v>579</v>
      </c>
      <c r="G93">
        <f>VLOOKUP(A93,PPL!B:N,13,0)</f>
        <v>597</v>
      </c>
      <c r="H93">
        <f t="shared" si="2"/>
        <v>18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775</v>
      </c>
      <c r="F94">
        <v>824</v>
      </c>
      <c r="G94">
        <f>VLOOKUP(A94,PPL!B:N,13,0)</f>
        <v>828</v>
      </c>
      <c r="H94">
        <f t="shared" si="2"/>
        <v>4</v>
      </c>
      <c r="I94" t="b">
        <f t="shared" si="3"/>
        <v>0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730</v>
      </c>
      <c r="F95">
        <v>761</v>
      </c>
      <c r="G95">
        <f>VLOOKUP(A95,PPL!B:N,13,0)</f>
        <v>768</v>
      </c>
      <c r="H95">
        <f t="shared" si="2"/>
        <v>7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437</v>
      </c>
      <c r="F96">
        <v>476</v>
      </c>
      <c r="G96">
        <f>VLOOKUP(A96,PPL!B:N,13,0)</f>
        <v>483</v>
      </c>
      <c r="H96">
        <f t="shared" si="2"/>
        <v>7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488</v>
      </c>
      <c r="F97">
        <v>506</v>
      </c>
      <c r="G97">
        <f>VLOOKUP(A97,PPL!B:N,13,0)</f>
        <v>506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463</v>
      </c>
      <c r="F98">
        <v>497</v>
      </c>
      <c r="G98">
        <f>VLOOKUP(A98,PPL!B:N,13,0)</f>
        <v>504</v>
      </c>
      <c r="H98">
        <f t="shared" si="2"/>
        <v>7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616</v>
      </c>
      <c r="F99">
        <v>631</v>
      </c>
      <c r="G99">
        <f>VLOOKUP(A99,PPL!B:N,13,0)</f>
        <v>647</v>
      </c>
      <c r="H99">
        <f t="shared" si="2"/>
        <v>16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815</v>
      </c>
      <c r="F100">
        <v>839</v>
      </c>
      <c r="G100">
        <f>VLOOKUP(A100,PPL!B:N,13,0)</f>
        <v>843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540</v>
      </c>
      <c r="G101">
        <f>VLOOKUP(A101,PPL!B:N,13,0)</f>
        <v>540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691</v>
      </c>
      <c r="F102">
        <v>700</v>
      </c>
      <c r="G102">
        <f>VLOOKUP(A102,PPL!B:N,13,0)</f>
        <v>708</v>
      </c>
      <c r="H102">
        <f t="shared" si="2"/>
        <v>8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544</v>
      </c>
      <c r="F103">
        <v>548</v>
      </c>
      <c r="G103">
        <f>VLOOKUP(A103,PPL!B:N,13,0)</f>
        <v>552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565</v>
      </c>
      <c r="F104">
        <v>587</v>
      </c>
      <c r="G104">
        <f>VLOOKUP(A104,PPL!B:N,13,0)</f>
        <v>587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462</v>
      </c>
      <c r="F105">
        <v>473</v>
      </c>
      <c r="G105">
        <f>VLOOKUP(A105,PPL!B:N,13,0)</f>
        <v>473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653</v>
      </c>
      <c r="F106">
        <v>676</v>
      </c>
      <c r="G106">
        <f>VLOOKUP(A106,PPL!B:N,13,0)</f>
        <v>679</v>
      </c>
      <c r="H106">
        <f t="shared" si="2"/>
        <v>3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471</v>
      </c>
      <c r="F107">
        <v>471</v>
      </c>
      <c r="G107">
        <f>VLOOKUP(A107,PPL!B:N,13,0)</f>
        <v>496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446</v>
      </c>
      <c r="F108">
        <v>471</v>
      </c>
      <c r="G108">
        <f>VLOOKUP(A108,PPL!B:N,13,0)</f>
        <v>471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504</v>
      </c>
      <c r="F109">
        <v>506</v>
      </c>
      <c r="G109">
        <f>VLOOKUP(A109,PPL!B:N,13,0)</f>
        <v>512</v>
      </c>
      <c r="H109">
        <f t="shared" si="2"/>
        <v>6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487</v>
      </c>
      <c r="F110">
        <v>501</v>
      </c>
      <c r="G110">
        <f>VLOOKUP(A110,PPL!B:N,13,0)</f>
        <v>507</v>
      </c>
      <c r="H110">
        <f t="shared" si="2"/>
        <v>6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538</v>
      </c>
      <c r="F111">
        <v>550</v>
      </c>
      <c r="G111">
        <f>VLOOKUP(A111,PPL!B:N,13,0)</f>
        <v>577</v>
      </c>
      <c r="H111">
        <f t="shared" si="2"/>
        <v>27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v>419</v>
      </c>
      <c r="H112">
        <f t="shared" si="2"/>
        <v>1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625</v>
      </c>
      <c r="F113">
        <v>677</v>
      </c>
      <c r="G113">
        <f>VLOOKUP(A113,PPL!B:N,13,0)</f>
        <v>682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629</v>
      </c>
      <c r="F114">
        <v>655</v>
      </c>
      <c r="G114">
        <f>VLOOKUP(A114,PPL!B:N,13,0)</f>
        <v>690</v>
      </c>
      <c r="H114">
        <f t="shared" si="2"/>
        <v>35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809</v>
      </c>
      <c r="F115">
        <v>810</v>
      </c>
      <c r="G115">
        <f>VLOOKUP(A115,PPL!B:N,13,0)</f>
        <v>810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480</v>
      </c>
      <c r="F116">
        <v>530</v>
      </c>
      <c r="G116">
        <f>VLOOKUP(A116,PPL!B:N,13,0)</f>
        <v>532</v>
      </c>
      <c r="H116">
        <f t="shared" si="2"/>
        <v>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537</v>
      </c>
      <c r="F117">
        <v>544</v>
      </c>
      <c r="G117">
        <f>VLOOKUP(A117,PPL!B:N,13,0)</f>
        <v>544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494</v>
      </c>
      <c r="F118">
        <v>518</v>
      </c>
      <c r="G118">
        <f>VLOOKUP(A118,PPL!B:N,13,0)</f>
        <v>529</v>
      </c>
      <c r="H118">
        <f t="shared" si="2"/>
        <v>11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508</v>
      </c>
      <c r="F119">
        <v>508</v>
      </c>
      <c r="G119">
        <f>VLOOKUP(A119,PPL!B:N,13,0)</f>
        <v>524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404</v>
      </c>
      <c r="F120">
        <v>432</v>
      </c>
      <c r="G120">
        <f>VLOOKUP(A120,PPL!B:N,13,0)</f>
        <v>435</v>
      </c>
      <c r="H120">
        <f t="shared" si="2"/>
        <v>3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492</v>
      </c>
      <c r="F121">
        <v>553</v>
      </c>
      <c r="G121">
        <f>VLOOKUP(A121,PPL!B:N,13,0)</f>
        <v>611</v>
      </c>
      <c r="H121">
        <f t="shared" si="2"/>
        <v>58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589</v>
      </c>
      <c r="G122">
        <f>VLOOKUP(A122,PPL!B:N,13,0)</f>
        <v>589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560</v>
      </c>
      <c r="F123">
        <v>571</v>
      </c>
      <c r="G123">
        <f>VLOOKUP(A123,PPL!B:N,13,0)</f>
        <v>585</v>
      </c>
      <c r="H123">
        <f t="shared" si="2"/>
        <v>14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566</v>
      </c>
      <c r="F124">
        <v>566</v>
      </c>
      <c r="G124">
        <f>VLOOKUP(A124,PPL!B:N,13,0)</f>
        <v>605</v>
      </c>
      <c r="H124">
        <f t="shared" ref="H124:H151" si="4">G124-F124</f>
        <v>39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575</v>
      </c>
      <c r="F125">
        <v>581</v>
      </c>
      <c r="G125">
        <f>VLOOKUP(A125,PPL!B:N,13,0)</f>
        <v>585</v>
      </c>
      <c r="H125">
        <f t="shared" si="4"/>
        <v>4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516</v>
      </c>
      <c r="F126">
        <v>533</v>
      </c>
      <c r="G126">
        <f>VLOOKUP(A126,PPL!B:N,13,0)</f>
        <v>547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562</v>
      </c>
      <c r="F127">
        <v>580</v>
      </c>
      <c r="G127">
        <f>VLOOKUP(A127,PPL!B:N,13,0)</f>
        <v>596</v>
      </c>
      <c r="H127">
        <f t="shared" si="4"/>
        <v>16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429</v>
      </c>
      <c r="F128">
        <v>448</v>
      </c>
      <c r="G128">
        <f>VLOOKUP(A128,PPL!B:N,13,0)</f>
        <v>455</v>
      </c>
      <c r="H128">
        <f t="shared" si="4"/>
        <v>7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568</v>
      </c>
      <c r="F129">
        <v>608</v>
      </c>
      <c r="G129">
        <f>VLOOKUP(A129,PPL!B:N,13,0)</f>
        <v>643</v>
      </c>
      <c r="H129">
        <f t="shared" si="4"/>
        <v>35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547</v>
      </c>
      <c r="F130">
        <v>565</v>
      </c>
      <c r="G130">
        <f>VLOOKUP(A130,PPL!B:N,13,0)</f>
        <v>583</v>
      </c>
      <c r="H130">
        <f t="shared" si="4"/>
        <v>18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552</v>
      </c>
      <c r="F131">
        <v>569</v>
      </c>
      <c r="G131">
        <f>VLOOKUP(A131,PPL!B:N,13,0)</f>
        <v>576</v>
      </c>
      <c r="H131">
        <f t="shared" si="4"/>
        <v>7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631</v>
      </c>
      <c r="F132">
        <v>630</v>
      </c>
      <c r="G132">
        <f>VLOOKUP(A132,PPL!B:N,13,0)</f>
        <v>627</v>
      </c>
      <c r="H132">
        <f t="shared" si="4"/>
        <v>-3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2527</v>
      </c>
      <c r="F133">
        <v>2725</v>
      </c>
      <c r="G133">
        <f>VLOOKUP(A133,PML!A:K,11,0)</f>
        <v>2740</v>
      </c>
      <c r="H133">
        <f t="shared" si="4"/>
        <v>15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2617</v>
      </c>
      <c r="F134">
        <v>2753</v>
      </c>
      <c r="G134">
        <f>VLOOKUP(A134,PML!A:K,11,0)</f>
        <v>2899</v>
      </c>
      <c r="H134">
        <f t="shared" si="4"/>
        <v>146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2818</v>
      </c>
      <c r="F135">
        <v>3080</v>
      </c>
      <c r="G135">
        <f>VLOOKUP(A135,PML!A:K,11,0)</f>
        <v>3407</v>
      </c>
      <c r="H135">
        <f t="shared" si="4"/>
        <v>327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3696</v>
      </c>
      <c r="F136">
        <v>3764</v>
      </c>
      <c r="G136">
        <f>VLOOKUP(A136,PML!A:K,11,0)</f>
        <v>3765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3072</v>
      </c>
      <c r="F137">
        <v>3079</v>
      </c>
      <c r="G137">
        <f>VLOOKUP(A137,PML!A:K,11,0)</f>
        <v>3079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2667</v>
      </c>
      <c r="F138">
        <v>2683</v>
      </c>
      <c r="G138">
        <f>VLOOKUP(A138,PML!A:K,11,0)</f>
        <v>2702</v>
      </c>
      <c r="H138">
        <f t="shared" si="4"/>
        <v>19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2676</v>
      </c>
      <c r="F139">
        <v>2668</v>
      </c>
      <c r="G139">
        <f>VLOOKUP(A139,PML!A:K,11,0)</f>
        <v>2668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3586</v>
      </c>
      <c r="F140">
        <v>3758</v>
      </c>
      <c r="G140">
        <f>VLOOKUP(A140,PML!A:K,11,0)</f>
        <v>3818</v>
      </c>
      <c r="H140">
        <f t="shared" si="4"/>
        <v>60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3231</v>
      </c>
      <c r="F141">
        <v>3230</v>
      </c>
      <c r="G141">
        <f>VLOOKUP(A141,PML!A:K,11,0)</f>
        <v>3234</v>
      </c>
      <c r="H141">
        <f t="shared" si="4"/>
        <v>4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2267</v>
      </c>
      <c r="F142">
        <v>2288</v>
      </c>
      <c r="G142">
        <f>VLOOKUP(A142,PML!A:K,11,0)</f>
        <v>2398</v>
      </c>
      <c r="H142">
        <f t="shared" si="4"/>
        <v>110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2454</v>
      </c>
      <c r="F143">
        <v>2579</v>
      </c>
      <c r="G143">
        <f>VLOOKUP(A143,PML!A:K,11,0)</f>
        <v>2735</v>
      </c>
      <c r="H143">
        <f t="shared" si="4"/>
        <v>156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2566</v>
      </c>
      <c r="F144">
        <v>2748</v>
      </c>
      <c r="G144">
        <f>VLOOKUP(A144,PML!A:K,11,0)</f>
        <v>2788</v>
      </c>
      <c r="H144">
        <f t="shared" si="4"/>
        <v>40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1923</v>
      </c>
      <c r="F145">
        <v>2005</v>
      </c>
      <c r="G145">
        <f>VLOOKUP(A145,PML!A:K,11,0)</f>
        <v>2035</v>
      </c>
      <c r="H145">
        <f t="shared" si="4"/>
        <v>30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1857</v>
      </c>
      <c r="F146">
        <v>1851</v>
      </c>
      <c r="G146">
        <f>VLOOKUP(A146,PML!A:K,11,0)</f>
        <v>1845</v>
      </c>
      <c r="H146">
        <f t="shared" si="4"/>
        <v>-6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3717</v>
      </c>
      <c r="F147">
        <v>3739</v>
      </c>
      <c r="G147">
        <f>VLOOKUP(A147,PML!A:K,11,0)</f>
        <v>3739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3579</v>
      </c>
      <c r="F148">
        <v>3700</v>
      </c>
      <c r="G148">
        <f>VLOOKUP(A148,PML!A:K,11,0)</f>
        <v>3776</v>
      </c>
      <c r="H148">
        <f t="shared" si="4"/>
        <v>76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3633</v>
      </c>
      <c r="F149">
        <v>3803</v>
      </c>
      <c r="G149">
        <f>VLOOKUP(A149,PML!A:K,11,0)</f>
        <v>3821</v>
      </c>
      <c r="H149">
        <f t="shared" si="4"/>
        <v>18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2326</v>
      </c>
      <c r="F150">
        <v>2393</v>
      </c>
      <c r="G150">
        <f>VLOOKUP(A150,PML!A:K,11,0)</f>
        <v>2690</v>
      </c>
      <c r="H150">
        <f t="shared" si="4"/>
        <v>297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4195</v>
      </c>
      <c r="F151">
        <v>4332</v>
      </c>
      <c r="G151">
        <f>VLOOKUP(A151,PML!A:K,11,0)</f>
        <v>4424</v>
      </c>
      <c r="H151">
        <f t="shared" si="4"/>
        <v>92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418</v>
      </c>
      <c r="F152">
        <v>478</v>
      </c>
      <c r="G152">
        <f>VLOOKUP(A152,PPL!B:N,13,0)</f>
        <v>483</v>
      </c>
      <c r="H152">
        <f t="shared" ref="H152" si="6">G152-F152</f>
        <v>5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459</v>
      </c>
      <c r="F153">
        <v>460</v>
      </c>
      <c r="G153">
        <f>VLOOKUP(A153,PPL!B:N,13,0)</f>
        <v>463</v>
      </c>
      <c r="H153">
        <f t="shared" ref="H153:H155" si="8">G153-F153</f>
        <v>3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427</v>
      </c>
      <c r="F154">
        <v>463</v>
      </c>
      <c r="G154">
        <f>VLOOKUP(A154,PPL!B:N,13,0)</f>
        <v>475</v>
      </c>
      <c r="H154">
        <f t="shared" si="8"/>
        <v>12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548</v>
      </c>
      <c r="F155">
        <v>562</v>
      </c>
      <c r="G155">
        <f>VLOOKUP(A155,PPL!B:N,13,0)</f>
        <v>562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806</v>
      </c>
      <c r="F156">
        <v>886</v>
      </c>
      <c r="G156">
        <f>VLOOKUP(A156,PPL!B:N,13,0)</f>
        <v>960</v>
      </c>
      <c r="H156">
        <f t="shared" ref="H156:H158" si="10">G156-F156</f>
        <v>74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437</v>
      </c>
      <c r="F157">
        <v>444</v>
      </c>
      <c r="G157">
        <f>VLOOKUP(A157,PPL!B:N,13,0)</f>
        <v>445</v>
      </c>
      <c r="H157">
        <f t="shared" si="10"/>
        <v>1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428</v>
      </c>
      <c r="F158">
        <v>432</v>
      </c>
      <c r="G158">
        <f>VLOOKUP(A158,PPL!B:N,13,0)</f>
        <v>440</v>
      </c>
      <c r="H158">
        <f t="shared" si="10"/>
        <v>8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59" workbookViewId="0">
      <selection activeCell="B74" sqref="B74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500</v>
      </c>
      <c r="G2">
        <f>SUMIF(DATA!$A:$A,PPL!$A2,DATA!E:E)</f>
        <v>61</v>
      </c>
      <c r="H2">
        <f>SUMIF(DATA!$A:$A,PPL!$A2,DATA!F:F)</f>
        <v>97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4</v>
      </c>
      <c r="L2">
        <f>SUMIF(DATA!$A:$A,PPL!$A2,DATA!J:J)</f>
        <v>0</v>
      </c>
      <c r="M2">
        <f t="shared" ref="M2:M33" si="0">N2-Q2</f>
        <v>320</v>
      </c>
      <c r="N2">
        <f>F2+I2+J2+K2+L2</f>
        <v>505</v>
      </c>
      <c r="O2" s="3">
        <f>(N2/E2)*100</f>
        <v>76.16892911010558</v>
      </c>
      <c r="P2">
        <f>CEILING((E2-N2)/1,1)</f>
        <v>158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499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12</v>
      </c>
      <c r="J3">
        <f>SUMIF(DATA!$A:$A,PPL!$A3,DATA!H:H)</f>
        <v>1</v>
      </c>
      <c r="K3">
        <f>SUMIF(DATA!$A:$A,PPL!$A3,DATA!I:I)</f>
        <v>85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>
        <f t="shared" ref="P3:P66" si="3">CEILING((E3-N3)/1,1)</f>
        <v>43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716</v>
      </c>
      <c r="F4">
        <f>SUMIF(DATA!$A:$A,PPL!$A4,DATA!D:D)</f>
        <v>597</v>
      </c>
      <c r="G4">
        <f>SUMIF(DATA!$A:$A,PPL!$A4,DATA!E:E)</f>
        <v>16</v>
      </c>
      <c r="H4">
        <f>SUMIF(DATA!$A:$A,PPL!$A4,DATA!F:F)</f>
        <v>10</v>
      </c>
      <c r="I4">
        <f>SUMIF(DATA!$A:$A,PPL!$A4,DATA!G:G)</f>
        <v>6</v>
      </c>
      <c r="J4">
        <f>SUMIF(DATA!$A:$A,PPL!$A4,DATA!H:H)</f>
        <v>0</v>
      </c>
      <c r="K4">
        <f>SUMIF(DATA!$A:$A,PPL!$A4,DATA!I:I)</f>
        <v>87</v>
      </c>
      <c r="L4">
        <f>SUMIF(DATA!$A:$A,PPL!$A4,DATA!J:J)</f>
        <v>0</v>
      </c>
      <c r="M4">
        <f t="shared" si="0"/>
        <v>392</v>
      </c>
      <c r="N4">
        <f t="shared" si="1"/>
        <v>690</v>
      </c>
      <c r="O4" s="3">
        <f t="shared" si="2"/>
        <v>96.36871508379889</v>
      </c>
      <c r="P4">
        <f t="shared" si="3"/>
        <v>26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684</v>
      </c>
      <c r="F5">
        <f>SUMIF(DATA!$A:$A,PPL!$A5,DATA!D:D)</f>
        <v>439</v>
      </c>
      <c r="G5">
        <f>SUMIF(DATA!$A:$A,PPL!$A5,DATA!E:E)</f>
        <v>13</v>
      </c>
      <c r="H5">
        <f>SUMIF(DATA!$A:$A,PPL!$A5,DATA!F:F)</f>
        <v>75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156</v>
      </c>
      <c r="L5">
        <f>SUMIF(DATA!$A:$A,PPL!$A5,DATA!J:J)</f>
        <v>0</v>
      </c>
      <c r="M5">
        <f t="shared" si="0"/>
        <v>275</v>
      </c>
      <c r="N5">
        <f t="shared" si="1"/>
        <v>596</v>
      </c>
      <c r="O5" s="3">
        <f t="shared" si="2"/>
        <v>87.134502923976612</v>
      </c>
      <c r="P5">
        <f t="shared" si="3"/>
        <v>88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727</v>
      </c>
      <c r="F6">
        <f>SUMIF(DATA!$A:$A,PPL!$A6,DATA!D:D)</f>
        <v>335</v>
      </c>
      <c r="G6">
        <f>SUMIF(DATA!$A:$A,PPL!$A6,DATA!E:E)</f>
        <v>15</v>
      </c>
      <c r="H6">
        <f>SUMIF(DATA!$A:$A,PPL!$A6,DATA!F:F)</f>
        <v>188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189</v>
      </c>
      <c r="L6">
        <f>SUMIF(DATA!$A:$A,PPL!$A6,DATA!J:J)</f>
        <v>0</v>
      </c>
      <c r="M6">
        <f t="shared" si="0"/>
        <v>358</v>
      </c>
      <c r="N6">
        <f t="shared" si="1"/>
        <v>524</v>
      </c>
      <c r="O6" s="3">
        <f t="shared" si="2"/>
        <v>72.077028885832178</v>
      </c>
      <c r="P6">
        <f t="shared" si="3"/>
        <v>203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634</v>
      </c>
      <c r="F7">
        <f>SUMIF(DATA!$A:$A,PPL!$A7,DATA!D:D)</f>
        <v>284</v>
      </c>
      <c r="G7">
        <f>SUMIF(DATA!$A:$A,PPL!$A7,DATA!E:E)</f>
        <v>22</v>
      </c>
      <c r="H7">
        <f>SUMIF(DATA!$A:$A,PPL!$A7,DATA!F:F)</f>
        <v>68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259</v>
      </c>
      <c r="L7">
        <f>SUMIF(DATA!$A:$A,PPL!$A7,DATA!J:J)</f>
        <v>0</v>
      </c>
      <c r="M7">
        <f t="shared" si="0"/>
        <v>342</v>
      </c>
      <c r="N7">
        <f t="shared" si="1"/>
        <v>544</v>
      </c>
      <c r="O7" s="3">
        <f t="shared" si="2"/>
        <v>85.804416403785496</v>
      </c>
      <c r="P7">
        <f t="shared" si="3"/>
        <v>90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721</v>
      </c>
      <c r="F8">
        <f>SUMIF(DATA!$A:$A,PPL!$A8,DATA!D:D)</f>
        <v>664</v>
      </c>
      <c r="G8">
        <f>SUMIF(DATA!$A:$A,PPL!$A8,DATA!E:E)</f>
        <v>7</v>
      </c>
      <c r="H8">
        <f>SUMIF(DATA!$A:$A,PPL!$A8,DATA!F:F)</f>
        <v>11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37</v>
      </c>
      <c r="L8">
        <f>SUMIF(DATA!$A:$A,PPL!$A8,DATA!J:J)</f>
        <v>0</v>
      </c>
      <c r="M8">
        <f t="shared" si="0"/>
        <v>501</v>
      </c>
      <c r="N8">
        <f t="shared" si="1"/>
        <v>703</v>
      </c>
      <c r="O8" s="3">
        <f t="shared" si="2"/>
        <v>97.503467406380025</v>
      </c>
      <c r="P8">
        <f t="shared" si="3"/>
        <v>18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710</v>
      </c>
      <c r="F9">
        <f>SUMIF(DATA!$A:$A,PPL!$A9,DATA!D:D)</f>
        <v>310</v>
      </c>
      <c r="G9">
        <f>SUMIF(DATA!$A:$A,PPL!$A9,DATA!E:E)</f>
        <v>1</v>
      </c>
      <c r="H9">
        <f>SUMIF(DATA!$A:$A,PPL!$A9,DATA!F:F)</f>
        <v>56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343</v>
      </c>
      <c r="L9">
        <f>SUMIF(DATA!$A:$A,PPL!$A9,DATA!J:J)</f>
        <v>0</v>
      </c>
      <c r="M9">
        <f t="shared" si="0"/>
        <v>416</v>
      </c>
      <c r="N9">
        <f t="shared" si="1"/>
        <v>653</v>
      </c>
      <c r="O9" s="3">
        <f t="shared" si="2"/>
        <v>91.971830985915489</v>
      </c>
      <c r="P9">
        <f t="shared" si="3"/>
        <v>57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686</v>
      </c>
      <c r="F10">
        <f>SUMIF(DATA!$A:$A,PPL!$A10,DATA!D:D)</f>
        <v>329</v>
      </c>
      <c r="G10">
        <f>SUMIF(DATA!$A:$A,PPL!$A10,DATA!E:E)</f>
        <v>10</v>
      </c>
      <c r="H10">
        <f>SUMIF(DATA!$A:$A,PPL!$A10,DATA!F:F)</f>
        <v>87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260</v>
      </c>
      <c r="L10">
        <f>SUMIF(DATA!$A:$A,PPL!$A10,DATA!J:J)</f>
        <v>0</v>
      </c>
      <c r="M10">
        <f t="shared" si="0"/>
        <v>352</v>
      </c>
      <c r="N10">
        <f t="shared" si="1"/>
        <v>589</v>
      </c>
      <c r="O10" s="3">
        <f t="shared" si="2"/>
        <v>85.860058309037896</v>
      </c>
      <c r="P10">
        <f t="shared" si="3"/>
        <v>97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283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291</v>
      </c>
      <c r="G12">
        <f>SUMIF(DATA!$A:$A,PPL!$A12,DATA!E:E)</f>
        <v>12</v>
      </c>
      <c r="H12">
        <f>SUMIF(DATA!$A:$A,PPL!$A12,DATA!F:F)</f>
        <v>116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326</v>
      </c>
      <c r="L12">
        <f>SUMIF(DATA!$A:$A,PPL!$A12,DATA!J:J)</f>
        <v>0</v>
      </c>
      <c r="M12">
        <f t="shared" si="0"/>
        <v>335</v>
      </c>
      <c r="N12">
        <f t="shared" si="1"/>
        <v>617</v>
      </c>
      <c r="O12" s="3">
        <f t="shared" si="2"/>
        <v>82.818791946308721</v>
      </c>
      <c r="P12">
        <f t="shared" si="3"/>
        <v>128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797</v>
      </c>
      <c r="F13">
        <f>SUMIF(DATA!$A:$A,PPL!$A13,DATA!D:D)</f>
        <v>430</v>
      </c>
      <c r="G13">
        <f>SUMIF(DATA!$A:$A,PPL!$A13,DATA!E:E)</f>
        <v>22</v>
      </c>
      <c r="H13">
        <f>SUMIF(DATA!$A:$A,PPL!$A13,DATA!F:F)</f>
        <v>4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337</v>
      </c>
      <c r="L13">
        <f>SUMIF(DATA!$A:$A,PPL!$A13,DATA!J:J)</f>
        <v>0</v>
      </c>
      <c r="M13">
        <f t="shared" si="0"/>
        <v>548</v>
      </c>
      <c r="N13">
        <f t="shared" si="1"/>
        <v>771</v>
      </c>
      <c r="O13" s="3">
        <f t="shared" si="2"/>
        <v>96.737766624843161</v>
      </c>
      <c r="P13">
        <f t="shared" si="3"/>
        <v>26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707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3</v>
      </c>
      <c r="J14">
        <f>SUMIF(DATA!$A:$A,PPL!$A14,DATA!H:H)</f>
        <v>0</v>
      </c>
      <c r="K14">
        <f>SUMIF(DATA!$A:$A,PPL!$A14,DATA!I:I)</f>
        <v>29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>
        <f t="shared" si="3"/>
        <v>30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942</v>
      </c>
      <c r="F15">
        <f>SUMIF(DATA!$A:$A,PPL!$A15,DATA!D:D)</f>
        <v>436</v>
      </c>
      <c r="G15">
        <f>SUMIF(DATA!$A:$A,PPL!$A15,DATA!E:E)</f>
        <v>0</v>
      </c>
      <c r="H15">
        <f>SUMIF(DATA!$A:$A,PPL!$A15,DATA!F:F)</f>
        <v>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427</v>
      </c>
      <c r="L15">
        <f>SUMIF(DATA!$A:$A,PPL!$A15,DATA!J:J)</f>
        <v>1</v>
      </c>
      <c r="M15">
        <f t="shared" si="0"/>
        <v>516</v>
      </c>
      <c r="N15">
        <f t="shared" si="1"/>
        <v>864</v>
      </c>
      <c r="O15" s="3">
        <f t="shared" si="2"/>
        <v>91.719745222929944</v>
      </c>
      <c r="P15">
        <f t="shared" si="3"/>
        <v>78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737</v>
      </c>
      <c r="F16">
        <f>SUMIF(DATA!$A:$A,PPL!$A16,DATA!D:D)</f>
        <v>275</v>
      </c>
      <c r="G16">
        <f>SUMIF(DATA!$A:$A,PPL!$A16,DATA!E:E)</f>
        <v>49</v>
      </c>
      <c r="H16">
        <f>SUMIF(DATA!$A:$A,PPL!$A16,DATA!F:F)</f>
        <v>180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233</v>
      </c>
      <c r="L16">
        <f>SUMIF(DATA!$A:$A,PPL!$A16,DATA!J:J)</f>
        <v>0</v>
      </c>
      <c r="M16">
        <f t="shared" si="0"/>
        <v>291</v>
      </c>
      <c r="N16">
        <f t="shared" si="1"/>
        <v>508</v>
      </c>
      <c r="O16" s="3">
        <f t="shared" si="2"/>
        <v>68.928086838534597</v>
      </c>
      <c r="P16">
        <f t="shared" si="3"/>
        <v>229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771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68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167</v>
      </c>
      <c r="L17">
        <f>SUMIF(DATA!$A:$A,PPL!$A17,DATA!J:J)</f>
        <v>0</v>
      </c>
      <c r="M17">
        <f t="shared" si="0"/>
        <v>489</v>
      </c>
      <c r="N17">
        <f t="shared" si="1"/>
        <v>703</v>
      </c>
      <c r="O17" s="3">
        <f t="shared" si="2"/>
        <v>91.180285343709471</v>
      </c>
      <c r="P17">
        <f t="shared" si="3"/>
        <v>68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900</v>
      </c>
      <c r="F18">
        <f>SUMIF(DATA!$A:$A,PPL!$A18,DATA!D:D)</f>
        <v>440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455</v>
      </c>
      <c r="L18">
        <f>SUMIF(DATA!$A:$A,PPL!$A18,DATA!J:J)</f>
        <v>0</v>
      </c>
      <c r="M18">
        <f t="shared" si="0"/>
        <v>655</v>
      </c>
      <c r="N18">
        <f t="shared" si="1"/>
        <v>896</v>
      </c>
      <c r="O18" s="3">
        <f t="shared" si="2"/>
        <v>99.555555555555557</v>
      </c>
      <c r="P18">
        <f t="shared" si="3"/>
        <v>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335</v>
      </c>
      <c r="G19">
        <f>SUMIF(DATA!$A:$A,PPL!$A19,DATA!E:E)</f>
        <v>16</v>
      </c>
      <c r="H19">
        <f>SUMIF(DATA!$A:$A,PPL!$A19,DATA!F:F)</f>
        <v>22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357</v>
      </c>
      <c r="L19">
        <f>SUMIF(DATA!$A:$A,PPL!$A19,DATA!J:J)</f>
        <v>0</v>
      </c>
      <c r="M19">
        <f t="shared" si="0"/>
        <v>537</v>
      </c>
      <c r="N19">
        <f t="shared" si="1"/>
        <v>694</v>
      </c>
      <c r="O19" s="3">
        <f t="shared" si="2"/>
        <v>94.808743169398909</v>
      </c>
      <c r="P19">
        <f t="shared" si="3"/>
        <v>38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305</v>
      </c>
      <c r="G20">
        <f>SUMIF(DATA!$A:$A,PPL!$A20,DATA!E:E)</f>
        <v>46</v>
      </c>
      <c r="H20">
        <f>SUMIF(DATA!$A:$A,PPL!$A20,DATA!F:F)</f>
        <v>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338</v>
      </c>
      <c r="L20">
        <f>SUMIF(DATA!$A:$A,PPL!$A20,DATA!J:J)</f>
        <v>0</v>
      </c>
      <c r="M20">
        <f t="shared" si="0"/>
        <v>434</v>
      </c>
      <c r="N20">
        <f t="shared" si="1"/>
        <v>643</v>
      </c>
      <c r="O20" s="3">
        <f t="shared" si="2"/>
        <v>85.733333333333334</v>
      </c>
      <c r="P20">
        <f t="shared" si="3"/>
        <v>107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524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4</v>
      </c>
      <c r="J21">
        <f>SUMIF(DATA!$A:$A,PPL!$A21,DATA!H:H)</f>
        <v>0</v>
      </c>
      <c r="K21">
        <f>SUMIF(DATA!$A:$A,PPL!$A21,DATA!I:I)</f>
        <v>140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>
        <f t="shared" si="3"/>
        <v>28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836</v>
      </c>
      <c r="F22">
        <f>SUMIF(DATA!$A:$A,PPL!$A22,DATA!D:D)</f>
        <v>443</v>
      </c>
      <c r="G22">
        <f>SUMIF(DATA!$A:$A,PPL!$A22,DATA!E:E)</f>
        <v>108</v>
      </c>
      <c r="H22">
        <f>SUMIF(DATA!$A:$A,PPL!$A22,DATA!F:F)</f>
        <v>150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114</v>
      </c>
      <c r="L22">
        <f>SUMIF(DATA!$A:$A,PPL!$A22,DATA!J:J)</f>
        <v>0</v>
      </c>
      <c r="M22">
        <f t="shared" si="0"/>
        <v>345</v>
      </c>
      <c r="N22">
        <f t="shared" si="1"/>
        <v>578</v>
      </c>
      <c r="O22" s="3">
        <f t="shared" si="2"/>
        <v>69.138755980861248</v>
      </c>
      <c r="P22">
        <f t="shared" si="3"/>
        <v>258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3</v>
      </c>
      <c r="H23">
        <f>SUMIF(DATA!$A:$A,PPL!$A23,DATA!F:F)</f>
        <v>22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272</v>
      </c>
      <c r="L23">
        <f>SUMIF(DATA!$A:$A,PPL!$A23,DATA!J:J)</f>
        <v>0</v>
      </c>
      <c r="M23">
        <f t="shared" si="0"/>
        <v>595</v>
      </c>
      <c r="N23">
        <f t="shared" si="1"/>
        <v>884</v>
      </c>
      <c r="O23" s="3">
        <f t="shared" si="2"/>
        <v>97.249724972497248</v>
      </c>
      <c r="P23">
        <f t="shared" si="3"/>
        <v>25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756</v>
      </c>
      <c r="F24">
        <f>SUMIF(DATA!$A:$A,PPL!$A24,DATA!D:D)</f>
        <v>363</v>
      </c>
      <c r="G24">
        <f>SUMIF(DATA!$A:$A,PPL!$A24,DATA!E:E)</f>
        <v>38</v>
      </c>
      <c r="H24">
        <f>SUMIF(DATA!$A:$A,PPL!$A24,DATA!F:F)</f>
        <v>222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130</v>
      </c>
      <c r="L24">
        <f>SUMIF(DATA!$A:$A,PPL!$A24,DATA!J:J)</f>
        <v>0</v>
      </c>
      <c r="M24">
        <f t="shared" si="0"/>
        <v>274</v>
      </c>
      <c r="N24">
        <f t="shared" si="1"/>
        <v>496</v>
      </c>
      <c r="O24" s="3">
        <f t="shared" si="2"/>
        <v>65.608465608465607</v>
      </c>
      <c r="P24">
        <f t="shared" si="3"/>
        <v>260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908</v>
      </c>
      <c r="F25">
        <f>SUMIF(DATA!$A:$A,PPL!$A25,DATA!D:D)</f>
        <v>575</v>
      </c>
      <c r="G25">
        <f>SUMIF(DATA!$A:$A,PPL!$A25,DATA!E:E)</f>
        <v>30</v>
      </c>
      <c r="H25">
        <f>SUMIF(DATA!$A:$A,PPL!$A25,DATA!F:F)</f>
        <v>79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215</v>
      </c>
      <c r="L25">
        <f>SUMIF(DATA!$A:$A,PPL!$A25,DATA!J:J)</f>
        <v>0</v>
      </c>
      <c r="M25">
        <f t="shared" si="0"/>
        <v>441</v>
      </c>
      <c r="N25">
        <f t="shared" si="1"/>
        <v>799</v>
      </c>
      <c r="O25" s="3">
        <f t="shared" si="2"/>
        <v>87.995594713656388</v>
      </c>
      <c r="P25">
        <f t="shared" si="3"/>
        <v>109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782</v>
      </c>
      <c r="F26">
        <f>SUMIF(DATA!$A:$A,PPL!$A26,DATA!D:D)</f>
        <v>354</v>
      </c>
      <c r="G26">
        <f>SUMIF(DATA!$A:$A,PPL!$A26,DATA!E:E)</f>
        <v>41</v>
      </c>
      <c r="H26">
        <f>SUMIF(DATA!$A:$A,PPL!$A26,DATA!F:F)</f>
        <v>118</v>
      </c>
      <c r="I26">
        <f>SUMIF(DATA!$A:$A,PPL!$A26,DATA!G:G)</f>
        <v>17</v>
      </c>
      <c r="J26">
        <f>SUMIF(DATA!$A:$A,PPL!$A26,DATA!H:H)</f>
        <v>0</v>
      </c>
      <c r="K26">
        <f>SUMIF(DATA!$A:$A,PPL!$A26,DATA!I:I)</f>
        <v>252</v>
      </c>
      <c r="L26">
        <f>SUMIF(DATA!$A:$A,PPL!$A26,DATA!J:J)</f>
        <v>0</v>
      </c>
      <c r="M26">
        <f t="shared" si="0"/>
        <v>331</v>
      </c>
      <c r="N26">
        <f t="shared" si="1"/>
        <v>623</v>
      </c>
      <c r="O26" s="3">
        <f t="shared" si="2"/>
        <v>79.667519181585675</v>
      </c>
      <c r="P26">
        <f t="shared" si="3"/>
        <v>159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52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245</v>
      </c>
      <c r="L27">
        <f>SUMIF(DATA!$A:$A,PPL!$A27,DATA!J:J)</f>
        <v>0</v>
      </c>
      <c r="M27">
        <f t="shared" si="0"/>
        <v>374</v>
      </c>
      <c r="N27">
        <f t="shared" si="1"/>
        <v>634</v>
      </c>
      <c r="O27" s="3">
        <f t="shared" si="2"/>
        <v>92.285298398835508</v>
      </c>
      <c r="P27">
        <f t="shared" si="3"/>
        <v>53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854</v>
      </c>
      <c r="F28">
        <f>SUMIF(DATA!$A:$A,PPL!$A28,DATA!D:D)</f>
        <v>439</v>
      </c>
      <c r="G28">
        <f>SUMIF(DATA!$A:$A,PPL!$A28,DATA!E:E)</f>
        <v>58</v>
      </c>
      <c r="H28">
        <f>SUMIF(DATA!$A:$A,PPL!$A28,DATA!F:F)</f>
        <v>197</v>
      </c>
      <c r="I28">
        <f>SUMIF(DATA!$A:$A,PPL!$A28,DATA!G:G)</f>
        <v>49</v>
      </c>
      <c r="J28">
        <f>SUMIF(DATA!$A:$A,PPL!$A28,DATA!H:H)</f>
        <v>4</v>
      </c>
      <c r="K28">
        <f>SUMIF(DATA!$A:$A,PPL!$A28,DATA!I:I)</f>
        <v>107</v>
      </c>
      <c r="L28">
        <f>SUMIF(DATA!$A:$A,PPL!$A28,DATA!J:J)</f>
        <v>0</v>
      </c>
      <c r="M28">
        <f t="shared" si="0"/>
        <v>305</v>
      </c>
      <c r="N28">
        <f t="shared" si="1"/>
        <v>599</v>
      </c>
      <c r="O28" s="3">
        <f t="shared" si="2"/>
        <v>70.140515222482435</v>
      </c>
      <c r="P28">
        <f t="shared" si="3"/>
        <v>255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54</v>
      </c>
      <c r="H29">
        <f>SUMIF(DATA!$A:$A,PPL!$A29,DATA!F:F)</f>
        <v>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>
        <f t="shared" si="3"/>
        <v>59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719</v>
      </c>
      <c r="F30">
        <f>SUMIF(DATA!$A:$A,PPL!$A30,DATA!D:D)</f>
        <v>259</v>
      </c>
      <c r="G30">
        <f>SUMIF(DATA!$A:$A,PPL!$A30,DATA!E:E)</f>
        <v>50</v>
      </c>
      <c r="H30">
        <f>SUMIF(DATA!$A:$A,PPL!$A30,DATA!F:F)</f>
        <v>171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229</v>
      </c>
      <c r="L30">
        <f>SUMIF(DATA!$A:$A,PPL!$A30,DATA!J:J)</f>
        <v>0</v>
      </c>
      <c r="M30">
        <f t="shared" si="0"/>
        <v>244</v>
      </c>
      <c r="N30">
        <f t="shared" si="1"/>
        <v>498</v>
      </c>
      <c r="O30" s="3">
        <f t="shared" si="2"/>
        <v>69.262865090403338</v>
      </c>
      <c r="P30">
        <f t="shared" si="3"/>
        <v>221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80</v>
      </c>
      <c r="H31">
        <f>SUMIF(DATA!$A:$A,PPL!$A31,DATA!F:F)</f>
        <v>74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328</v>
      </c>
      <c r="L31">
        <f>SUMIF(DATA!$A:$A,PPL!$A31,DATA!J:J)</f>
        <v>0</v>
      </c>
      <c r="M31">
        <f t="shared" si="0"/>
        <v>331</v>
      </c>
      <c r="N31">
        <f t="shared" si="1"/>
        <v>681</v>
      </c>
      <c r="O31" s="3">
        <f t="shared" si="2"/>
        <v>81.556886227544908</v>
      </c>
      <c r="P31">
        <f t="shared" si="3"/>
        <v>154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897</v>
      </c>
      <c r="F32">
        <f>SUMIF(DATA!$A:$A,PPL!$A32,DATA!D:D)</f>
        <v>432</v>
      </c>
      <c r="G32">
        <f>SUMIF(DATA!$A:$A,PPL!$A32,DATA!E:E)</f>
        <v>2</v>
      </c>
      <c r="H32">
        <f>SUMIF(DATA!$A:$A,PPL!$A32,DATA!F:F)</f>
        <v>59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401</v>
      </c>
      <c r="L32">
        <f>SUMIF(DATA!$A:$A,PPL!$A32,DATA!J:J)</f>
        <v>0</v>
      </c>
      <c r="M32">
        <f t="shared" si="0"/>
        <v>431</v>
      </c>
      <c r="N32">
        <f t="shared" si="1"/>
        <v>836</v>
      </c>
      <c r="O32" s="3">
        <f t="shared" si="2"/>
        <v>93.199554069119287</v>
      </c>
      <c r="P32">
        <f t="shared" si="3"/>
        <v>61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834</v>
      </c>
      <c r="F33">
        <f>SUMIF(DATA!$A:$A,PPL!$A33,DATA!D:D)</f>
        <v>311</v>
      </c>
      <c r="G33">
        <f>SUMIF(DATA!$A:$A,PPL!$A33,DATA!E:E)</f>
        <v>19</v>
      </c>
      <c r="H33">
        <f>SUMIF(DATA!$A:$A,PPL!$A33,DATA!F:F)</f>
        <v>30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474</v>
      </c>
      <c r="L33">
        <f>SUMIF(DATA!$A:$A,PPL!$A33,DATA!J:J)</f>
        <v>0</v>
      </c>
      <c r="M33">
        <f t="shared" si="0"/>
        <v>525</v>
      </c>
      <c r="N33">
        <f t="shared" si="1"/>
        <v>785</v>
      </c>
      <c r="O33" s="3">
        <f t="shared" si="2"/>
        <v>94.124700239808163</v>
      </c>
      <c r="P33">
        <f t="shared" si="3"/>
        <v>49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748</v>
      </c>
      <c r="F34">
        <f>SUMIF(DATA!$A:$A,PPL!$A34,DATA!D:D)</f>
        <v>480</v>
      </c>
      <c r="G34">
        <f>SUMIF(DATA!$A:$A,PPL!$A34,DATA!E:E)</f>
        <v>62</v>
      </c>
      <c r="H34">
        <f>SUMIF(DATA!$A:$A,PPL!$A34,DATA!F:F)</f>
        <v>126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77</v>
      </c>
      <c r="L34">
        <f>SUMIF(DATA!$A:$A,PPL!$A34,DATA!J:J)</f>
        <v>0</v>
      </c>
      <c r="M34">
        <f t="shared" ref="M34:M65" si="4">N34-Q34</f>
        <v>307</v>
      </c>
      <c r="N34">
        <f t="shared" si="1"/>
        <v>560</v>
      </c>
      <c r="O34" s="3">
        <f t="shared" si="2"/>
        <v>74.866310160427801</v>
      </c>
      <c r="P34">
        <f t="shared" si="3"/>
        <v>188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687</v>
      </c>
      <c r="F35">
        <f>SUMIF(DATA!$A:$A,PPL!$A35,DATA!D:D)</f>
        <v>368</v>
      </c>
      <c r="G35">
        <f>SUMIF(DATA!$A:$A,PPL!$A35,DATA!E:E)</f>
        <v>107</v>
      </c>
      <c r="H35">
        <f>SUMIF(DATA!$A:$A,PPL!$A35,DATA!F:F)</f>
        <v>100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88</v>
      </c>
      <c r="L35">
        <f>SUMIF(DATA!$A:$A,PPL!$A35,DATA!J:J)</f>
        <v>0</v>
      </c>
      <c r="M35">
        <f t="shared" si="4"/>
        <v>255</v>
      </c>
      <c r="N35">
        <f t="shared" si="1"/>
        <v>480</v>
      </c>
      <c r="O35" s="3">
        <f t="shared" si="2"/>
        <v>69.868995633187765</v>
      </c>
      <c r="P35">
        <f t="shared" si="3"/>
        <v>207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958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56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150</v>
      </c>
      <c r="L36">
        <f>SUMIF(DATA!$A:$A,PPL!$A36,DATA!J:J)</f>
        <v>0</v>
      </c>
      <c r="M36">
        <f t="shared" si="4"/>
        <v>479</v>
      </c>
      <c r="N36">
        <f t="shared" si="1"/>
        <v>863</v>
      </c>
      <c r="O36" s="3">
        <f t="shared" si="2"/>
        <v>90.083507306889359</v>
      </c>
      <c r="P36">
        <f t="shared" si="3"/>
        <v>95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840</v>
      </c>
      <c r="F37">
        <f>SUMIF(DATA!$A:$A,PPL!$A37,DATA!D:D)</f>
        <v>562</v>
      </c>
      <c r="G37">
        <f>SUMIF(DATA!$A:$A,PPL!$A37,DATA!E:E)</f>
        <v>92</v>
      </c>
      <c r="H37">
        <f>SUMIF(DATA!$A:$A,PPL!$A37,DATA!F:F)</f>
        <v>142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42</v>
      </c>
      <c r="L37">
        <f>SUMIF(DATA!$A:$A,PPL!$A37,DATA!J:J)</f>
        <v>0</v>
      </c>
      <c r="M37">
        <f t="shared" si="4"/>
        <v>296</v>
      </c>
      <c r="N37">
        <f t="shared" si="1"/>
        <v>606</v>
      </c>
      <c r="O37" s="3">
        <f t="shared" si="2"/>
        <v>72.142857142857139</v>
      </c>
      <c r="P37">
        <f t="shared" si="3"/>
        <v>234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932</v>
      </c>
      <c r="F38">
        <f>SUMIF(DATA!$A:$A,PPL!$A38,DATA!D:D)</f>
        <v>464</v>
      </c>
      <c r="G38">
        <f>SUMIF(DATA!$A:$A,PPL!$A38,DATA!E:E)</f>
        <v>27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73</v>
      </c>
      <c r="L38">
        <f>SUMIF(DATA!$A:$A,PPL!$A38,DATA!J:J)</f>
        <v>0</v>
      </c>
      <c r="M38">
        <f t="shared" si="4"/>
        <v>128</v>
      </c>
      <c r="N38">
        <f t="shared" si="1"/>
        <v>539</v>
      </c>
      <c r="O38" s="3">
        <f t="shared" si="2"/>
        <v>57.832618025751067</v>
      </c>
      <c r="P38">
        <f t="shared" si="3"/>
        <v>393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801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151</v>
      </c>
      <c r="I39">
        <f>SUMIF(DATA!$A:$A,PPL!$A39,DATA!G:G)</f>
        <v>5</v>
      </c>
      <c r="J39">
        <f>SUMIF(DATA!$A:$A,PPL!$A39,DATA!H:H)</f>
        <v>1</v>
      </c>
      <c r="K39">
        <f>SUMIF(DATA!$A:$A,PPL!$A39,DATA!I:I)</f>
        <v>252</v>
      </c>
      <c r="L39">
        <f>SUMIF(DATA!$A:$A,PPL!$A39,DATA!J:J)</f>
        <v>1</v>
      </c>
      <c r="M39">
        <f t="shared" si="4"/>
        <v>435</v>
      </c>
      <c r="N39">
        <f t="shared" si="1"/>
        <v>627</v>
      </c>
      <c r="O39" s="3">
        <f t="shared" si="2"/>
        <v>78.277153558052433</v>
      </c>
      <c r="P39">
        <f t="shared" si="3"/>
        <v>174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59</v>
      </c>
      <c r="J40">
        <f>SUMIF(DATA!$A:$A,PPL!$A40,DATA!H:H)</f>
        <v>1</v>
      </c>
      <c r="K40">
        <f>SUMIF(DATA!$A:$A,PPL!$A40,DATA!I:I)</f>
        <v>269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>
        <f t="shared" si="3"/>
        <v>183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982</v>
      </c>
      <c r="F41">
        <f>SUMIF(DATA!$A:$A,PPL!$A41,DATA!D:D)</f>
        <v>454</v>
      </c>
      <c r="G41">
        <f>SUMIF(DATA!$A:$A,PPL!$A41,DATA!E:E)</f>
        <v>24</v>
      </c>
      <c r="H41">
        <f>SUMIF(DATA!$A:$A,PPL!$A41,DATA!F:F)</f>
        <v>116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378</v>
      </c>
      <c r="L41">
        <f>SUMIF(DATA!$A:$A,PPL!$A41,DATA!J:J)</f>
        <v>0</v>
      </c>
      <c r="M41">
        <f t="shared" si="4"/>
        <v>537</v>
      </c>
      <c r="N41">
        <f t="shared" si="1"/>
        <v>842</v>
      </c>
      <c r="O41" s="3">
        <f t="shared" si="2"/>
        <v>85.743380855397149</v>
      </c>
      <c r="P41">
        <f t="shared" si="3"/>
        <v>140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723</v>
      </c>
      <c r="F42">
        <f>SUMIF(DATA!$A:$A,PPL!$A42,DATA!D:D)</f>
        <v>252</v>
      </c>
      <c r="G42">
        <f>SUMIF(DATA!$A:$A,PPL!$A42,DATA!E:E)</f>
        <v>40</v>
      </c>
      <c r="H42">
        <f>SUMIF(DATA!$A:$A,PPL!$A42,DATA!F:F)</f>
        <v>260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135</v>
      </c>
      <c r="L42">
        <f>SUMIF(DATA!$A:$A,PPL!$A42,DATA!J:J)</f>
        <v>0</v>
      </c>
      <c r="M42">
        <f t="shared" si="4"/>
        <v>209</v>
      </c>
      <c r="N42">
        <f t="shared" si="1"/>
        <v>423</v>
      </c>
      <c r="O42" s="3">
        <f t="shared" si="2"/>
        <v>58.506224066390047</v>
      </c>
      <c r="P42">
        <f t="shared" si="3"/>
        <v>300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792</v>
      </c>
      <c r="F43">
        <f>SUMIF(DATA!$A:$A,PPL!$A43,DATA!D:D)</f>
        <v>283</v>
      </c>
      <c r="G43">
        <f>SUMIF(DATA!$A:$A,PPL!$A43,DATA!E:E)</f>
        <v>15</v>
      </c>
      <c r="H43">
        <f>SUMIF(DATA!$A:$A,PPL!$A43,DATA!F:F)</f>
        <v>51</v>
      </c>
      <c r="I43">
        <f>SUMIF(DATA!$A:$A,PPL!$A43,DATA!G:G)</f>
        <v>7</v>
      </c>
      <c r="J43">
        <f>SUMIF(DATA!$A:$A,PPL!$A43,DATA!H:H)</f>
        <v>0</v>
      </c>
      <c r="K43">
        <f>SUMIF(DATA!$A:$A,PPL!$A43,DATA!I:I)</f>
        <v>436</v>
      </c>
      <c r="L43">
        <f>SUMIF(DATA!$A:$A,PPL!$A43,DATA!J:J)</f>
        <v>0</v>
      </c>
      <c r="M43">
        <f t="shared" si="4"/>
        <v>492</v>
      </c>
      <c r="N43">
        <f t="shared" si="1"/>
        <v>726</v>
      </c>
      <c r="O43" s="3">
        <f t="shared" si="2"/>
        <v>91.666666666666657</v>
      </c>
      <c r="P43">
        <f t="shared" si="3"/>
        <v>66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570</v>
      </c>
      <c r="F44">
        <f>SUMIF(DATA!$A:$A,PPL!$A44,DATA!D:D)</f>
        <v>420</v>
      </c>
      <c r="G44">
        <f>SUMIF(DATA!$A:$A,PPL!$A44,DATA!E:E)</f>
        <v>3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1</v>
      </c>
      <c r="K44">
        <f>SUMIF(DATA!$A:$A,PPL!$A44,DATA!I:I)</f>
        <v>146</v>
      </c>
      <c r="L44">
        <f>SUMIF(DATA!$A:$A,PPL!$A44,DATA!J:J)</f>
        <v>0</v>
      </c>
      <c r="M44">
        <f t="shared" si="4"/>
        <v>368</v>
      </c>
      <c r="N44">
        <f t="shared" si="1"/>
        <v>567</v>
      </c>
      <c r="O44" s="3">
        <f t="shared" si="2"/>
        <v>99.473684210526315</v>
      </c>
      <c r="P44">
        <f t="shared" si="3"/>
        <v>3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613</v>
      </c>
      <c r="F45">
        <f>SUMIF(DATA!$A:$A,PPL!$A45,DATA!D:D)</f>
        <v>563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42</v>
      </c>
      <c r="L45">
        <f>SUMIF(DATA!$A:$A,PPL!$A45,DATA!J:J)</f>
        <v>0</v>
      </c>
      <c r="M45">
        <f t="shared" si="4"/>
        <v>453</v>
      </c>
      <c r="N45">
        <f t="shared" si="1"/>
        <v>607</v>
      </c>
      <c r="O45" s="3">
        <f t="shared" si="2"/>
        <v>99.021207177814034</v>
      </c>
      <c r="P45">
        <f t="shared" si="3"/>
        <v>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431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224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326</v>
      </c>
      <c r="L47">
        <f>SUMIF(DATA!$A:$A,PPL!$A47,DATA!J:J)</f>
        <v>0</v>
      </c>
      <c r="M47">
        <f t="shared" si="4"/>
        <v>466</v>
      </c>
      <c r="N47">
        <f t="shared" si="1"/>
        <v>704</v>
      </c>
      <c r="O47" s="3">
        <f t="shared" si="2"/>
        <v>99.575671852899575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2</v>
      </c>
      <c r="J48">
        <f>SUMIF(DATA!$A:$A,PPL!$A48,DATA!H:H)</f>
        <v>1</v>
      </c>
      <c r="K48">
        <f>SUMIF(DATA!$A:$A,PPL!$A48,DATA!I:I)</f>
        <v>378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752</v>
      </c>
      <c r="F49">
        <f>SUMIF(DATA!$A:$A,PPL!$A49,DATA!D:D)</f>
        <v>281</v>
      </c>
      <c r="G49">
        <f>SUMIF(DATA!$A:$A,PPL!$A49,DATA!E:E)</f>
        <v>43</v>
      </c>
      <c r="H49">
        <f>SUMIF(DATA!$A:$A,PPL!$A49,DATA!F:F)</f>
        <v>121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306</v>
      </c>
      <c r="L49">
        <f>SUMIF(DATA!$A:$A,PPL!$A49,DATA!J:J)</f>
        <v>0</v>
      </c>
      <c r="M49">
        <f t="shared" si="4"/>
        <v>304</v>
      </c>
      <c r="N49">
        <f t="shared" si="1"/>
        <v>588</v>
      </c>
      <c r="O49" s="3">
        <f t="shared" si="2"/>
        <v>78.191489361702125</v>
      </c>
      <c r="P49">
        <f t="shared" si="3"/>
        <v>164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798</v>
      </c>
      <c r="F50">
        <f>SUMIF(DATA!$A:$A,PPL!$A50,DATA!D:D)</f>
        <v>427</v>
      </c>
      <c r="G50">
        <f>SUMIF(DATA!$A:$A,PPL!$A50,DATA!E:E)</f>
        <v>38</v>
      </c>
      <c r="H50">
        <f>SUMIF(DATA!$A:$A,PPL!$A50,DATA!F:F)</f>
        <v>17</v>
      </c>
      <c r="I50">
        <f>SUMIF(DATA!$A:$A,PPL!$A50,DATA!G:G)</f>
        <v>10</v>
      </c>
      <c r="J50">
        <f>SUMIF(DATA!$A:$A,PPL!$A50,DATA!H:H)</f>
        <v>2</v>
      </c>
      <c r="K50">
        <f>SUMIF(DATA!$A:$A,PPL!$A50,DATA!I:I)</f>
        <v>304</v>
      </c>
      <c r="L50">
        <f>SUMIF(DATA!$A:$A,PPL!$A50,DATA!J:J)</f>
        <v>0</v>
      </c>
      <c r="M50">
        <f t="shared" si="4"/>
        <v>510</v>
      </c>
      <c r="N50">
        <f t="shared" si="1"/>
        <v>743</v>
      </c>
      <c r="O50" s="3">
        <f t="shared" si="2"/>
        <v>93.107769423558892</v>
      </c>
      <c r="P50">
        <f t="shared" si="3"/>
        <v>55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271</v>
      </c>
      <c r="L51">
        <f>SUMIF(DATA!$A:$A,PPL!$A51,DATA!J:J)</f>
        <v>0</v>
      </c>
      <c r="M51">
        <f t="shared" si="4"/>
        <v>475</v>
      </c>
      <c r="N51">
        <f t="shared" si="1"/>
        <v>638</v>
      </c>
      <c r="O51" s="3">
        <f t="shared" si="2"/>
        <v>95.652173913043484</v>
      </c>
      <c r="P51">
        <f t="shared" si="3"/>
        <v>29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850</v>
      </c>
      <c r="F52">
        <f>SUMIF(DATA!$A:$A,PPL!$A52,DATA!D:D)</f>
        <v>364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477</v>
      </c>
      <c r="L52">
        <f>SUMIF(DATA!$A:$A,PPL!$A52,DATA!J:J)</f>
        <v>0</v>
      </c>
      <c r="M52">
        <f t="shared" si="4"/>
        <v>603</v>
      </c>
      <c r="N52">
        <f t="shared" si="1"/>
        <v>841</v>
      </c>
      <c r="O52" s="3">
        <f t="shared" si="2"/>
        <v>98.941176470588232</v>
      </c>
      <c r="P52">
        <f t="shared" si="3"/>
        <v>9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2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313</v>
      </c>
      <c r="L53">
        <f>SUMIF(DATA!$A:$A,PPL!$A53,DATA!J:J)</f>
        <v>0</v>
      </c>
      <c r="M53">
        <f t="shared" si="4"/>
        <v>459</v>
      </c>
      <c r="N53">
        <f t="shared" si="1"/>
        <v>664</v>
      </c>
      <c r="O53" s="3">
        <f t="shared" si="2"/>
        <v>99.699699699699693</v>
      </c>
      <c r="P53">
        <f t="shared" si="3"/>
        <v>2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246</v>
      </c>
      <c r="L54">
        <f>SUMIF(DATA!$A:$A,PPL!$A54,DATA!J:J)</f>
        <v>0</v>
      </c>
      <c r="M54">
        <f t="shared" si="4"/>
        <v>458</v>
      </c>
      <c r="N54">
        <f t="shared" si="1"/>
        <v>701</v>
      </c>
      <c r="O54" s="3">
        <f t="shared" si="2"/>
        <v>97.496522948539649</v>
      </c>
      <c r="P54">
        <f t="shared" si="3"/>
        <v>18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709</v>
      </c>
      <c r="F55">
        <f>SUMIF(DATA!$A:$A,PPL!$A55,DATA!D:D)</f>
        <v>232</v>
      </c>
      <c r="G55">
        <f>SUMIF(DATA!$A:$A,PPL!$A55,DATA!E:E)</f>
        <v>33</v>
      </c>
      <c r="H55">
        <f>SUMIF(DATA!$A:$A,PPL!$A55,DATA!F:F)</f>
        <v>130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304</v>
      </c>
      <c r="L55">
        <f>SUMIF(DATA!$A:$A,PPL!$A55,DATA!J:J)</f>
        <v>0</v>
      </c>
      <c r="M55">
        <f t="shared" si="4"/>
        <v>411</v>
      </c>
      <c r="N55">
        <f t="shared" si="1"/>
        <v>546</v>
      </c>
      <c r="O55" s="3">
        <f t="shared" si="2"/>
        <v>77.0098730606488</v>
      </c>
      <c r="P55">
        <f t="shared" si="3"/>
        <v>163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333</v>
      </c>
      <c r="G56">
        <f>SUMIF(DATA!$A:$A,PPL!$A56,DATA!E:E)</f>
        <v>13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256</v>
      </c>
      <c r="L56">
        <f>SUMIF(DATA!$A:$A,PPL!$A56,DATA!J:J)</f>
        <v>0</v>
      </c>
      <c r="M56">
        <f t="shared" si="4"/>
        <v>442</v>
      </c>
      <c r="N56">
        <f t="shared" si="1"/>
        <v>671</v>
      </c>
      <c r="O56" s="3">
        <f t="shared" si="2"/>
        <v>97.671033478893747</v>
      </c>
      <c r="P56">
        <f t="shared" si="3"/>
        <v>16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761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92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103</v>
      </c>
      <c r="L57">
        <f>SUMIF(DATA!$A:$A,PPL!$A57,DATA!J:J)</f>
        <v>0</v>
      </c>
      <c r="M57">
        <f t="shared" si="4"/>
        <v>398</v>
      </c>
      <c r="N57">
        <f t="shared" si="1"/>
        <v>633</v>
      </c>
      <c r="O57" s="3">
        <f t="shared" si="2"/>
        <v>83.180026281208939</v>
      </c>
      <c r="P57">
        <f t="shared" si="3"/>
        <v>128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708</v>
      </c>
      <c r="F58">
        <f>SUMIF(DATA!$A:$A,PPL!$A58,DATA!D:D)</f>
        <v>483</v>
      </c>
      <c r="G58">
        <f>SUMIF(DATA!$A:$A,PPL!$A58,DATA!E:E)</f>
        <v>29</v>
      </c>
      <c r="H58">
        <f>SUMIF(DATA!$A:$A,PPL!$A58,DATA!F:F)</f>
        <v>0</v>
      </c>
      <c r="I58">
        <f>SUMIF(DATA!$A:$A,PPL!$A58,DATA!G:G)</f>
        <v>5</v>
      </c>
      <c r="J58">
        <f>SUMIF(DATA!$A:$A,PPL!$A58,DATA!H:H)</f>
        <v>1</v>
      </c>
      <c r="K58">
        <f>SUMIF(DATA!$A:$A,PPL!$A58,DATA!I:I)</f>
        <v>190</v>
      </c>
      <c r="L58">
        <f>SUMIF(DATA!$A:$A,PPL!$A58,DATA!J:J)</f>
        <v>0</v>
      </c>
      <c r="M58">
        <f t="shared" si="4"/>
        <v>497</v>
      </c>
      <c r="N58">
        <f t="shared" si="1"/>
        <v>679</v>
      </c>
      <c r="O58" s="3">
        <f t="shared" si="2"/>
        <v>95.903954802259889</v>
      </c>
      <c r="P58">
        <f t="shared" si="3"/>
        <v>29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775</v>
      </c>
      <c r="F59">
        <f>SUMIF(DATA!$A:$A,PPL!$A59,DATA!D:D)</f>
        <v>600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155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97.677419354838719</v>
      </c>
      <c r="P59">
        <f t="shared" si="3"/>
        <v>18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826</v>
      </c>
      <c r="F60">
        <f>SUMIF(DATA!$A:$A,PPL!$A60,DATA!D:D)</f>
        <v>443</v>
      </c>
      <c r="G60">
        <f>SUMIF(DATA!$A:$A,PPL!$A60,DATA!E:E)</f>
        <v>18</v>
      </c>
      <c r="H60">
        <f>SUMIF(DATA!$A:$A,PPL!$A60,DATA!F:F)</f>
        <v>85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279</v>
      </c>
      <c r="L60">
        <f>SUMIF(DATA!$A:$A,PPL!$A60,DATA!J:J)</f>
        <v>0</v>
      </c>
      <c r="M60">
        <f t="shared" si="4"/>
        <v>557</v>
      </c>
      <c r="N60">
        <f t="shared" si="1"/>
        <v>723</v>
      </c>
      <c r="O60" s="3">
        <f t="shared" si="2"/>
        <v>87.530266343825673</v>
      </c>
      <c r="P60">
        <f t="shared" si="3"/>
        <v>103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32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359</v>
      </c>
      <c r="L61">
        <f>SUMIF(DATA!$A:$A,PPL!$A61,DATA!J:J)</f>
        <v>0</v>
      </c>
      <c r="M61">
        <f t="shared" si="4"/>
        <v>484</v>
      </c>
      <c r="N61">
        <f t="shared" si="1"/>
        <v>766</v>
      </c>
      <c r="O61" s="3">
        <f t="shared" si="2"/>
        <v>95.869837296620773</v>
      </c>
      <c r="P61">
        <f t="shared" si="3"/>
        <v>33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787</v>
      </c>
      <c r="F62">
        <f>SUMIF(DATA!$A:$A,PPL!$A62,DATA!D:D)</f>
        <v>280</v>
      </c>
      <c r="G62">
        <f>SUMIF(DATA!$A:$A,PPL!$A62,DATA!E:E)</f>
        <v>32</v>
      </c>
      <c r="H62">
        <f>SUMIF(DATA!$A:$A,PPL!$A62,DATA!F:F)</f>
        <v>73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401</v>
      </c>
      <c r="L62">
        <f>SUMIF(DATA!$A:$A,PPL!$A62,DATA!J:J)</f>
        <v>0</v>
      </c>
      <c r="M62">
        <f t="shared" si="4"/>
        <v>569</v>
      </c>
      <c r="N62">
        <f t="shared" si="1"/>
        <v>682</v>
      </c>
      <c r="O62" s="3">
        <f t="shared" si="2"/>
        <v>86.658195679796705</v>
      </c>
      <c r="P62">
        <f t="shared" si="3"/>
        <v>105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898</v>
      </c>
      <c r="F63">
        <f>SUMIF(DATA!$A:$A,PPL!$A63,DATA!D:D)</f>
        <v>698</v>
      </c>
      <c r="G63">
        <f>SUMIF(DATA!$A:$A,PPL!$A63,DATA!E:E)</f>
        <v>22</v>
      </c>
      <c r="H63">
        <f>SUMIF(DATA!$A:$A,PPL!$A63,DATA!F:F)</f>
        <v>13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165</v>
      </c>
      <c r="L63">
        <f>SUMIF(DATA!$A:$A,PPL!$A63,DATA!J:J)</f>
        <v>0</v>
      </c>
      <c r="M63">
        <f t="shared" si="4"/>
        <v>702</v>
      </c>
      <c r="N63">
        <f t="shared" ref="N63:N124" si="5">F63+I63+J63+K63+L63</f>
        <v>863</v>
      </c>
      <c r="O63" s="3">
        <f t="shared" ref="O63:O124" si="6">(N63/E63)*100</f>
        <v>96.102449888641431</v>
      </c>
      <c r="P63">
        <f t="shared" si="3"/>
        <v>35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468</v>
      </c>
      <c r="G64">
        <f>SUMIF(DATA!$A:$A,PPL!$A64,DATA!E:E)</f>
        <v>11</v>
      </c>
      <c r="H64">
        <f>SUMIF(DATA!$A:$A,PPL!$A64,DATA!F:F)</f>
        <v>36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145</v>
      </c>
      <c r="L64">
        <f>SUMIF(DATA!$A:$A,PPL!$A64,DATA!J:J)</f>
        <v>0</v>
      </c>
      <c r="M64">
        <f t="shared" si="4"/>
        <v>505</v>
      </c>
      <c r="N64">
        <f t="shared" si="5"/>
        <v>638</v>
      </c>
      <c r="O64" s="3">
        <f t="shared" si="6"/>
        <v>93.138686131386862</v>
      </c>
      <c r="P64">
        <f t="shared" si="3"/>
        <v>47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21</v>
      </c>
      <c r="H65">
        <f>SUMIF(DATA!$A:$A,PPL!$A65,DATA!F:F)</f>
        <v>41</v>
      </c>
      <c r="I65">
        <f>SUMIF(DATA!$A:$A,PPL!$A65,DATA!G:G)</f>
        <v>5</v>
      </c>
      <c r="J65">
        <f>SUMIF(DATA!$A:$A,PPL!$A65,DATA!H:H)</f>
        <v>0</v>
      </c>
      <c r="K65">
        <f>SUMIF(DATA!$A:$A,PPL!$A65,DATA!I:I)</f>
        <v>267</v>
      </c>
      <c r="L65">
        <f>SUMIF(DATA!$A:$A,PPL!$A65,DATA!J:J)</f>
        <v>0</v>
      </c>
      <c r="M65">
        <f t="shared" si="4"/>
        <v>521</v>
      </c>
      <c r="N65">
        <f t="shared" si="5"/>
        <v>651</v>
      </c>
      <c r="O65" s="3">
        <f t="shared" si="6"/>
        <v>91.304347826086953</v>
      </c>
      <c r="P65">
        <f t="shared" si="3"/>
        <v>62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523</v>
      </c>
      <c r="F66">
        <f>SUMIF(DATA!$A:$A,PPL!$A66,DATA!D:D)</f>
        <v>342</v>
      </c>
      <c r="G66">
        <f>SUMIF(DATA!$A:$A,PPL!$A66,DATA!E:E)</f>
        <v>0</v>
      </c>
      <c r="H66">
        <f>SUMIF(DATA!$A:$A,PPL!$A66,DATA!F:F)</f>
        <v>68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110</v>
      </c>
      <c r="L66">
        <f>SUMIF(DATA!$A:$A,PPL!$A66,DATA!J:J)</f>
        <v>0</v>
      </c>
      <c r="M66">
        <f t="shared" ref="M66:M97" si="7">N66-Q66</f>
        <v>298</v>
      </c>
      <c r="N66">
        <f t="shared" si="5"/>
        <v>455</v>
      </c>
      <c r="O66" s="3">
        <f t="shared" si="6"/>
        <v>86.9980879541109</v>
      </c>
      <c r="P66">
        <f t="shared" si="3"/>
        <v>68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549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96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220</v>
      </c>
      <c r="L67">
        <f>SUMIF(DATA!$A:$A,PPL!$A67,DATA!J:J)</f>
        <v>0</v>
      </c>
      <c r="M67">
        <f t="shared" si="7"/>
        <v>326</v>
      </c>
      <c r="N67">
        <f t="shared" si="5"/>
        <v>446</v>
      </c>
      <c r="O67" s="3">
        <f t="shared" si="6"/>
        <v>81.23861566484517</v>
      </c>
      <c r="P67">
        <f t="shared" ref="P67:P130" si="8">CEILING((E67-N67)/1,1)</f>
        <v>103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270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199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>
        <f t="shared" si="8"/>
        <v>65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474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44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117</v>
      </c>
      <c r="L69">
        <f>SUMIF(DATA!$A:$A,PPL!$A69,DATA!J:J)</f>
        <v>0</v>
      </c>
      <c r="M69">
        <f t="shared" si="7"/>
        <v>293</v>
      </c>
      <c r="N69">
        <f t="shared" si="5"/>
        <v>430</v>
      </c>
      <c r="O69" s="3">
        <f t="shared" si="6"/>
        <v>90.71729957805907</v>
      </c>
      <c r="P69">
        <f t="shared" si="8"/>
        <v>44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362</v>
      </c>
      <c r="G70">
        <f>SUMIF(DATA!$A:$A,PPL!$A70,DATA!E:E)</f>
        <v>1</v>
      </c>
      <c r="H70">
        <f>SUMIF(DATA!$A:$A,PPL!$A70,DATA!F:F)</f>
        <v>78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149</v>
      </c>
      <c r="L70">
        <f>SUMIF(DATA!$A:$A,PPL!$A70,DATA!J:J)</f>
        <v>0</v>
      </c>
      <c r="M70">
        <f t="shared" si="7"/>
        <v>399</v>
      </c>
      <c r="N70">
        <f t="shared" si="5"/>
        <v>513</v>
      </c>
      <c r="O70" s="3">
        <f t="shared" si="6"/>
        <v>86.655405405405403</v>
      </c>
      <c r="P70">
        <f t="shared" si="8"/>
        <v>79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301</v>
      </c>
      <c r="G71">
        <f>SUMIF(DATA!$A:$A,PPL!$A71,DATA!E:E)</f>
        <v>1</v>
      </c>
      <c r="H71">
        <f>SUMIF(DATA!$A:$A,PPL!$A71,DATA!F:F)</f>
        <v>64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165</v>
      </c>
      <c r="L71">
        <f>SUMIF(DATA!$A:$A,PPL!$A71,DATA!J:J)</f>
        <v>0</v>
      </c>
      <c r="M71">
        <f t="shared" si="7"/>
        <v>288</v>
      </c>
      <c r="N71">
        <f t="shared" si="5"/>
        <v>466</v>
      </c>
      <c r="O71" s="3">
        <f t="shared" si="6"/>
        <v>87.758945386064042</v>
      </c>
      <c r="P71">
        <f t="shared" si="8"/>
        <v>65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57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216</v>
      </c>
      <c r="L72">
        <f>SUMIF(DATA!$A:$A,PPL!$A72,DATA!J:J)</f>
        <v>0</v>
      </c>
      <c r="M72">
        <f t="shared" si="7"/>
        <v>353</v>
      </c>
      <c r="N72">
        <f t="shared" si="5"/>
        <v>485</v>
      </c>
      <c r="O72" s="3">
        <f t="shared" si="6"/>
        <v>88.342440801457187</v>
      </c>
      <c r="P72">
        <f t="shared" si="8"/>
        <v>64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512</v>
      </c>
      <c r="F73">
        <f>SUMIF(DATA!$A:$A,PPL!$A73,DATA!D:D)</f>
        <v>456</v>
      </c>
      <c r="G73">
        <f>SUMIF(DATA!$A:$A,PPL!$A73,DATA!E:E)</f>
        <v>48</v>
      </c>
      <c r="H73">
        <f>SUMIF(DATA!$A:$A,PPL!$A73,DATA!F:F)</f>
        <v>6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369</v>
      </c>
      <c r="N73">
        <f t="shared" si="5"/>
        <v>458</v>
      </c>
      <c r="O73" s="3">
        <f t="shared" si="6"/>
        <v>89.453125</v>
      </c>
      <c r="P73">
        <f t="shared" si="8"/>
        <v>54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20</v>
      </c>
      <c r="H74">
        <f>SUMIF(DATA!$A:$A,PPL!$A74,DATA!F:F)</f>
        <v>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248</v>
      </c>
      <c r="L74">
        <f>SUMIF(DATA!$A:$A,PPL!$A74,DATA!J:J)</f>
        <v>0</v>
      </c>
      <c r="M74">
        <f t="shared" si="7"/>
        <v>361</v>
      </c>
      <c r="N74">
        <f t="shared" si="5"/>
        <v>451</v>
      </c>
      <c r="O74" s="3">
        <f t="shared" si="6"/>
        <v>95.348837209302332</v>
      </c>
      <c r="P74">
        <f t="shared" si="8"/>
        <v>22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392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17</v>
      </c>
      <c r="K75">
        <f>SUMIF(DATA!$A:$A,PPL!$A75,DATA!I:I)</f>
        <v>126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497</v>
      </c>
      <c r="F76">
        <f>SUMIF(DATA!$A:$A,PPL!$A76,DATA!D:D)</f>
        <v>328</v>
      </c>
      <c r="G76">
        <f>SUMIF(DATA!$A:$A,PPL!$A76,DATA!E:E)</f>
        <v>8</v>
      </c>
      <c r="H76">
        <f>SUMIF(DATA!$A:$A,PPL!$A76,DATA!F:F)</f>
        <v>74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72</v>
      </c>
      <c r="L76">
        <f>SUMIF(DATA!$A:$A,PPL!$A76,DATA!J:J)</f>
        <v>0</v>
      </c>
      <c r="M76">
        <f t="shared" si="7"/>
        <v>326</v>
      </c>
      <c r="N76">
        <f t="shared" si="5"/>
        <v>415</v>
      </c>
      <c r="O76" s="3">
        <f t="shared" si="6"/>
        <v>83.501006036217305</v>
      </c>
      <c r="P76">
        <f t="shared" si="8"/>
        <v>82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17</v>
      </c>
      <c r="H77">
        <f>SUMIF(DATA!$A:$A,PPL!$A77,DATA!F:F)</f>
        <v>60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62</v>
      </c>
      <c r="L77">
        <f>SUMIF(DATA!$A:$A,PPL!$A77,DATA!J:J)</f>
        <v>0</v>
      </c>
      <c r="M77">
        <f t="shared" si="7"/>
        <v>261</v>
      </c>
      <c r="N77">
        <f t="shared" si="5"/>
        <v>362</v>
      </c>
      <c r="O77" s="3">
        <f t="shared" si="6"/>
        <v>82.460136674259672</v>
      </c>
      <c r="P77">
        <f t="shared" si="8"/>
        <v>77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410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23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331</v>
      </c>
      <c r="G79">
        <f>SUMIF(DATA!$A:$A,PPL!$A79,DATA!E:E)</f>
        <v>30</v>
      </c>
      <c r="H79">
        <f>SUMIF(DATA!$A:$A,PPL!$A79,DATA!F:F)</f>
        <v>62</v>
      </c>
      <c r="I79">
        <f>SUMIF(DATA!$A:$A,PPL!$A79,DATA!G:G)</f>
        <v>7</v>
      </c>
      <c r="J79">
        <f>SUMIF(DATA!$A:$A,PPL!$A79,DATA!H:H)</f>
        <v>0</v>
      </c>
      <c r="K79">
        <f>SUMIF(DATA!$A:$A,PPL!$A79,DATA!I:I)</f>
        <v>45</v>
      </c>
      <c r="L79">
        <f>SUMIF(DATA!$A:$A,PPL!$A79,DATA!J:J)</f>
        <v>0</v>
      </c>
      <c r="M79">
        <f t="shared" si="7"/>
        <v>296</v>
      </c>
      <c r="N79">
        <f t="shared" si="5"/>
        <v>383</v>
      </c>
      <c r="O79" s="3">
        <f t="shared" si="6"/>
        <v>80.631578947368425</v>
      </c>
      <c r="P79">
        <f t="shared" si="8"/>
        <v>92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315</v>
      </c>
      <c r="G80">
        <f>SUMIF(DATA!$A:$A,PPL!$A80,DATA!E:E)</f>
        <v>20</v>
      </c>
      <c r="H80">
        <f>SUMIF(DATA!$A:$A,PPL!$A80,DATA!F:F)</f>
        <v>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51</v>
      </c>
      <c r="L80">
        <f>SUMIF(DATA!$A:$A,PPL!$A80,DATA!J:J)</f>
        <v>0</v>
      </c>
      <c r="M80">
        <f t="shared" si="7"/>
        <v>284</v>
      </c>
      <c r="N80">
        <f t="shared" si="5"/>
        <v>367</v>
      </c>
      <c r="O80" s="3">
        <f t="shared" si="6"/>
        <v>80.659340659340657</v>
      </c>
      <c r="P80">
        <f t="shared" si="8"/>
        <v>88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765</v>
      </c>
      <c r="F81">
        <f>SUMIF(DATA!$A:$A,PPL!$A81,DATA!D:D)</f>
        <v>463</v>
      </c>
      <c r="G81">
        <f>SUMIF(DATA!$A:$A,PPL!$A81,DATA!E:E)</f>
        <v>1</v>
      </c>
      <c r="H81">
        <f>SUMIF(DATA!$A:$A,PPL!$A81,DATA!F:F)</f>
        <v>175</v>
      </c>
      <c r="I81">
        <f>SUMIF(DATA!$A:$A,PPL!$A81,DATA!G:G)</f>
        <v>9</v>
      </c>
      <c r="J81">
        <f>SUMIF(DATA!$A:$A,PPL!$A81,DATA!H:H)</f>
        <v>1</v>
      </c>
      <c r="K81">
        <f>SUMIF(DATA!$A:$A,PPL!$A81,DATA!I:I)</f>
        <v>116</v>
      </c>
      <c r="L81">
        <f>SUMIF(DATA!$A:$A,PPL!$A81,DATA!J:J)</f>
        <v>0</v>
      </c>
      <c r="M81">
        <f t="shared" si="7"/>
        <v>379</v>
      </c>
      <c r="N81">
        <f t="shared" si="5"/>
        <v>589</v>
      </c>
      <c r="O81" s="3">
        <f t="shared" si="6"/>
        <v>76.993464052287592</v>
      </c>
      <c r="P81">
        <f t="shared" si="8"/>
        <v>176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733</v>
      </c>
      <c r="F82">
        <f>SUMIF(DATA!$A:$A,PPL!$A82,DATA!D:D)</f>
        <v>467</v>
      </c>
      <c r="G82">
        <f>SUMIF(DATA!$A:$A,PPL!$A82,DATA!E:E)</f>
        <v>10</v>
      </c>
      <c r="H82">
        <f>SUMIF(DATA!$A:$A,PPL!$A82,DATA!F:F)</f>
        <v>69</v>
      </c>
      <c r="I82">
        <f>SUMIF(DATA!$A:$A,PPL!$A82,DATA!G:G)</f>
        <v>39</v>
      </c>
      <c r="J82">
        <f>SUMIF(DATA!$A:$A,PPL!$A82,DATA!H:H)</f>
        <v>1</v>
      </c>
      <c r="K82">
        <f>SUMIF(DATA!$A:$A,PPL!$A82,DATA!I:I)</f>
        <v>147</v>
      </c>
      <c r="L82">
        <f>SUMIF(DATA!$A:$A,PPL!$A82,DATA!J:J)</f>
        <v>0</v>
      </c>
      <c r="M82">
        <f t="shared" si="7"/>
        <v>384</v>
      </c>
      <c r="N82">
        <f t="shared" si="5"/>
        <v>654</v>
      </c>
      <c r="O82" s="3">
        <f t="shared" si="6"/>
        <v>89.222373806275584</v>
      </c>
      <c r="P82">
        <f t="shared" si="8"/>
        <v>79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54</v>
      </c>
      <c r="H83">
        <f>SUMIF(DATA!$A:$A,PPL!$A83,DATA!F:F)</f>
        <v>100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182</v>
      </c>
      <c r="L83">
        <f>SUMIF(DATA!$A:$A,PPL!$A83,DATA!J:J)</f>
        <v>0</v>
      </c>
      <c r="M83">
        <f t="shared" si="7"/>
        <v>294</v>
      </c>
      <c r="N83">
        <f t="shared" si="5"/>
        <v>560</v>
      </c>
      <c r="O83" s="3">
        <f t="shared" si="6"/>
        <v>78.431372549019613</v>
      </c>
      <c r="P83">
        <f t="shared" si="8"/>
        <v>154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444</v>
      </c>
      <c r="G84">
        <f>SUMIF(DATA!$A:$A,PPL!$A84,DATA!E:E)</f>
        <v>15</v>
      </c>
      <c r="H84">
        <f>SUMIF(DATA!$A:$A,PPL!$A84,DATA!F:F)</f>
        <v>93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126</v>
      </c>
      <c r="L84">
        <f>SUMIF(DATA!$A:$A,PPL!$A84,DATA!J:J)</f>
        <v>0</v>
      </c>
      <c r="M84">
        <f t="shared" si="7"/>
        <v>371</v>
      </c>
      <c r="N84">
        <f t="shared" si="5"/>
        <v>572</v>
      </c>
      <c r="O84" s="3">
        <f t="shared" si="6"/>
        <v>84.117647058823536</v>
      </c>
      <c r="P84">
        <f t="shared" si="8"/>
        <v>108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635</v>
      </c>
      <c r="F85">
        <f>SUMIF(DATA!$A:$A,PPL!$A85,DATA!D:D)</f>
        <v>264</v>
      </c>
      <c r="G85">
        <f>SUMIF(DATA!$A:$A,PPL!$A85,DATA!E:E)</f>
        <v>71</v>
      </c>
      <c r="H85">
        <f>SUMIF(DATA!$A:$A,PPL!$A85,DATA!F:F)</f>
        <v>152</v>
      </c>
      <c r="I85">
        <f>SUMIF(DATA!$A:$A,PPL!$A85,DATA!G:G)</f>
        <v>2</v>
      </c>
      <c r="J85">
        <f>SUMIF(DATA!$A:$A,PPL!$A85,DATA!H:H)</f>
        <v>0</v>
      </c>
      <c r="K85">
        <f>SUMIF(DATA!$A:$A,PPL!$A85,DATA!I:I)</f>
        <v>146</v>
      </c>
      <c r="L85">
        <f>SUMIF(DATA!$A:$A,PPL!$A85,DATA!J:J)</f>
        <v>0</v>
      </c>
      <c r="M85">
        <f t="shared" si="7"/>
        <v>272</v>
      </c>
      <c r="N85">
        <f t="shared" si="5"/>
        <v>412</v>
      </c>
      <c r="O85" s="3">
        <f t="shared" si="6"/>
        <v>64.881889763779526</v>
      </c>
      <c r="P85">
        <f t="shared" si="8"/>
        <v>223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681</v>
      </c>
      <c r="F86">
        <f>SUMIF(DATA!$A:$A,PPL!$A86,DATA!D:D)</f>
        <v>455</v>
      </c>
      <c r="G86">
        <f>SUMIF(DATA!$A:$A,PPL!$A86,DATA!E:E)</f>
        <v>2</v>
      </c>
      <c r="H86">
        <f>SUMIF(DATA!$A:$A,PPL!$A86,DATA!F:F)</f>
        <v>41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174</v>
      </c>
      <c r="L86">
        <f>SUMIF(DATA!$A:$A,PPL!$A86,DATA!J:J)</f>
        <v>0</v>
      </c>
      <c r="M86">
        <f t="shared" si="7"/>
        <v>487</v>
      </c>
      <c r="N86">
        <f t="shared" si="5"/>
        <v>638</v>
      </c>
      <c r="O86" s="3">
        <f t="shared" si="6"/>
        <v>93.685756240822315</v>
      </c>
      <c r="P86">
        <f t="shared" si="8"/>
        <v>43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699</v>
      </c>
      <c r="F87">
        <f>SUMIF(DATA!$A:$A,PPL!$A87,DATA!D:D)</f>
        <v>170</v>
      </c>
      <c r="G87">
        <f>SUMIF(DATA!$A:$A,PPL!$A87,DATA!E:E)</f>
        <v>114</v>
      </c>
      <c r="H87">
        <f>SUMIF(DATA!$A:$A,PPL!$A87,DATA!F:F)</f>
        <v>145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201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62.947067238912737</v>
      </c>
      <c r="P87">
        <f t="shared" si="8"/>
        <v>259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680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218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199</v>
      </c>
      <c r="L88">
        <f>SUMIF(DATA!$A:$A,PPL!$A88,DATA!J:J)</f>
        <v>0</v>
      </c>
      <c r="M88">
        <f t="shared" si="7"/>
        <v>263</v>
      </c>
      <c r="N88">
        <f t="shared" si="5"/>
        <v>435</v>
      </c>
      <c r="O88" s="3">
        <f t="shared" si="6"/>
        <v>63.970588235294116</v>
      </c>
      <c r="P88">
        <f t="shared" si="8"/>
        <v>245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325</v>
      </c>
      <c r="G89">
        <f>SUMIF(DATA!$A:$A,PPL!$A89,DATA!E:E)</f>
        <v>61</v>
      </c>
      <c r="H89">
        <f>SUMIF(DATA!$A:$A,PPL!$A89,DATA!F:F)</f>
        <v>132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132</v>
      </c>
      <c r="L89">
        <f>SUMIF(DATA!$A:$A,PPL!$A89,DATA!J:J)</f>
        <v>0</v>
      </c>
      <c r="M89">
        <f t="shared" si="7"/>
        <v>221</v>
      </c>
      <c r="N89">
        <f t="shared" si="5"/>
        <v>462</v>
      </c>
      <c r="O89" s="3">
        <f t="shared" si="6"/>
        <v>70.534351145038158</v>
      </c>
      <c r="P89">
        <f t="shared" si="8"/>
        <v>193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29</v>
      </c>
      <c r="H90">
        <f>SUMIF(DATA!$A:$A,PPL!$A90,DATA!F:F)</f>
        <v>127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224</v>
      </c>
      <c r="L90">
        <f>SUMIF(DATA!$A:$A,PPL!$A90,DATA!J:J)</f>
        <v>0</v>
      </c>
      <c r="M90">
        <f t="shared" si="7"/>
        <v>290</v>
      </c>
      <c r="N90">
        <f t="shared" si="5"/>
        <v>511</v>
      </c>
      <c r="O90" s="3">
        <f t="shared" si="6"/>
        <v>76.611694152923533</v>
      </c>
      <c r="P90">
        <f t="shared" si="8"/>
        <v>156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>
        <f t="shared" si="8"/>
        <v>252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670</v>
      </c>
      <c r="F92">
        <f>SUMIF(DATA!$A:$A,PPL!$A92,DATA!D:D)</f>
        <v>267</v>
      </c>
      <c r="G92">
        <f>SUMIF(DATA!$A:$A,PPL!$A92,DATA!E:E)</f>
        <v>0</v>
      </c>
      <c r="H92">
        <f>SUMIF(DATA!$A:$A,PPL!$A92,DATA!F:F)</f>
        <v>140</v>
      </c>
      <c r="I92">
        <f>SUMIF(DATA!$A:$A,PPL!$A92,DATA!G:G)</f>
        <v>3</v>
      </c>
      <c r="J92">
        <f>SUMIF(DATA!$A:$A,PPL!$A92,DATA!H:H)</f>
        <v>1</v>
      </c>
      <c r="K92">
        <f>SUMIF(DATA!$A:$A,PPL!$A92,DATA!I:I)</f>
        <v>259</v>
      </c>
      <c r="L92">
        <f>SUMIF(DATA!$A:$A,PPL!$A92,DATA!J:J)</f>
        <v>0</v>
      </c>
      <c r="M92">
        <f t="shared" si="7"/>
        <v>313</v>
      </c>
      <c r="N92">
        <f t="shared" si="5"/>
        <v>530</v>
      </c>
      <c r="O92" s="3">
        <f t="shared" si="6"/>
        <v>79.104477611940297</v>
      </c>
      <c r="P92">
        <f t="shared" si="8"/>
        <v>140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728</v>
      </c>
      <c r="F93">
        <f>SUMIF(DATA!$A:$A,PPL!$A93,DATA!D:D)</f>
        <v>344</v>
      </c>
      <c r="G93">
        <f>SUMIF(DATA!$A:$A,PPL!$A93,DATA!E:E)</f>
        <v>50</v>
      </c>
      <c r="H93">
        <f>SUMIF(DATA!$A:$A,PPL!$A93,DATA!F:F)</f>
        <v>81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253</v>
      </c>
      <c r="L93">
        <f>SUMIF(DATA!$A:$A,PPL!$A93,DATA!J:J)</f>
        <v>0</v>
      </c>
      <c r="M93">
        <f t="shared" si="7"/>
        <v>305</v>
      </c>
      <c r="N93">
        <f t="shared" si="5"/>
        <v>597</v>
      </c>
      <c r="O93" s="3">
        <f t="shared" si="6"/>
        <v>82.005494505494497</v>
      </c>
      <c r="P93">
        <f t="shared" si="8"/>
        <v>131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835</v>
      </c>
      <c r="F94">
        <f>SUMIF(DATA!$A:$A,PPL!$A94,DATA!D:D)</f>
        <v>700</v>
      </c>
      <c r="G94">
        <f>SUMIF(DATA!$A:$A,PPL!$A94,DATA!E:E)</f>
        <v>7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125</v>
      </c>
      <c r="L94">
        <f>SUMIF(DATA!$A:$A,PPL!$A94,DATA!J:J)</f>
        <v>0</v>
      </c>
      <c r="M94">
        <f t="shared" si="7"/>
        <v>567</v>
      </c>
      <c r="N94">
        <f t="shared" si="5"/>
        <v>828</v>
      </c>
      <c r="O94" s="3">
        <f t="shared" si="6"/>
        <v>99.161676646706582</v>
      </c>
      <c r="P94">
        <f t="shared" si="8"/>
        <v>7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835</v>
      </c>
      <c r="F95">
        <f>SUMIF(DATA!$A:$A,PPL!$A95,DATA!D:D)</f>
        <v>426</v>
      </c>
      <c r="G95">
        <f>SUMIF(DATA!$A:$A,PPL!$A95,DATA!E:E)</f>
        <v>5</v>
      </c>
      <c r="H95">
        <f>SUMIF(DATA!$A:$A,PPL!$A95,DATA!F:F)</f>
        <v>62</v>
      </c>
      <c r="I95">
        <f>SUMIF(DATA!$A:$A,PPL!$A95,DATA!G:G)</f>
        <v>2</v>
      </c>
      <c r="J95">
        <f>SUMIF(DATA!$A:$A,PPL!$A95,DATA!H:H)</f>
        <v>6</v>
      </c>
      <c r="K95">
        <f>SUMIF(DATA!$A:$A,PPL!$A95,DATA!I:I)</f>
        <v>334</v>
      </c>
      <c r="L95">
        <f>SUMIF(DATA!$A:$A,PPL!$A95,DATA!J:J)</f>
        <v>0</v>
      </c>
      <c r="M95">
        <f t="shared" si="7"/>
        <v>543</v>
      </c>
      <c r="N95">
        <f t="shared" si="5"/>
        <v>768</v>
      </c>
      <c r="O95" s="3">
        <f t="shared" si="6"/>
        <v>91.976047904191617</v>
      </c>
      <c r="P95">
        <f t="shared" si="8"/>
        <v>67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567</v>
      </c>
      <c r="F96">
        <f>SUMIF(DATA!$A:$A,PPL!$A96,DATA!D:D)</f>
        <v>240</v>
      </c>
      <c r="G96">
        <f>SUMIF(DATA!$A:$A,PPL!$A96,DATA!E:E)</f>
        <v>30</v>
      </c>
      <c r="H96">
        <f>SUMIF(DATA!$A:$A,PPL!$A96,DATA!F:F)</f>
        <v>54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242</v>
      </c>
      <c r="L96">
        <f>SUMIF(DATA!$A:$A,PPL!$A96,DATA!J:J)</f>
        <v>0</v>
      </c>
      <c r="M96">
        <f t="shared" si="7"/>
        <v>311</v>
      </c>
      <c r="N96">
        <f t="shared" si="5"/>
        <v>483</v>
      </c>
      <c r="O96" s="3">
        <f t="shared" si="6"/>
        <v>85.18518518518519</v>
      </c>
      <c r="P96">
        <f t="shared" si="8"/>
        <v>84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658</v>
      </c>
      <c r="F97">
        <f>SUMIF(DATA!$A:$A,PPL!$A97,DATA!D:D)</f>
        <v>286</v>
      </c>
      <c r="G97">
        <f>SUMIF(DATA!$A:$A,PPL!$A97,DATA!E:E)</f>
        <v>21</v>
      </c>
      <c r="H97">
        <f>SUMIF(DATA!$A:$A,PPL!$A97,DATA!F:F)</f>
        <v>131</v>
      </c>
      <c r="I97">
        <f>SUMIF(DATA!$A:$A,PPL!$A97,DATA!G:G)</f>
        <v>13</v>
      </c>
      <c r="J97">
        <f>SUMIF(DATA!$A:$A,PPL!$A97,DATA!H:H)</f>
        <v>0</v>
      </c>
      <c r="K97">
        <f>SUMIF(DATA!$A:$A,PPL!$A97,DATA!I:I)</f>
        <v>207</v>
      </c>
      <c r="L97">
        <f>SUMIF(DATA!$A:$A,PPL!$A97,DATA!J:J)</f>
        <v>0</v>
      </c>
      <c r="M97">
        <f t="shared" si="7"/>
        <v>417</v>
      </c>
      <c r="N97">
        <f t="shared" si="5"/>
        <v>506</v>
      </c>
      <c r="O97" s="3">
        <f t="shared" si="6"/>
        <v>76.899696048632222</v>
      </c>
      <c r="P97">
        <f t="shared" si="8"/>
        <v>152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784</v>
      </c>
      <c r="F98">
        <f>SUMIF(DATA!$A:$A,PPL!$A98,DATA!D:D)</f>
        <v>408</v>
      </c>
      <c r="G98">
        <f>SUMIF(DATA!$A:$A,PPL!$A98,DATA!E:E)</f>
        <v>60</v>
      </c>
      <c r="H98">
        <f>SUMIF(DATA!$A:$A,PPL!$A98,DATA!F:F)</f>
        <v>220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94</v>
      </c>
      <c r="L98">
        <f>SUMIF(DATA!$A:$A,PPL!$A98,DATA!J:J)</f>
        <v>0</v>
      </c>
      <c r="M98">
        <f t="shared" ref="M98:M129" si="9">N98-Q98</f>
        <v>344</v>
      </c>
      <c r="N98">
        <f t="shared" si="5"/>
        <v>504</v>
      </c>
      <c r="O98" s="3">
        <f t="shared" si="6"/>
        <v>64.285714285714292</v>
      </c>
      <c r="P98">
        <f t="shared" si="8"/>
        <v>280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741</v>
      </c>
      <c r="F99">
        <f>SUMIF(DATA!$A:$A,PPL!$A99,DATA!D:D)</f>
        <v>579</v>
      </c>
      <c r="G99">
        <f>SUMIF(DATA!$A:$A,PPL!$A99,DATA!E:E)</f>
        <v>82</v>
      </c>
      <c r="H99">
        <f>SUMIF(DATA!$A:$A,PPL!$A99,DATA!F:F)</f>
        <v>12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60</v>
      </c>
      <c r="L99">
        <f>SUMIF(DATA!$A:$A,PPL!$A99,DATA!J:J)</f>
        <v>0</v>
      </c>
      <c r="M99">
        <f t="shared" si="9"/>
        <v>365</v>
      </c>
      <c r="N99">
        <f t="shared" si="5"/>
        <v>647</v>
      </c>
      <c r="O99" s="3">
        <f t="shared" si="6"/>
        <v>87.314439946018894</v>
      </c>
      <c r="P99">
        <f t="shared" si="8"/>
        <v>94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918</v>
      </c>
      <c r="F100">
        <f>SUMIF(DATA!$A:$A,PPL!$A100,DATA!D:D)</f>
        <v>733</v>
      </c>
      <c r="G100">
        <f>SUMIF(DATA!$A:$A,PPL!$A100,DATA!E:E)</f>
        <v>43</v>
      </c>
      <c r="H100">
        <f>SUMIF(DATA!$A:$A,PPL!$A100,DATA!F:F)</f>
        <v>32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9"/>
        <v>385</v>
      </c>
      <c r="N100">
        <f t="shared" si="5"/>
        <v>843</v>
      </c>
      <c r="O100" s="3">
        <f t="shared" si="6"/>
        <v>91.830065359477118</v>
      </c>
      <c r="P100">
        <f t="shared" si="8"/>
        <v>75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859</v>
      </c>
      <c r="F101">
        <f>SUMIF(DATA!$A:$A,PPL!$A101,DATA!D:D)</f>
        <v>495</v>
      </c>
      <c r="G101">
        <f>SUMIF(DATA!$A:$A,PPL!$A101,DATA!E:E)</f>
        <v>278</v>
      </c>
      <c r="H101">
        <f>SUMIF(DATA!$A:$A,PPL!$A101,DATA!F:F)</f>
        <v>41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20</v>
      </c>
      <c r="L101">
        <f>SUMIF(DATA!$A:$A,PPL!$A101,DATA!J:J)</f>
        <v>0</v>
      </c>
      <c r="M101">
        <f t="shared" si="9"/>
        <v>202</v>
      </c>
      <c r="N101">
        <f t="shared" si="5"/>
        <v>540</v>
      </c>
      <c r="O101" s="3">
        <f t="shared" si="6"/>
        <v>62.863795110593713</v>
      </c>
      <c r="P101">
        <f t="shared" si="8"/>
        <v>319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666</v>
      </c>
      <c r="G102">
        <f>SUMIF(DATA!$A:$A,PPL!$A102,DATA!E:E)</f>
        <v>62</v>
      </c>
      <c r="H102">
        <f>SUMIF(DATA!$A:$A,PPL!$A102,DATA!F:F)</f>
        <v>2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40</v>
      </c>
      <c r="L102">
        <f>SUMIF(DATA!$A:$A,PPL!$A102,DATA!J:J)</f>
        <v>0</v>
      </c>
      <c r="M102">
        <f t="shared" si="9"/>
        <v>390</v>
      </c>
      <c r="N102">
        <f t="shared" si="5"/>
        <v>708</v>
      </c>
      <c r="O102" s="3">
        <f t="shared" si="6"/>
        <v>91.709844559585491</v>
      </c>
      <c r="P102">
        <f t="shared" si="8"/>
        <v>64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782</v>
      </c>
      <c r="F103">
        <f>SUMIF(DATA!$A:$A,PPL!$A103,DATA!D:D)</f>
        <v>541</v>
      </c>
      <c r="G103">
        <f>SUMIF(DATA!$A:$A,PPL!$A103,DATA!E:E)</f>
        <v>171</v>
      </c>
      <c r="H103">
        <f>SUMIF(DATA!$A:$A,PPL!$A103,DATA!F:F)</f>
        <v>59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9</v>
      </c>
      <c r="L103">
        <f>SUMIF(DATA!$A:$A,PPL!$A103,DATA!J:J)</f>
        <v>0</v>
      </c>
      <c r="M103">
        <f t="shared" si="9"/>
        <v>343</v>
      </c>
      <c r="N103">
        <f t="shared" si="5"/>
        <v>552</v>
      </c>
      <c r="O103" s="3">
        <f t="shared" si="6"/>
        <v>70.588235294117652</v>
      </c>
      <c r="P103">
        <f t="shared" si="8"/>
        <v>230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727</v>
      </c>
      <c r="F104">
        <f>SUMIF(DATA!$A:$A,PPL!$A104,DATA!D:D)</f>
        <v>577</v>
      </c>
      <c r="G104">
        <f>SUMIF(DATA!$A:$A,PPL!$A104,DATA!E:E)</f>
        <v>25</v>
      </c>
      <c r="H104">
        <f>SUMIF(DATA!$A:$A,PPL!$A104,DATA!F:F)</f>
        <v>115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9</v>
      </c>
      <c r="L104">
        <f>SUMIF(DATA!$A:$A,PPL!$A104,DATA!J:J)</f>
        <v>0</v>
      </c>
      <c r="M104">
        <f t="shared" si="9"/>
        <v>365</v>
      </c>
      <c r="N104">
        <f t="shared" si="5"/>
        <v>587</v>
      </c>
      <c r="O104" s="3">
        <f t="shared" si="6"/>
        <v>80.742778541953228</v>
      </c>
      <c r="P104">
        <f t="shared" si="8"/>
        <v>140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470</v>
      </c>
      <c r="G105">
        <f>SUMIF(DATA!$A:$A,PPL!$A105,DATA!E:E)</f>
        <v>16</v>
      </c>
      <c r="H105">
        <f>SUMIF(DATA!$A:$A,PPL!$A105,DATA!F:F)</f>
        <v>127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</v>
      </c>
      <c r="L105">
        <f>SUMIF(DATA!$A:$A,PPL!$A105,DATA!J:J)</f>
        <v>0</v>
      </c>
      <c r="M105">
        <f t="shared" si="9"/>
        <v>269</v>
      </c>
      <c r="N105">
        <f t="shared" si="5"/>
        <v>473</v>
      </c>
      <c r="O105" s="3">
        <f t="shared" si="6"/>
        <v>76.785714285714292</v>
      </c>
      <c r="P105">
        <f t="shared" si="8"/>
        <v>143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746</v>
      </c>
      <c r="F106">
        <f>SUMIF(DATA!$A:$A,PPL!$A106,DATA!D:D)</f>
        <v>671</v>
      </c>
      <c r="G106">
        <f>SUMIF(DATA!$A:$A,PPL!$A106,DATA!E:E)</f>
        <v>30</v>
      </c>
      <c r="H106">
        <f>SUMIF(DATA!$A:$A,PPL!$A106,DATA!F:F)</f>
        <v>37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6</v>
      </c>
      <c r="L106">
        <f>SUMIF(DATA!$A:$A,PPL!$A106,DATA!J:J)</f>
        <v>0</v>
      </c>
      <c r="M106">
        <f t="shared" si="9"/>
        <v>469</v>
      </c>
      <c r="N106">
        <f t="shared" si="5"/>
        <v>679</v>
      </c>
      <c r="O106" s="3">
        <f t="shared" si="6"/>
        <v>91.018766756032178</v>
      </c>
      <c r="P106">
        <f t="shared" si="8"/>
        <v>67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693</v>
      </c>
      <c r="F107">
        <f>SUMIF(DATA!$A:$A,PPL!$A107,DATA!D:D)</f>
        <v>469</v>
      </c>
      <c r="G107">
        <f>SUMIF(DATA!$A:$A,PPL!$A107,DATA!E:E)</f>
        <v>80</v>
      </c>
      <c r="H107">
        <f>SUMIF(DATA!$A:$A,PPL!$A107,DATA!F:F)</f>
        <v>117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25</v>
      </c>
      <c r="L107">
        <f>SUMIF(DATA!$A:$A,PPL!$A107,DATA!J:J)</f>
        <v>0</v>
      </c>
      <c r="M107">
        <f t="shared" si="9"/>
        <v>299</v>
      </c>
      <c r="N107">
        <f t="shared" si="5"/>
        <v>496</v>
      </c>
      <c r="O107" s="3">
        <f t="shared" si="6"/>
        <v>71.572871572871577</v>
      </c>
      <c r="P107">
        <f t="shared" si="8"/>
        <v>197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642</v>
      </c>
      <c r="F108">
        <f>SUMIF(DATA!$A:$A,PPL!$A108,DATA!D:D)</f>
        <v>458</v>
      </c>
      <c r="G108">
        <f>SUMIF(DATA!$A:$A,PPL!$A108,DATA!E:E)</f>
        <v>16</v>
      </c>
      <c r="H108">
        <f>SUMIF(DATA!$A:$A,PPL!$A108,DATA!F:F)</f>
        <v>155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9"/>
        <v>248</v>
      </c>
      <c r="N108">
        <f t="shared" si="5"/>
        <v>471</v>
      </c>
      <c r="O108" s="3">
        <f t="shared" si="6"/>
        <v>73.36448598130842</v>
      </c>
      <c r="P108">
        <f t="shared" si="8"/>
        <v>171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668</v>
      </c>
      <c r="F109">
        <f>SUMIF(DATA!$A:$A,PPL!$A109,DATA!D:D)</f>
        <v>500</v>
      </c>
      <c r="G109">
        <f>SUMIF(DATA!$A:$A,PPL!$A109,DATA!E:E)</f>
        <v>10</v>
      </c>
      <c r="H109">
        <f>SUMIF(DATA!$A:$A,PPL!$A109,DATA!F:F)</f>
        <v>146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9"/>
        <v>321</v>
      </c>
      <c r="N109">
        <f t="shared" si="5"/>
        <v>512</v>
      </c>
      <c r="O109" s="3">
        <f t="shared" si="6"/>
        <v>76.646706586826355</v>
      </c>
      <c r="P109">
        <f t="shared" si="8"/>
        <v>156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629</v>
      </c>
      <c r="F110">
        <f>SUMIF(DATA!$A:$A,PPL!$A110,DATA!D:D)</f>
        <v>397</v>
      </c>
      <c r="G110">
        <f>SUMIF(DATA!$A:$A,PPL!$A110,DATA!E:E)</f>
        <v>83</v>
      </c>
      <c r="H110">
        <f>SUMIF(DATA!$A:$A,PPL!$A110,DATA!F:F)</f>
        <v>39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108</v>
      </c>
      <c r="L110">
        <f>SUMIF(DATA!$A:$A,PPL!$A110,DATA!J:J)</f>
        <v>0</v>
      </c>
      <c r="M110">
        <f t="shared" si="9"/>
        <v>343</v>
      </c>
      <c r="N110">
        <f t="shared" si="5"/>
        <v>507</v>
      </c>
      <c r="O110" s="3">
        <f t="shared" si="6"/>
        <v>80.60413354531002</v>
      </c>
      <c r="P110">
        <f t="shared" si="8"/>
        <v>122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674</v>
      </c>
      <c r="F111">
        <f>SUMIF(DATA!$A:$A,PPL!$A111,DATA!D:D)</f>
        <v>469</v>
      </c>
      <c r="G111">
        <f>SUMIF(DATA!$A:$A,PPL!$A111,DATA!E:E)</f>
        <v>59</v>
      </c>
      <c r="H111">
        <f>SUMIF(DATA!$A:$A,PPL!$A111,DATA!F:F)</f>
        <v>38</v>
      </c>
      <c r="I111">
        <f>SUMIF(DATA!$A:$A,PPL!$A111,DATA!G:G)</f>
        <v>4</v>
      </c>
      <c r="J111">
        <f>SUMIF(DATA!$A:$A,PPL!$A111,DATA!H:H)</f>
        <v>1</v>
      </c>
      <c r="K111">
        <f>SUMIF(DATA!$A:$A,PPL!$A111,DATA!I:I)</f>
        <v>103</v>
      </c>
      <c r="L111">
        <f>SUMIF(DATA!$A:$A,PPL!$A111,DATA!J:J)</f>
        <v>0</v>
      </c>
      <c r="M111">
        <f t="shared" si="9"/>
        <v>346</v>
      </c>
      <c r="N111">
        <f t="shared" si="5"/>
        <v>577</v>
      </c>
      <c r="O111" s="3">
        <f t="shared" si="6"/>
        <v>85.60830860534125</v>
      </c>
      <c r="P111">
        <f t="shared" si="8"/>
        <v>97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712</v>
      </c>
      <c r="F112">
        <f>SUMIF(DATA!$A:$A,PPL!$A112,DATA!D:D)</f>
        <v>400</v>
      </c>
      <c r="G112">
        <f>SUMIF(DATA!$A:$A,PPL!$A112,DATA!E:E)</f>
        <v>170</v>
      </c>
      <c r="H112">
        <f>SUMIF(DATA!$A:$A,PPL!$A112,DATA!F:F)</f>
        <v>124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58.707865168539328</v>
      </c>
      <c r="P112">
        <f t="shared" si="8"/>
        <v>294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676</v>
      </c>
      <c r="G113">
        <f>SUMIF(DATA!$A:$A,PPL!$A113,DATA!E:E)</f>
        <v>32</v>
      </c>
      <c r="H113">
        <f>SUMIF(DATA!$A:$A,PPL!$A113,DATA!F:F)</f>
        <v>86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1</v>
      </c>
      <c r="M113">
        <f t="shared" si="9"/>
        <v>342</v>
      </c>
      <c r="N113">
        <f t="shared" si="5"/>
        <v>682</v>
      </c>
      <c r="O113" s="3">
        <f t="shared" si="6"/>
        <v>85.25</v>
      </c>
      <c r="P113">
        <f t="shared" si="8"/>
        <v>118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643</v>
      </c>
      <c r="G114">
        <f>SUMIF(DATA!$A:$A,PPL!$A114,DATA!E:E)</f>
        <v>44</v>
      </c>
      <c r="H114">
        <f>SUMIF(DATA!$A:$A,PPL!$A114,DATA!F:F)</f>
        <v>18</v>
      </c>
      <c r="I114">
        <f>SUMIF(DATA!$A:$A,PPL!$A114,DATA!G:G)</f>
        <v>0</v>
      </c>
      <c r="J114">
        <f>SUMIF(DATA!$A:$A,PPL!$A114,DATA!H:H)</f>
        <v>1</v>
      </c>
      <c r="K114">
        <f>SUMIF(DATA!$A:$A,PPL!$A114,DATA!I:I)</f>
        <v>46</v>
      </c>
      <c r="L114">
        <f>SUMIF(DATA!$A:$A,PPL!$A114,DATA!J:J)</f>
        <v>0</v>
      </c>
      <c r="M114">
        <f t="shared" si="9"/>
        <v>427</v>
      </c>
      <c r="N114">
        <f t="shared" si="5"/>
        <v>690</v>
      </c>
      <c r="O114" s="3">
        <f t="shared" si="6"/>
        <v>91.755319148936167</v>
      </c>
      <c r="P114">
        <f t="shared" si="8"/>
        <v>62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900</v>
      </c>
      <c r="F115">
        <f>SUMIF(DATA!$A:$A,PPL!$A115,DATA!D:D)</f>
        <v>801</v>
      </c>
      <c r="G115">
        <f>SUMIF(DATA!$A:$A,PPL!$A115,DATA!E:E)</f>
        <v>55</v>
      </c>
      <c r="H115">
        <f>SUMIF(DATA!$A:$A,PPL!$A115,DATA!F:F)</f>
        <v>35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5</v>
      </c>
      <c r="L115">
        <f>SUMIF(DATA!$A:$A,PPL!$A115,DATA!J:J)</f>
        <v>0</v>
      </c>
      <c r="M115">
        <f t="shared" si="9"/>
        <v>493</v>
      </c>
      <c r="N115">
        <f t="shared" si="5"/>
        <v>810</v>
      </c>
      <c r="O115" s="3">
        <f t="shared" si="6"/>
        <v>90</v>
      </c>
      <c r="P115">
        <f t="shared" si="8"/>
        <v>90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470</v>
      </c>
      <c r="G116">
        <f>SUMIF(DATA!$A:$A,PPL!$A116,DATA!E:E)</f>
        <v>32</v>
      </c>
      <c r="H116">
        <f>SUMIF(DATA!$A:$A,PPL!$A116,DATA!F:F)</f>
        <v>158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59</v>
      </c>
      <c r="L116">
        <f>SUMIF(DATA!$A:$A,PPL!$A116,DATA!J:J)</f>
        <v>0</v>
      </c>
      <c r="M116">
        <f t="shared" si="9"/>
        <v>331</v>
      </c>
      <c r="N116">
        <f t="shared" si="5"/>
        <v>532</v>
      </c>
      <c r="O116" s="3">
        <f t="shared" si="6"/>
        <v>73.68421052631578</v>
      </c>
      <c r="P116">
        <f t="shared" si="8"/>
        <v>190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474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63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>
        <f t="shared" si="8"/>
        <v>158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704</v>
      </c>
      <c r="F118">
        <f>SUMIF(DATA!$A:$A,PPL!$A118,DATA!D:D)</f>
        <v>423</v>
      </c>
      <c r="G118">
        <f>SUMIF(DATA!$A:$A,PPL!$A118,DATA!E:E)</f>
        <v>58</v>
      </c>
      <c r="H118">
        <f>SUMIF(DATA!$A:$A,PPL!$A118,DATA!F:F)</f>
        <v>117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101</v>
      </c>
      <c r="L118">
        <f>SUMIF(DATA!$A:$A,PPL!$A118,DATA!J:J)</f>
        <v>0</v>
      </c>
      <c r="M118">
        <f t="shared" si="9"/>
        <v>325</v>
      </c>
      <c r="N118">
        <f t="shared" si="5"/>
        <v>529</v>
      </c>
      <c r="O118" s="3">
        <f t="shared" si="6"/>
        <v>75.142045454545453</v>
      </c>
      <c r="P118">
        <f t="shared" si="8"/>
        <v>175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424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98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>
        <f t="shared" si="8"/>
        <v>182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322</v>
      </c>
      <c r="G120">
        <f>SUMIF(DATA!$A:$A,PPL!$A120,DATA!E:E)</f>
        <v>123</v>
      </c>
      <c r="H120">
        <f>SUMIF(DATA!$A:$A,PPL!$A120,DATA!F:F)</f>
        <v>103</v>
      </c>
      <c r="I120">
        <f>SUMIF(DATA!$A:$A,PPL!$A120,DATA!G:G)</f>
        <v>50</v>
      </c>
      <c r="J120">
        <f>SUMIF(DATA!$A:$A,PPL!$A120,DATA!H:H)</f>
        <v>0</v>
      </c>
      <c r="K120">
        <f>SUMIF(DATA!$A:$A,PPL!$A120,DATA!I:I)</f>
        <v>63</v>
      </c>
      <c r="L120">
        <f>SUMIF(DATA!$A:$A,PPL!$A120,DATA!J:J)</f>
        <v>0</v>
      </c>
      <c r="M120">
        <f t="shared" si="9"/>
        <v>231</v>
      </c>
      <c r="N120">
        <f t="shared" si="5"/>
        <v>435</v>
      </c>
      <c r="O120" s="3">
        <f t="shared" si="6"/>
        <v>65.809379727685325</v>
      </c>
      <c r="P120">
        <f t="shared" si="8"/>
        <v>226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658</v>
      </c>
      <c r="F121">
        <f>SUMIF(DATA!$A:$A,PPL!$A121,DATA!D:D)</f>
        <v>572</v>
      </c>
      <c r="G121">
        <f>SUMIF(DATA!$A:$A,PPL!$A121,DATA!E:E)</f>
        <v>8</v>
      </c>
      <c r="H121">
        <f>SUMIF(DATA!$A:$A,PPL!$A121,DATA!F:F)</f>
        <v>39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38</v>
      </c>
      <c r="L121">
        <f>SUMIF(DATA!$A:$A,PPL!$A121,DATA!J:J)</f>
        <v>0</v>
      </c>
      <c r="M121">
        <f t="shared" si="9"/>
        <v>417</v>
      </c>
      <c r="N121">
        <f t="shared" si="5"/>
        <v>611</v>
      </c>
      <c r="O121" s="3">
        <f t="shared" si="6"/>
        <v>92.857142857142861</v>
      </c>
      <c r="P121">
        <f t="shared" si="8"/>
        <v>47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581</v>
      </c>
      <c r="G122">
        <f>SUMIF(DATA!$A:$A,PPL!$A122,DATA!E:E)</f>
        <v>33</v>
      </c>
      <c r="H122">
        <f>SUMIF(DATA!$A:$A,PPL!$A122,DATA!F:F)</f>
        <v>48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7</v>
      </c>
      <c r="L122">
        <f>SUMIF(DATA!$A:$A,PPL!$A122,DATA!J:J)</f>
        <v>0</v>
      </c>
      <c r="M122">
        <f t="shared" si="9"/>
        <v>231</v>
      </c>
      <c r="N122">
        <f t="shared" si="5"/>
        <v>589</v>
      </c>
      <c r="O122" s="3">
        <f t="shared" si="6"/>
        <v>87.910447761194035</v>
      </c>
      <c r="P122">
        <f t="shared" si="8"/>
        <v>81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3</v>
      </c>
      <c r="H123">
        <f>SUMIF(DATA!$A:$A,PPL!$A123,DATA!F:F)</f>
        <v>70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25</v>
      </c>
      <c r="L123">
        <f>SUMIF(DATA!$A:$A,PPL!$A123,DATA!J:J)</f>
        <v>1</v>
      </c>
      <c r="M123">
        <f t="shared" si="9"/>
        <v>359</v>
      </c>
      <c r="N123">
        <f t="shared" si="5"/>
        <v>585</v>
      </c>
      <c r="O123" s="3">
        <f t="shared" si="6"/>
        <v>88.905775075987847</v>
      </c>
      <c r="P123">
        <f t="shared" si="8"/>
        <v>73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760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151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125</v>
      </c>
      <c r="L124">
        <f>SUMIF(DATA!$A:$A,PPL!$A124,DATA!J:J)</f>
        <v>0</v>
      </c>
      <c r="M124">
        <f t="shared" si="9"/>
        <v>417</v>
      </c>
      <c r="N124">
        <f t="shared" si="5"/>
        <v>605</v>
      </c>
      <c r="O124" s="3">
        <f t="shared" si="6"/>
        <v>79.60526315789474</v>
      </c>
      <c r="P124">
        <f t="shared" si="8"/>
        <v>155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20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91.40625</v>
      </c>
      <c r="P125">
        <f t="shared" si="8"/>
        <v>55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718</v>
      </c>
      <c r="F126">
        <f>SUMIF(DATA!$A:$A,PPL!$A126,DATA!D:D)</f>
        <v>535</v>
      </c>
      <c r="G126">
        <f>SUMIF(DATA!$A:$A,PPL!$A126,DATA!E:E)</f>
        <v>110</v>
      </c>
      <c r="H126">
        <f>SUMIF(DATA!$A:$A,PPL!$A126,DATA!F:F)</f>
        <v>61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8</v>
      </c>
      <c r="L126">
        <f>SUMIF(DATA!$A:$A,PPL!$A126,DATA!J:J)</f>
        <v>0</v>
      </c>
      <c r="M126">
        <f t="shared" si="9"/>
        <v>346</v>
      </c>
      <c r="N126">
        <f t="shared" si="10"/>
        <v>547</v>
      </c>
      <c r="O126" s="3">
        <f t="shared" si="11"/>
        <v>76.183844011142071</v>
      </c>
      <c r="P126">
        <f t="shared" si="8"/>
        <v>171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689</v>
      </c>
      <c r="F127">
        <f>SUMIF(DATA!$A:$A,PPL!$A127,DATA!D:D)</f>
        <v>558</v>
      </c>
      <c r="G127">
        <f>SUMIF(DATA!$A:$A,PPL!$A127,DATA!E:E)</f>
        <v>2</v>
      </c>
      <c r="H127">
        <f>SUMIF(DATA!$A:$A,PPL!$A127,DATA!F:F)</f>
        <v>91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32</v>
      </c>
      <c r="L127">
        <f>SUMIF(DATA!$A:$A,PPL!$A127,DATA!J:J)</f>
        <v>0</v>
      </c>
      <c r="M127">
        <f t="shared" si="9"/>
        <v>391</v>
      </c>
      <c r="N127">
        <f t="shared" si="10"/>
        <v>596</v>
      </c>
      <c r="O127" s="3">
        <f t="shared" si="11"/>
        <v>86.502177068214806</v>
      </c>
      <c r="P127">
        <f t="shared" si="8"/>
        <v>93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415</v>
      </c>
      <c r="G128">
        <f>SUMIF(DATA!$A:$A,PPL!$A128,DATA!E:E)</f>
        <v>58</v>
      </c>
      <c r="H128">
        <f>SUMIF(DATA!$A:$A,PPL!$A128,DATA!F:F)</f>
        <v>92</v>
      </c>
      <c r="I128">
        <f>SUMIF(DATA!$A:$A,PPL!$A128,DATA!G:G)</f>
        <v>6</v>
      </c>
      <c r="J128">
        <f>SUMIF(DATA!$A:$A,PPL!$A128,DATA!H:H)</f>
        <v>2</v>
      </c>
      <c r="K128">
        <f>SUMIF(DATA!$A:$A,PPL!$A128,DATA!I:I)</f>
        <v>32</v>
      </c>
      <c r="L128">
        <f>SUMIF(DATA!$A:$A,PPL!$A128,DATA!J:J)</f>
        <v>0</v>
      </c>
      <c r="M128">
        <f t="shared" si="9"/>
        <v>307</v>
      </c>
      <c r="N128">
        <f t="shared" si="10"/>
        <v>455</v>
      </c>
      <c r="O128" s="3">
        <f t="shared" si="11"/>
        <v>75.206611570247944</v>
      </c>
      <c r="P128">
        <f t="shared" si="8"/>
        <v>150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746</v>
      </c>
      <c r="F129">
        <f>SUMIF(DATA!$A:$A,PPL!$A129,DATA!D:D)</f>
        <v>562</v>
      </c>
      <c r="G129">
        <f>SUMIF(DATA!$A:$A,PPL!$A129,DATA!E:E)</f>
        <v>34</v>
      </c>
      <c r="H129">
        <f>SUMIF(DATA!$A:$A,PPL!$A129,DATA!F:F)</f>
        <v>69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79</v>
      </c>
      <c r="L129">
        <f>SUMIF(DATA!$A:$A,PPL!$A129,DATA!J:J)</f>
        <v>0</v>
      </c>
      <c r="M129">
        <f t="shared" si="9"/>
        <v>439</v>
      </c>
      <c r="N129">
        <f t="shared" si="10"/>
        <v>643</v>
      </c>
      <c r="O129" s="3">
        <f t="shared" si="11"/>
        <v>86.193029490616624</v>
      </c>
      <c r="P129">
        <f t="shared" si="8"/>
        <v>103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678</v>
      </c>
      <c r="F130">
        <f>SUMIF(DATA!$A:$A,PPL!$A130,DATA!D:D)</f>
        <v>426</v>
      </c>
      <c r="G130">
        <f>SUMIF(DATA!$A:$A,PPL!$A130,DATA!E:E)</f>
        <v>95</v>
      </c>
      <c r="H130">
        <f>SUMIF(DATA!$A:$A,PPL!$A130,DATA!F:F)</f>
        <v>0</v>
      </c>
      <c r="I130">
        <f>SUMIF(DATA!$A:$A,PPL!$A130,DATA!G:G)</f>
        <v>24</v>
      </c>
      <c r="J130">
        <f>SUMIF(DATA!$A:$A,PPL!$A130,DATA!H:H)</f>
        <v>1</v>
      </c>
      <c r="K130">
        <f>SUMIF(DATA!$A:$A,PPL!$A130,DATA!I:I)</f>
        <v>132</v>
      </c>
      <c r="L130">
        <f>SUMIF(DATA!$A:$A,PPL!$A130,DATA!J:J)</f>
        <v>0</v>
      </c>
      <c r="M130">
        <f t="shared" ref="M130:M139" si="12">N130-Q130</f>
        <v>341</v>
      </c>
      <c r="N130">
        <f t="shared" si="10"/>
        <v>583</v>
      </c>
      <c r="O130" s="3">
        <f t="shared" si="11"/>
        <v>85.988200589970504</v>
      </c>
      <c r="P130">
        <f t="shared" si="8"/>
        <v>95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430</v>
      </c>
      <c r="G131">
        <f>SUMIF(DATA!$A:$A,PPL!$A131,DATA!E:E)</f>
        <v>59</v>
      </c>
      <c r="H131">
        <f>SUMIF(DATA!$A:$A,PPL!$A131,DATA!F:F)</f>
        <v>123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134</v>
      </c>
      <c r="L131">
        <f>SUMIF(DATA!$A:$A,PPL!$A131,DATA!J:J)</f>
        <v>0</v>
      </c>
      <c r="M131">
        <f t="shared" si="12"/>
        <v>378</v>
      </c>
      <c r="N131">
        <f t="shared" si="10"/>
        <v>576</v>
      </c>
      <c r="O131" s="3">
        <f t="shared" si="11"/>
        <v>75.989445910290229</v>
      </c>
      <c r="P131">
        <f t="shared" ref="P131:P139" si="13">CEILING((E131-N131)/1,1)</f>
        <v>182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910</v>
      </c>
      <c r="F132">
        <f>SUMIF(DATA!$A:$A,PPL!$A132,DATA!D:D)</f>
        <v>595</v>
      </c>
      <c r="G132">
        <f>SUMIF(DATA!$A:$A,PPL!$A132,DATA!E:E)</f>
        <v>118</v>
      </c>
      <c r="H132">
        <f>SUMIF(DATA!$A:$A,PPL!$A132,DATA!F:F)</f>
        <v>165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30</v>
      </c>
      <c r="L132">
        <f>SUMIF(DATA!$A:$A,PPL!$A132,DATA!J:J)</f>
        <v>0</v>
      </c>
      <c r="M132">
        <f t="shared" si="12"/>
        <v>220</v>
      </c>
      <c r="N132">
        <f t="shared" si="10"/>
        <v>627</v>
      </c>
      <c r="O132" s="3">
        <f t="shared" si="11"/>
        <v>68.901098901098905</v>
      </c>
      <c r="P132">
        <f t="shared" si="13"/>
        <v>283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795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298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172</v>
      </c>
      <c r="L133">
        <f>SUMIF(DATA!$A:$A,PPL!$A133,DATA!J:J)</f>
        <v>0</v>
      </c>
      <c r="M133">
        <f t="shared" si="12"/>
        <v>345</v>
      </c>
      <c r="N133">
        <f t="shared" ref="N133:N136" si="14">F133+I133+J133+K133+L133</f>
        <v>483</v>
      </c>
      <c r="O133" s="3">
        <f t="shared" ref="O133:O136" si="15">(N133/E133)*100</f>
        <v>60.75471698113207</v>
      </c>
      <c r="P133">
        <f t="shared" si="13"/>
        <v>312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141</v>
      </c>
      <c r="L134">
        <f>SUMIF(DATA!$A:$A,PPL!$A134,DATA!J:J)</f>
        <v>0</v>
      </c>
      <c r="M134">
        <f t="shared" si="12"/>
        <v>337</v>
      </c>
      <c r="N134">
        <f t="shared" si="14"/>
        <v>463</v>
      </c>
      <c r="O134" s="3">
        <f t="shared" si="15"/>
        <v>84.643510054844612</v>
      </c>
      <c r="P134">
        <f t="shared" si="13"/>
        <v>84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682</v>
      </c>
      <c r="F135">
        <f>SUMIF(DATA!$A:$A,PPL!$A135,DATA!D:D)</f>
        <v>300</v>
      </c>
      <c r="G135">
        <f>SUMIF(DATA!$A:$A,PPL!$A135,DATA!E:E)</f>
        <v>28</v>
      </c>
      <c r="H135">
        <f>SUMIF(DATA!$A:$A,PPL!$A135,DATA!F:F)</f>
        <v>179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172</v>
      </c>
      <c r="L135">
        <f>SUMIF(DATA!$A:$A,PPL!$A135,DATA!J:J)</f>
        <v>0</v>
      </c>
      <c r="M135">
        <f t="shared" si="12"/>
        <v>331</v>
      </c>
      <c r="N135">
        <f t="shared" si="14"/>
        <v>475</v>
      </c>
      <c r="O135" s="3">
        <f t="shared" si="15"/>
        <v>69.648093841642236</v>
      </c>
      <c r="P135">
        <f t="shared" si="13"/>
        <v>207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754</v>
      </c>
      <c r="F136">
        <f>SUMIF(DATA!$A:$A,PPL!$A136,DATA!D:D)</f>
        <v>329</v>
      </c>
      <c r="G136">
        <f>SUMIF(DATA!$A:$A,PPL!$A136,DATA!E:E)</f>
        <v>56</v>
      </c>
      <c r="H136">
        <f>SUMIF(DATA!$A:$A,PPL!$A136,DATA!F:F)</f>
        <v>136</v>
      </c>
      <c r="I136">
        <f>SUMIF(DATA!$A:$A,PPL!$A136,DATA!G:G)</f>
        <v>26</v>
      </c>
      <c r="J136">
        <f>SUMIF(DATA!$A:$A,PPL!$A136,DATA!H:H)</f>
        <v>0</v>
      </c>
      <c r="K136">
        <f>SUMIF(DATA!$A:$A,PPL!$A136,DATA!I:I)</f>
        <v>207</v>
      </c>
      <c r="L136">
        <f>SUMIF(DATA!$A:$A,PPL!$A136,DATA!J:J)</f>
        <v>0</v>
      </c>
      <c r="M136">
        <f t="shared" si="12"/>
        <v>308</v>
      </c>
      <c r="N136">
        <f t="shared" si="14"/>
        <v>562</v>
      </c>
      <c r="O136" s="3">
        <f t="shared" si="15"/>
        <v>74.535809018567647</v>
      </c>
      <c r="P136">
        <f t="shared" si="13"/>
        <v>192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517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443</v>
      </c>
      <c r="L137">
        <f>SUMIF(DATA!$A:$A,PPL!$A137,DATA!J:J)</f>
        <v>0</v>
      </c>
      <c r="M137">
        <f t="shared" si="12"/>
        <v>630</v>
      </c>
      <c r="N137">
        <f t="shared" ref="N137:N139" si="16">F137+I137+J137+K137+L137</f>
        <v>960</v>
      </c>
      <c r="O137" s="3">
        <f t="shared" ref="O137:O139" si="17">(N137/E137)*100</f>
        <v>97.165991902834008</v>
      </c>
      <c r="P137">
        <f t="shared" si="13"/>
        <v>28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771</v>
      </c>
      <c r="F138">
        <f>SUMIF(DATA!$A:$A,PPL!$A138,DATA!D:D)</f>
        <v>309</v>
      </c>
      <c r="G138">
        <f>SUMIF(DATA!$A:$A,PPL!$A138,DATA!E:E)</f>
        <v>166</v>
      </c>
      <c r="H138">
        <f>SUMIF(DATA!$A:$A,PPL!$A138,DATA!F:F)</f>
        <v>160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132</v>
      </c>
      <c r="L138">
        <f>SUMIF(DATA!$A:$A,PPL!$A138,DATA!J:J)</f>
        <v>0</v>
      </c>
      <c r="M138">
        <f t="shared" si="12"/>
        <v>282</v>
      </c>
      <c r="N138">
        <f t="shared" si="16"/>
        <v>445</v>
      </c>
      <c r="O138" s="3">
        <f t="shared" si="17"/>
        <v>57.717250324254209</v>
      </c>
      <c r="P138">
        <f t="shared" si="13"/>
        <v>326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598</v>
      </c>
      <c r="F139">
        <f>SUMIF(DATA!$A:$A,PPL!$A139,DATA!D:D)</f>
        <v>292</v>
      </c>
      <c r="G139">
        <f>SUMIF(DATA!$A:$A,PPL!$A139,DATA!E:E)</f>
        <v>3</v>
      </c>
      <c r="H139">
        <f>SUMIF(DATA!$A:$A,PPL!$A139,DATA!F:F)</f>
        <v>155</v>
      </c>
      <c r="I139">
        <f>SUMIF(DATA!$A:$A,PPL!$A139,DATA!G:G)</f>
        <v>1</v>
      </c>
      <c r="J139">
        <f>SUMIF(DATA!$A:$A,PPL!$A139,DATA!H:H)</f>
        <v>1</v>
      </c>
      <c r="K139">
        <f>SUMIF(DATA!$A:$A,PPL!$A139,DATA!I:I)</f>
        <v>146</v>
      </c>
      <c r="L139">
        <f>SUMIF(DATA!$A:$A,PPL!$A139,DATA!J:J)</f>
        <v>0</v>
      </c>
      <c r="M139">
        <f t="shared" si="12"/>
        <v>327</v>
      </c>
      <c r="N139">
        <f t="shared" si="16"/>
        <v>440</v>
      </c>
      <c r="O139" s="3">
        <f t="shared" si="17"/>
        <v>73.578595317725743</v>
      </c>
      <c r="P139">
        <f t="shared" si="13"/>
        <v>158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4871</v>
      </c>
      <c r="D2">
        <f>SUMIF(PPL!$C:$C,PML!$A2,PPL!F:F)</f>
        <v>2740</v>
      </c>
      <c r="E2">
        <f>SUMIF(PPL!$C:$C,PML!$A2,PPL!G:G)</f>
        <v>177</v>
      </c>
      <c r="F2">
        <f>SUMIF(PPL!$C:$C,PML!$A2,PPL!H:H)</f>
        <v>674</v>
      </c>
      <c r="G2">
        <f>SUMIF(PPL!$C:$C,PML!$A2,PPL!I:I)</f>
        <v>9</v>
      </c>
      <c r="H2">
        <f>SUMIF(PPL!$C:$C,PML!$A2,PPL!J:J)</f>
        <v>0</v>
      </c>
      <c r="I2">
        <f>SUMIF(PPL!$C:$C,PML!$A2,PPL!K:K)</f>
        <v>1271</v>
      </c>
      <c r="J2">
        <f>SUMIF(PPL!$C:$C,PML!$A2,PPL!L:L)</f>
        <v>0</v>
      </c>
      <c r="K2">
        <f>D2</f>
        <v>2740</v>
      </c>
      <c r="L2" s="3">
        <f>(SUM(D2)/C2)*100</f>
        <v>56.251283104085402</v>
      </c>
    </row>
    <row r="3" spans="1:12" x14ac:dyDescent="0.25">
      <c r="A3" t="s">
        <v>163</v>
      </c>
      <c r="B3" t="s">
        <v>187</v>
      </c>
      <c r="C3">
        <f>SUMIF(PPL!$C:$C,PML!$A3,PPL!E:E)</f>
        <v>4949</v>
      </c>
      <c r="D3">
        <f>SUMIF(PPL!$C:$C,PML!$A3,PPL!F:F)</f>
        <v>2899</v>
      </c>
      <c r="E3">
        <f>SUMIF(PPL!$C:$C,PML!$A3,PPL!G:G)</f>
        <v>98</v>
      </c>
      <c r="F3">
        <f>SUMIF(PPL!$C:$C,PML!$A3,PPL!H:H)</f>
        <v>460</v>
      </c>
      <c r="G3">
        <f>SUMIF(PPL!$C:$C,PML!$A3,PPL!I:I)</f>
        <v>15</v>
      </c>
      <c r="H3">
        <f>SUMIF(PPL!$C:$C,PML!$A3,PPL!J:J)</f>
        <v>2</v>
      </c>
      <c r="I3">
        <f>SUMIF(PPL!$C:$C,PML!$A3,PPL!K:K)</f>
        <v>1475</v>
      </c>
      <c r="J3">
        <f>SUMIF(PPL!$C:$C,PML!$A3,PPL!L:L)</f>
        <v>0</v>
      </c>
      <c r="K3">
        <f t="shared" ref="K3:K20" si="0">D3</f>
        <v>2899</v>
      </c>
      <c r="L3" s="3">
        <f t="shared" ref="L3:L20" si="1">(SUM(D3)/C3)*100</f>
        <v>58.577490402101439</v>
      </c>
    </row>
    <row r="4" spans="1:12" x14ac:dyDescent="0.25">
      <c r="A4" t="s">
        <v>164</v>
      </c>
      <c r="B4" t="s">
        <v>190</v>
      </c>
      <c r="C4">
        <f>SUMIF(PPL!$C:$C,PML!$A4,PPL!E:E)</f>
        <v>5607</v>
      </c>
      <c r="D4">
        <f>SUMIF(PPL!$C:$C,PML!$A4,PPL!F:F)</f>
        <v>3407</v>
      </c>
      <c r="E4">
        <f>SUMIF(PPL!$C:$C,PML!$A4,PPL!G:G)</f>
        <v>49</v>
      </c>
      <c r="F4">
        <f>SUMIF(PPL!$C:$C,PML!$A4,PPL!H:H)</f>
        <v>223</v>
      </c>
      <c r="G4">
        <f>SUMIF(PPL!$C:$C,PML!$A4,PPL!I:I)</f>
        <v>15</v>
      </c>
      <c r="H4">
        <f>SUMIF(PPL!$C:$C,PML!$A4,PPL!J:J)</f>
        <v>0</v>
      </c>
      <c r="I4">
        <f>SUMIF(PPL!$C:$C,PML!$A4,PPL!K:K)</f>
        <v>1912</v>
      </c>
      <c r="J4">
        <f>SUMIF(PPL!$C:$C,PML!$A4,PPL!L:L)</f>
        <v>1</v>
      </c>
      <c r="K4">
        <f t="shared" si="0"/>
        <v>3407</v>
      </c>
      <c r="L4" s="3">
        <f t="shared" si="1"/>
        <v>60.763331549848395</v>
      </c>
    </row>
    <row r="5" spans="1:12" x14ac:dyDescent="0.25">
      <c r="A5" t="s">
        <v>165</v>
      </c>
      <c r="B5" t="s">
        <v>181</v>
      </c>
      <c r="C5">
        <f>SUMIF(PPL!$C:$C,PML!$A5,PPL!E:E)</f>
        <v>6676</v>
      </c>
      <c r="D5">
        <f>SUMIF(PPL!$C:$C,PML!$A5,PPL!F:F)</f>
        <v>3765</v>
      </c>
      <c r="E5">
        <f>SUMIF(PPL!$C:$C,PML!$A5,PPL!G:G)</f>
        <v>656</v>
      </c>
      <c r="F5">
        <f>SUMIF(PPL!$C:$C,PML!$A5,PPL!H:H)</f>
        <v>1047</v>
      </c>
      <c r="G5">
        <f>SUMIF(PPL!$C:$C,PML!$A5,PPL!I:I)</f>
        <v>94</v>
      </c>
      <c r="H5">
        <f>SUMIF(PPL!$C:$C,PML!$A5,PPL!J:J)</f>
        <v>26</v>
      </c>
      <c r="I5">
        <f>SUMIF(PPL!$C:$C,PML!$A5,PPL!K:K)</f>
        <v>1088</v>
      </c>
      <c r="J5">
        <f>SUMIF(PPL!$C:$C,PML!$A5,PPL!L:L)</f>
        <v>0</v>
      </c>
      <c r="K5">
        <f t="shared" si="0"/>
        <v>3765</v>
      </c>
      <c r="L5" s="3">
        <f t="shared" si="1"/>
        <v>56.396045536249254</v>
      </c>
    </row>
    <row r="6" spans="1:12" x14ac:dyDescent="0.25">
      <c r="A6" t="s">
        <v>166</v>
      </c>
      <c r="B6" t="s">
        <v>189</v>
      </c>
      <c r="C6">
        <f>SUMIF(PPL!$C:$C,PML!$A6,PPL!E:E)</f>
        <v>5811</v>
      </c>
      <c r="D6">
        <f>SUMIF(PPL!$C:$C,PML!$A6,PPL!F:F)</f>
        <v>3079</v>
      </c>
      <c r="E6">
        <f>SUMIF(PPL!$C:$C,PML!$A6,PPL!G:G)</f>
        <v>189</v>
      </c>
      <c r="F6">
        <f>SUMIF(PPL!$C:$C,PML!$A6,PPL!H:H)</f>
        <v>1143</v>
      </c>
      <c r="G6">
        <f>SUMIF(PPL!$C:$C,PML!$A6,PPL!I:I)</f>
        <v>23</v>
      </c>
      <c r="H6">
        <f>SUMIF(PPL!$C:$C,PML!$A6,PPL!J:J)</f>
        <v>6</v>
      </c>
      <c r="I6">
        <f>SUMIF(PPL!$C:$C,PML!$A6,PPL!K:K)</f>
        <v>1370</v>
      </c>
      <c r="J6">
        <f>SUMIF(PPL!$C:$C,PML!$A6,PPL!L:L)</f>
        <v>1</v>
      </c>
      <c r="K6">
        <f t="shared" si="0"/>
        <v>3079</v>
      </c>
      <c r="L6" s="3">
        <f t="shared" si="1"/>
        <v>52.985716744106007</v>
      </c>
    </row>
    <row r="7" spans="1:12" x14ac:dyDescent="0.25">
      <c r="A7" t="s">
        <v>167</v>
      </c>
      <c r="B7" t="s">
        <v>182</v>
      </c>
      <c r="C7">
        <f>SUMIF(PPL!$C:$C,PML!$A7,PPL!E:E)</f>
        <v>6297</v>
      </c>
      <c r="D7">
        <f>SUMIF(PPL!$C:$C,PML!$A7,PPL!F:F)</f>
        <v>2702</v>
      </c>
      <c r="E7">
        <f>SUMIF(PPL!$C:$C,PML!$A7,PPL!G:G)</f>
        <v>322</v>
      </c>
      <c r="F7">
        <f>SUMIF(PPL!$C:$C,PML!$A7,PPL!H:H)</f>
        <v>750</v>
      </c>
      <c r="G7">
        <f>SUMIF(PPL!$C:$C,PML!$A7,PPL!I:I)</f>
        <v>116</v>
      </c>
      <c r="H7">
        <f>SUMIF(PPL!$C:$C,PML!$A7,PPL!J:J)</f>
        <v>1</v>
      </c>
      <c r="I7">
        <f>SUMIF(PPL!$C:$C,PML!$A7,PPL!K:K)</f>
        <v>2405</v>
      </c>
      <c r="J7">
        <f>SUMIF(PPL!$C:$C,PML!$A7,PPL!L:L)</f>
        <v>1</v>
      </c>
      <c r="K7">
        <f t="shared" si="0"/>
        <v>2702</v>
      </c>
      <c r="L7" s="3">
        <f t="shared" si="1"/>
        <v>42.909321899317135</v>
      </c>
    </row>
    <row r="8" spans="1:12" x14ac:dyDescent="0.25">
      <c r="A8" t="s">
        <v>168</v>
      </c>
      <c r="B8" t="s">
        <v>197</v>
      </c>
      <c r="C8">
        <f>SUMIF(PPL!$C:$C,PML!$A8,PPL!E:E)</f>
        <v>5750</v>
      </c>
      <c r="D8">
        <f>SUMIF(PPL!$C:$C,PML!$A8,PPL!F:F)</f>
        <v>2668</v>
      </c>
      <c r="E8">
        <f>SUMIF(PPL!$C:$C,PML!$A8,PPL!G:G)</f>
        <v>174</v>
      </c>
      <c r="F8">
        <f>SUMIF(PPL!$C:$C,PML!$A8,PPL!H:H)</f>
        <v>553</v>
      </c>
      <c r="G8">
        <f>SUMIF(PPL!$C:$C,PML!$A8,PPL!I:I)</f>
        <v>54</v>
      </c>
      <c r="H8">
        <f>SUMIF(PPL!$C:$C,PML!$A8,PPL!J:J)</f>
        <v>2</v>
      </c>
      <c r="I8">
        <f>SUMIF(PPL!$C:$C,PML!$A8,PPL!K:K)</f>
        <v>2299</v>
      </c>
      <c r="J8">
        <f>SUMIF(PPL!$C:$C,PML!$A8,PPL!L:L)</f>
        <v>0</v>
      </c>
      <c r="K8">
        <f t="shared" si="0"/>
        <v>2668</v>
      </c>
      <c r="L8" s="3">
        <f t="shared" si="1"/>
        <v>46.400000000000006</v>
      </c>
    </row>
    <row r="9" spans="1:12" x14ac:dyDescent="0.25">
      <c r="A9" t="s">
        <v>169</v>
      </c>
      <c r="B9" t="s">
        <v>199</v>
      </c>
      <c r="C9">
        <f>SUMIF(PPL!$C:$C,PML!$A9,PPL!E:E)</f>
        <v>6084</v>
      </c>
      <c r="D9">
        <f>SUMIF(PPL!$C:$C,PML!$A9,PPL!F:F)</f>
        <v>3818</v>
      </c>
      <c r="E9">
        <f>SUMIF(PPL!$C:$C,PML!$A9,PPL!G:G)</f>
        <v>148</v>
      </c>
      <c r="F9">
        <f>SUMIF(PPL!$C:$C,PML!$A9,PPL!H:H)</f>
        <v>261</v>
      </c>
      <c r="G9">
        <f>SUMIF(PPL!$C:$C,PML!$A9,PPL!I:I)</f>
        <v>41</v>
      </c>
      <c r="H9">
        <f>SUMIF(PPL!$C:$C,PML!$A9,PPL!J:J)</f>
        <v>3</v>
      </c>
      <c r="I9">
        <f>SUMIF(PPL!$C:$C,PML!$A9,PPL!K:K)</f>
        <v>1813</v>
      </c>
      <c r="J9">
        <f>SUMIF(PPL!$C:$C,PML!$A9,PPL!L:L)</f>
        <v>0</v>
      </c>
      <c r="K9">
        <f t="shared" si="0"/>
        <v>3818</v>
      </c>
      <c r="L9" s="3">
        <f t="shared" si="1"/>
        <v>62.754766600920441</v>
      </c>
    </row>
    <row r="10" spans="1:12" x14ac:dyDescent="0.25">
      <c r="A10" t="s">
        <v>170</v>
      </c>
      <c r="B10" t="s">
        <v>196</v>
      </c>
      <c r="C10">
        <f>SUMIF(PPL!$C:$C,PML!$A10,PPL!E:E)</f>
        <v>5945</v>
      </c>
      <c r="D10">
        <f>SUMIF(PPL!$C:$C,PML!$A10,PPL!F:F)</f>
        <v>3234</v>
      </c>
      <c r="E10">
        <f>SUMIF(PPL!$C:$C,PML!$A10,PPL!G:G)</f>
        <v>118</v>
      </c>
      <c r="F10">
        <f>SUMIF(PPL!$C:$C,PML!$A10,PPL!H:H)</f>
        <v>42</v>
      </c>
      <c r="G10">
        <f>SUMIF(PPL!$C:$C,PML!$A10,PPL!I:I)</f>
        <v>92</v>
      </c>
      <c r="H10">
        <f>SUMIF(PPL!$C:$C,PML!$A10,PPL!J:J)</f>
        <v>3</v>
      </c>
      <c r="I10">
        <f>SUMIF(PPL!$C:$C,PML!$A10,PPL!K:K)</f>
        <v>2456</v>
      </c>
      <c r="J10">
        <f>SUMIF(PPL!$C:$C,PML!$A10,PPL!L:L)</f>
        <v>0</v>
      </c>
      <c r="K10">
        <f t="shared" si="0"/>
        <v>3234</v>
      </c>
      <c r="L10" s="3">
        <f t="shared" si="1"/>
        <v>54.398654331370899</v>
      </c>
    </row>
    <row r="11" spans="1:12" x14ac:dyDescent="0.25">
      <c r="A11" t="s">
        <v>171</v>
      </c>
      <c r="B11" t="s">
        <v>195</v>
      </c>
      <c r="C11">
        <f>SUMIF(PPL!$C:$C,PML!$A11,PPL!E:E)</f>
        <v>4299</v>
      </c>
      <c r="D11">
        <f>SUMIF(PPL!$C:$C,PML!$A11,PPL!F:F)</f>
        <v>2398</v>
      </c>
      <c r="E11">
        <f>SUMIF(PPL!$C:$C,PML!$A11,PPL!G:G)</f>
        <v>20</v>
      </c>
      <c r="F11">
        <f>SUMIF(PPL!$C:$C,PML!$A11,PPL!H:H)</f>
        <v>552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1317</v>
      </c>
      <c r="J11">
        <f>SUMIF(PPL!$C:$C,PML!$A11,PPL!L:L)</f>
        <v>0</v>
      </c>
      <c r="K11">
        <f t="shared" si="0"/>
        <v>2398</v>
      </c>
      <c r="L11" s="3">
        <f t="shared" si="1"/>
        <v>55.780414049779012</v>
      </c>
    </row>
    <row r="12" spans="1:12" x14ac:dyDescent="0.25">
      <c r="A12" t="s">
        <v>172</v>
      </c>
      <c r="B12" t="s">
        <v>193</v>
      </c>
      <c r="C12">
        <f>SUMIF(PPL!$C:$C,PML!$A12,PPL!E:E)</f>
        <v>3843</v>
      </c>
      <c r="D12">
        <f>SUMIF(PPL!$C:$C,PML!$A12,PPL!F:F)</f>
        <v>2735</v>
      </c>
      <c r="E12">
        <f>SUMIF(PPL!$C:$C,PML!$A12,PPL!G:G)</f>
        <v>163</v>
      </c>
      <c r="F12">
        <f>SUMIF(PPL!$C:$C,PML!$A12,PPL!H:H)</f>
        <v>273</v>
      </c>
      <c r="G12">
        <f>SUMIF(PPL!$C:$C,PML!$A12,PPL!I:I)</f>
        <v>11</v>
      </c>
      <c r="H12">
        <f>SUMIF(PPL!$C:$C,PML!$A12,PPL!J:J)</f>
        <v>34</v>
      </c>
      <c r="I12">
        <f>SUMIF(PPL!$C:$C,PML!$A12,PPL!K:K)</f>
        <v>627</v>
      </c>
      <c r="J12">
        <f>SUMIF(PPL!$C:$C,PML!$A12,PPL!L:L)</f>
        <v>0</v>
      </c>
      <c r="K12">
        <f t="shared" si="0"/>
        <v>2735</v>
      </c>
      <c r="L12" s="3">
        <f t="shared" si="1"/>
        <v>71.168358053603953</v>
      </c>
    </row>
    <row r="13" spans="1:12" x14ac:dyDescent="0.25">
      <c r="A13" t="s">
        <v>173</v>
      </c>
      <c r="B13" t="s">
        <v>186</v>
      </c>
      <c r="C13">
        <f>SUMIF(PPL!$C:$C,PML!$A13,PPL!E:E)</f>
        <v>4478</v>
      </c>
      <c r="D13">
        <f>SUMIF(PPL!$C:$C,PML!$A13,PPL!F:F)</f>
        <v>2788</v>
      </c>
      <c r="E13">
        <f>SUMIF(PPL!$C:$C,PML!$A13,PPL!G:G)</f>
        <v>58</v>
      </c>
      <c r="F13">
        <f>SUMIF(PPL!$C:$C,PML!$A13,PPL!H:H)</f>
        <v>550</v>
      </c>
      <c r="G13">
        <f>SUMIF(PPL!$C:$C,PML!$A13,PPL!I:I)</f>
        <v>23</v>
      </c>
      <c r="H13">
        <f>SUMIF(PPL!$C:$C,PML!$A13,PPL!J:J)</f>
        <v>12</v>
      </c>
      <c r="I13">
        <f>SUMIF(PPL!$C:$C,PML!$A13,PPL!K:K)</f>
        <v>1047</v>
      </c>
      <c r="J13">
        <f>SUMIF(PPL!$C:$C,PML!$A13,PPL!L:L)</f>
        <v>0</v>
      </c>
      <c r="K13">
        <f t="shared" si="0"/>
        <v>2788</v>
      </c>
      <c r="L13" s="3">
        <f t="shared" si="1"/>
        <v>62.25993747208576</v>
      </c>
    </row>
    <row r="14" spans="1:12" x14ac:dyDescent="0.25">
      <c r="A14" t="s">
        <v>174</v>
      </c>
      <c r="B14" t="s">
        <v>185</v>
      </c>
      <c r="C14">
        <f>SUMIF(PPL!$C:$C,PML!$A14,PPL!E:E)</f>
        <v>4132</v>
      </c>
      <c r="D14">
        <f>SUMIF(PPL!$C:$C,PML!$A14,PPL!F:F)</f>
        <v>2035</v>
      </c>
      <c r="E14">
        <f>SUMIF(PPL!$C:$C,PML!$A14,PPL!G:G)</f>
        <v>252</v>
      </c>
      <c r="F14">
        <f>SUMIF(PPL!$C:$C,PML!$A14,PPL!H:H)</f>
        <v>831</v>
      </c>
      <c r="G14">
        <f>SUMIF(PPL!$C:$C,PML!$A14,PPL!I:I)</f>
        <v>60</v>
      </c>
      <c r="H14">
        <f>SUMIF(PPL!$C:$C,PML!$A14,PPL!J:J)</f>
        <v>4</v>
      </c>
      <c r="I14">
        <f>SUMIF(PPL!$C:$C,PML!$A14,PPL!K:K)</f>
        <v>950</v>
      </c>
      <c r="J14">
        <f>SUMIF(PPL!$C:$C,PML!$A14,PPL!L:L)</f>
        <v>0</v>
      </c>
      <c r="K14">
        <f t="shared" si="0"/>
        <v>2035</v>
      </c>
      <c r="L14" s="3">
        <f t="shared" si="1"/>
        <v>49.249757986447243</v>
      </c>
    </row>
    <row r="15" spans="1:12" x14ac:dyDescent="0.25">
      <c r="A15" t="s">
        <v>175</v>
      </c>
      <c r="B15" t="s">
        <v>188</v>
      </c>
      <c r="C15">
        <f>SUMIF(PPL!$C:$C,PML!$A15,PPL!E:E)</f>
        <v>4644</v>
      </c>
      <c r="D15">
        <f>SUMIF(PPL!$C:$C,PML!$A15,PPL!F:F)</f>
        <v>1845</v>
      </c>
      <c r="E15">
        <f>SUMIF(PPL!$C:$C,PML!$A15,PPL!G:G)</f>
        <v>344</v>
      </c>
      <c r="F15">
        <f>SUMIF(PPL!$C:$C,PML!$A15,PPL!H:H)</f>
        <v>921</v>
      </c>
      <c r="G15">
        <f>SUMIF(PPL!$C:$C,PML!$A15,PPL!I:I)</f>
        <v>88</v>
      </c>
      <c r="H15">
        <f>SUMIF(PPL!$C:$C,PML!$A15,PPL!J:J)</f>
        <v>13</v>
      </c>
      <c r="I15">
        <f>SUMIF(PPL!$C:$C,PML!$A15,PPL!K:K)</f>
        <v>1433</v>
      </c>
      <c r="J15">
        <f>SUMIF(PPL!$C:$C,PML!$A15,PPL!L:L)</f>
        <v>0</v>
      </c>
      <c r="K15">
        <f t="shared" si="0"/>
        <v>1845</v>
      </c>
      <c r="L15" s="3">
        <f t="shared" si="1"/>
        <v>39.728682170542633</v>
      </c>
    </row>
    <row r="16" spans="1:12" x14ac:dyDescent="0.25">
      <c r="A16" t="s">
        <v>176</v>
      </c>
      <c r="B16" t="s">
        <v>194</v>
      </c>
      <c r="C16">
        <f>SUMIF(PPL!$C:$C,PML!$A16,PPL!E:E)</f>
        <v>5305</v>
      </c>
      <c r="D16">
        <f>SUMIF(PPL!$C:$C,PML!$A16,PPL!F:F)</f>
        <v>3739</v>
      </c>
      <c r="E16">
        <f>SUMIF(PPL!$C:$C,PML!$A16,PPL!G:G)</f>
        <v>777</v>
      </c>
      <c r="F16">
        <f>SUMIF(PPL!$C:$C,PML!$A16,PPL!H:H)</f>
        <v>288</v>
      </c>
      <c r="G16">
        <f>SUMIF(PPL!$C:$C,PML!$A16,PPL!I:I)</f>
        <v>63</v>
      </c>
      <c r="H16">
        <f>SUMIF(PPL!$C:$C,PML!$A16,PPL!J:J)</f>
        <v>5</v>
      </c>
      <c r="I16">
        <f>SUMIF(PPL!$C:$C,PML!$A16,PPL!K:K)</f>
        <v>433</v>
      </c>
      <c r="J16">
        <f>SUMIF(PPL!$C:$C,PML!$A16,PPL!L:L)</f>
        <v>0</v>
      </c>
      <c r="K16">
        <f t="shared" si="0"/>
        <v>3739</v>
      </c>
      <c r="L16" s="3">
        <f t="shared" si="1"/>
        <v>70.480678605089537</v>
      </c>
    </row>
    <row r="17" spans="1:12" x14ac:dyDescent="0.25">
      <c r="A17" t="s">
        <v>177</v>
      </c>
      <c r="B17" t="s">
        <v>192</v>
      </c>
      <c r="C17">
        <f>SUMIF(PPL!$C:$C,PML!$A17,PPL!E:E)</f>
        <v>5268</v>
      </c>
      <c r="D17">
        <f>SUMIF(PPL!$C:$C,PML!$A17,PPL!F:F)</f>
        <v>3776</v>
      </c>
      <c r="E17">
        <f>SUMIF(PPL!$C:$C,PML!$A17,PPL!G:G)</f>
        <v>462</v>
      </c>
      <c r="F17">
        <f>SUMIF(PPL!$C:$C,PML!$A17,PPL!H:H)</f>
        <v>625</v>
      </c>
      <c r="G17">
        <f>SUMIF(PPL!$C:$C,PML!$A17,PPL!I:I)</f>
        <v>10</v>
      </c>
      <c r="H17">
        <f>SUMIF(PPL!$C:$C,PML!$A17,PPL!J:J)</f>
        <v>14</v>
      </c>
      <c r="I17">
        <f>SUMIF(PPL!$C:$C,PML!$A17,PPL!K:K)</f>
        <v>381</v>
      </c>
      <c r="J17">
        <f>SUMIF(PPL!$C:$C,PML!$A17,PPL!L:L)</f>
        <v>0</v>
      </c>
      <c r="K17">
        <f t="shared" si="0"/>
        <v>3776</v>
      </c>
      <c r="L17" s="3">
        <f t="shared" si="1"/>
        <v>71.678056188306755</v>
      </c>
    </row>
    <row r="18" spans="1:12" x14ac:dyDescent="0.25">
      <c r="A18" t="s">
        <v>178</v>
      </c>
      <c r="B18" t="s">
        <v>191</v>
      </c>
      <c r="C18">
        <f>SUMIF(PPL!$C:$C,PML!$A18,PPL!E:E)</f>
        <v>4892</v>
      </c>
      <c r="D18">
        <f>SUMIF(PPL!$C:$C,PML!$A18,PPL!F:F)</f>
        <v>3821</v>
      </c>
      <c r="E18">
        <f>SUMIF(PPL!$C:$C,PML!$A18,PPL!G:G)</f>
        <v>209</v>
      </c>
      <c r="F18">
        <f>SUMIF(PPL!$C:$C,PML!$A18,PPL!H:H)</f>
        <v>783</v>
      </c>
      <c r="G18">
        <f>SUMIF(PPL!$C:$C,PML!$A18,PPL!I:I)</f>
        <v>7</v>
      </c>
      <c r="H18">
        <f>SUMIF(PPL!$C:$C,PML!$A18,PPL!J:J)</f>
        <v>4</v>
      </c>
      <c r="I18">
        <f>SUMIF(PPL!$C:$C,PML!$A18,PPL!K:K)</f>
        <v>67</v>
      </c>
      <c r="J18">
        <f>SUMIF(PPL!$C:$C,PML!$A18,PPL!L:L)</f>
        <v>1</v>
      </c>
      <c r="K18">
        <f t="shared" si="0"/>
        <v>3821</v>
      </c>
      <c r="L18" s="3">
        <f t="shared" si="1"/>
        <v>78.107113654946843</v>
      </c>
    </row>
    <row r="19" spans="1:12" x14ac:dyDescent="0.25">
      <c r="A19" t="s">
        <v>179</v>
      </c>
      <c r="B19" t="s">
        <v>184</v>
      </c>
      <c r="C19">
        <f>SUMIF(PPL!$C:$C,PML!$A19,PPL!E:E)</f>
        <v>4166</v>
      </c>
      <c r="D19">
        <f>SUMIF(PPL!$C:$C,PML!$A19,PPL!F:F)</f>
        <v>2690</v>
      </c>
      <c r="E19">
        <f>SUMIF(PPL!$C:$C,PML!$A19,PPL!G:G)</f>
        <v>479</v>
      </c>
      <c r="F19">
        <f>SUMIF(PPL!$C:$C,PML!$A19,PPL!H:H)</f>
        <v>448</v>
      </c>
      <c r="G19">
        <f>SUMIF(PPL!$C:$C,PML!$A19,PPL!I:I)</f>
        <v>95</v>
      </c>
      <c r="H19">
        <f>SUMIF(PPL!$C:$C,PML!$A19,PPL!J:J)</f>
        <v>6</v>
      </c>
      <c r="I19">
        <f>SUMIF(PPL!$C:$C,PML!$A19,PPL!K:K)</f>
        <v>448</v>
      </c>
      <c r="J19">
        <f>SUMIF(PPL!$C:$C,PML!$A19,PPL!L:L)</f>
        <v>0</v>
      </c>
      <c r="K19">
        <f t="shared" si="0"/>
        <v>2690</v>
      </c>
      <c r="L19" s="3">
        <f t="shared" si="1"/>
        <v>64.570331253000475</v>
      </c>
    </row>
    <row r="20" spans="1:12" x14ac:dyDescent="0.25">
      <c r="A20" t="s">
        <v>180</v>
      </c>
      <c r="B20" t="s">
        <v>183</v>
      </c>
      <c r="C20">
        <f>SUMIF(PPL!$C:$C,PML!$A20,PPL!E:E)</f>
        <v>5746</v>
      </c>
      <c r="D20">
        <f>SUMIF(PPL!$C:$C,PML!$A20,PPL!F:F)</f>
        <v>4424</v>
      </c>
      <c r="E20">
        <f>SUMIF(PPL!$C:$C,PML!$A20,PPL!G:G)</f>
        <v>224</v>
      </c>
      <c r="F20">
        <f>SUMIF(PPL!$C:$C,PML!$A20,PPL!H:H)</f>
        <v>691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392</v>
      </c>
      <c r="J20">
        <f>SUMIF(PPL!$C:$C,PML!$A20,PPL!L:L)</f>
        <v>1</v>
      </c>
      <c r="K20">
        <f t="shared" si="0"/>
        <v>4424</v>
      </c>
      <c r="L20" s="3">
        <f t="shared" si="1"/>
        <v>76.99269056735119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2026-08-18T02:29:25Z</dcterms:modified>
</cp:coreProperties>
</file>