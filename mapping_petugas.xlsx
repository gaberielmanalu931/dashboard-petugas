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1ABC6CC-1EB6-4751-8A88-35FFB0073BFA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region_summary (37)" sheetId="27" r:id="rId6"/>
    <sheet name="TARGET" sheetId="11" r:id="rId7"/>
    <sheet name="INFO" sheetId="28" r:id="rId8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0" hidden="1">Sheet1!$A$1:$E$139</definedName>
    <definedName name="ExternalData_1" localSheetId="5" hidden="1">'region_summary (37)'!$A$1:$L$1058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545" i="27"/>
  <c r="M546" i="27"/>
  <c r="M547" i="27"/>
  <c r="M548" i="27"/>
  <c r="M549" i="27"/>
  <c r="M550" i="27"/>
  <c r="M551" i="27"/>
  <c r="M552" i="27"/>
  <c r="M553" i="27"/>
  <c r="M554" i="27"/>
  <c r="M555" i="27"/>
  <c r="M556" i="27"/>
  <c r="M557" i="27"/>
  <c r="M558" i="27"/>
  <c r="M559" i="27"/>
  <c r="M560" i="27"/>
  <c r="M561" i="27"/>
  <c r="M562" i="27"/>
  <c r="M563" i="27"/>
  <c r="M564" i="27"/>
  <c r="M565" i="27"/>
  <c r="M566" i="27"/>
  <c r="M567" i="27"/>
  <c r="M568" i="27"/>
  <c r="M569" i="27"/>
  <c r="M570" i="27"/>
  <c r="M571" i="27"/>
  <c r="M572" i="27"/>
  <c r="M573" i="27"/>
  <c r="M574" i="27"/>
  <c r="M575" i="27"/>
  <c r="M576" i="27"/>
  <c r="M577" i="27"/>
  <c r="M578" i="27"/>
  <c r="M579" i="27"/>
  <c r="M580" i="27"/>
  <c r="M581" i="27"/>
  <c r="M582" i="27"/>
  <c r="M583" i="27"/>
  <c r="M584" i="27"/>
  <c r="M585" i="27"/>
  <c r="M586" i="27"/>
  <c r="M587" i="27"/>
  <c r="M588" i="27"/>
  <c r="M589" i="27"/>
  <c r="M590" i="27"/>
  <c r="M591" i="27"/>
  <c r="M592" i="27"/>
  <c r="M593" i="27"/>
  <c r="M594" i="27"/>
  <c r="M595" i="27"/>
  <c r="M596" i="27"/>
  <c r="M597" i="27"/>
  <c r="M598" i="27"/>
  <c r="M599" i="27"/>
  <c r="M600" i="27"/>
  <c r="M601" i="27"/>
  <c r="M602" i="27"/>
  <c r="M603" i="27"/>
  <c r="M604" i="27"/>
  <c r="M605" i="27"/>
  <c r="M606" i="27"/>
  <c r="M607" i="27"/>
  <c r="M608" i="27"/>
  <c r="M609" i="27"/>
  <c r="M610" i="27"/>
  <c r="M611" i="27"/>
  <c r="M612" i="27"/>
  <c r="M613" i="27"/>
  <c r="M614" i="27"/>
  <c r="M615" i="27"/>
  <c r="M616" i="27"/>
  <c r="M617" i="27"/>
  <c r="M618" i="27"/>
  <c r="M619" i="27"/>
  <c r="M620" i="27"/>
  <c r="M621" i="27"/>
  <c r="M622" i="27"/>
  <c r="M623" i="27"/>
  <c r="M624" i="27"/>
  <c r="M625" i="27"/>
  <c r="M626" i="27"/>
  <c r="M627" i="27"/>
  <c r="M628" i="27"/>
  <c r="M629" i="27"/>
  <c r="M630" i="27"/>
  <c r="M631" i="27"/>
  <c r="M632" i="27"/>
  <c r="M633" i="27"/>
  <c r="M634" i="27"/>
  <c r="M635" i="27"/>
  <c r="M636" i="27"/>
  <c r="M637" i="27"/>
  <c r="M638" i="27"/>
  <c r="M639" i="27"/>
  <c r="M640" i="27"/>
  <c r="M641" i="27"/>
  <c r="M642" i="27"/>
  <c r="M643" i="27"/>
  <c r="M644" i="27"/>
  <c r="M645" i="27"/>
  <c r="M646" i="27"/>
  <c r="M647" i="27"/>
  <c r="M648" i="27"/>
  <c r="M649" i="27"/>
  <c r="M650" i="27"/>
  <c r="M651" i="27"/>
  <c r="M652" i="27"/>
  <c r="M653" i="27"/>
  <c r="M654" i="27"/>
  <c r="M655" i="27"/>
  <c r="M656" i="27"/>
  <c r="M657" i="27"/>
  <c r="M658" i="27"/>
  <c r="M659" i="27"/>
  <c r="M660" i="27"/>
  <c r="M661" i="27"/>
  <c r="M662" i="27"/>
  <c r="M663" i="27"/>
  <c r="M664" i="27"/>
  <c r="M665" i="27"/>
  <c r="M666" i="27"/>
  <c r="M667" i="27"/>
  <c r="M668" i="27"/>
  <c r="M669" i="27"/>
  <c r="M670" i="27"/>
  <c r="M671" i="27"/>
  <c r="M672" i="27"/>
  <c r="M673" i="27"/>
  <c r="M674" i="27"/>
  <c r="M675" i="27"/>
  <c r="M676" i="27"/>
  <c r="M677" i="27"/>
  <c r="M678" i="27"/>
  <c r="M679" i="27"/>
  <c r="M680" i="27"/>
  <c r="M681" i="27"/>
  <c r="M682" i="27"/>
  <c r="M683" i="27"/>
  <c r="M684" i="27"/>
  <c r="M685" i="27"/>
  <c r="M686" i="27"/>
  <c r="M687" i="27"/>
  <c r="M688" i="27"/>
  <c r="M689" i="27"/>
  <c r="M690" i="27"/>
  <c r="M691" i="27"/>
  <c r="M692" i="27"/>
  <c r="M693" i="27"/>
  <c r="M694" i="27"/>
  <c r="M695" i="27"/>
  <c r="M696" i="27"/>
  <c r="M697" i="27"/>
  <c r="M698" i="27"/>
  <c r="M699" i="27"/>
  <c r="M700" i="27"/>
  <c r="M701" i="27"/>
  <c r="M702" i="27"/>
  <c r="M703" i="27"/>
  <c r="M704" i="27"/>
  <c r="M705" i="27"/>
  <c r="M706" i="27"/>
  <c r="M707" i="27"/>
  <c r="M708" i="27"/>
  <c r="M709" i="27"/>
  <c r="M710" i="27"/>
  <c r="M711" i="27"/>
  <c r="M712" i="27"/>
  <c r="M713" i="27"/>
  <c r="M714" i="27"/>
  <c r="M715" i="27"/>
  <c r="M716" i="27"/>
  <c r="M717" i="27"/>
  <c r="M718" i="27"/>
  <c r="M719" i="27"/>
  <c r="M720" i="27"/>
  <c r="M721" i="27"/>
  <c r="M722" i="27"/>
  <c r="M723" i="27"/>
  <c r="M724" i="27"/>
  <c r="M725" i="27"/>
  <c r="M726" i="27"/>
  <c r="M727" i="27"/>
  <c r="M728" i="27"/>
  <c r="M729" i="27"/>
  <c r="M730" i="27"/>
  <c r="M731" i="27"/>
  <c r="M732" i="27"/>
  <c r="M733" i="27"/>
  <c r="M734" i="27"/>
  <c r="M735" i="27"/>
  <c r="M736" i="27"/>
  <c r="M737" i="27"/>
  <c r="M738" i="27"/>
  <c r="M739" i="27"/>
  <c r="M740" i="27"/>
  <c r="M741" i="27"/>
  <c r="M742" i="27"/>
  <c r="M743" i="27"/>
  <c r="M744" i="27"/>
  <c r="M745" i="27"/>
  <c r="M746" i="27"/>
  <c r="M747" i="27"/>
  <c r="M748" i="27"/>
  <c r="M749" i="27"/>
  <c r="M750" i="27"/>
  <c r="M751" i="27"/>
  <c r="M752" i="27"/>
  <c r="M753" i="27"/>
  <c r="M754" i="27"/>
  <c r="M755" i="27"/>
  <c r="M756" i="27"/>
  <c r="M757" i="27"/>
  <c r="M758" i="27"/>
  <c r="M759" i="27"/>
  <c r="M760" i="27"/>
  <c r="M761" i="27"/>
  <c r="M762" i="27"/>
  <c r="M763" i="27"/>
  <c r="M764" i="27"/>
  <c r="M765" i="27"/>
  <c r="M766" i="27"/>
  <c r="M767" i="27"/>
  <c r="M768" i="27"/>
  <c r="M769" i="27"/>
  <c r="M770" i="27"/>
  <c r="M771" i="27"/>
  <c r="M772" i="27"/>
  <c r="M773" i="27"/>
  <c r="M774" i="27"/>
  <c r="M775" i="27"/>
  <c r="M776" i="27"/>
  <c r="M777" i="27"/>
  <c r="M778" i="27"/>
  <c r="M779" i="27"/>
  <c r="M780" i="27"/>
  <c r="M781" i="27"/>
  <c r="M782" i="27"/>
  <c r="M783" i="27"/>
  <c r="M784" i="27"/>
  <c r="M785" i="27"/>
  <c r="M786" i="27"/>
  <c r="M787" i="27"/>
  <c r="M788" i="27"/>
  <c r="M789" i="27"/>
  <c r="M790" i="27"/>
  <c r="M791" i="27"/>
  <c r="M792" i="27"/>
  <c r="M793" i="27"/>
  <c r="M794" i="27"/>
  <c r="M795" i="27"/>
  <c r="M796" i="27"/>
  <c r="M797" i="27"/>
  <c r="M798" i="27"/>
  <c r="M799" i="27"/>
  <c r="M800" i="27"/>
  <c r="M801" i="27"/>
  <c r="M802" i="27"/>
  <c r="M803" i="27"/>
  <c r="M804" i="27"/>
  <c r="M805" i="27"/>
  <c r="M806" i="27"/>
  <c r="M807" i="27"/>
  <c r="M808" i="27"/>
  <c r="M809" i="27"/>
  <c r="M810" i="27"/>
  <c r="M811" i="27"/>
  <c r="M812" i="27"/>
  <c r="M813" i="27"/>
  <c r="M814" i="27"/>
  <c r="M815" i="27"/>
  <c r="M816" i="27"/>
  <c r="M817" i="27"/>
  <c r="M818" i="27"/>
  <c r="M819" i="27"/>
  <c r="M820" i="27"/>
  <c r="M821" i="27"/>
  <c r="M822" i="27"/>
  <c r="M823" i="27"/>
  <c r="M824" i="27"/>
  <c r="M825" i="27"/>
  <c r="M826" i="27"/>
  <c r="M827" i="27"/>
  <c r="M828" i="27"/>
  <c r="M829" i="27"/>
  <c r="M830" i="27"/>
  <c r="M831" i="27"/>
  <c r="M832" i="27"/>
  <c r="M833" i="27"/>
  <c r="M834" i="27"/>
  <c r="M835" i="27"/>
  <c r="M836" i="27"/>
  <c r="M837" i="27"/>
  <c r="M838" i="27"/>
  <c r="M839" i="27"/>
  <c r="M840" i="27"/>
  <c r="M841" i="27"/>
  <c r="M842" i="27"/>
  <c r="M843" i="27"/>
  <c r="M844" i="27"/>
  <c r="M845" i="27"/>
  <c r="M846" i="27"/>
  <c r="M847" i="27"/>
  <c r="M848" i="27"/>
  <c r="M849" i="27"/>
  <c r="M850" i="27"/>
  <c r="M851" i="27"/>
  <c r="M852" i="27"/>
  <c r="M853" i="27"/>
  <c r="M854" i="27"/>
  <c r="M855" i="27"/>
  <c r="M856" i="27"/>
  <c r="M857" i="27"/>
  <c r="M858" i="27"/>
  <c r="M859" i="27"/>
  <c r="M860" i="27"/>
  <c r="M861" i="27"/>
  <c r="M862" i="27"/>
  <c r="M863" i="27"/>
  <c r="M864" i="27"/>
  <c r="M865" i="27"/>
  <c r="M866" i="27"/>
  <c r="M867" i="27"/>
  <c r="M868" i="27"/>
  <c r="M869" i="27"/>
  <c r="M870" i="27"/>
  <c r="M871" i="27"/>
  <c r="M872" i="27"/>
  <c r="M873" i="27"/>
  <c r="M874" i="27"/>
  <c r="M875" i="27"/>
  <c r="M876" i="27"/>
  <c r="M877" i="27"/>
  <c r="M878" i="27"/>
  <c r="M879" i="27"/>
  <c r="M880" i="27"/>
  <c r="M881" i="27"/>
  <c r="M882" i="27"/>
  <c r="M883" i="27"/>
  <c r="M884" i="27"/>
  <c r="M885" i="27"/>
  <c r="M886" i="27"/>
  <c r="M887" i="27"/>
  <c r="M888" i="27"/>
  <c r="M889" i="27"/>
  <c r="M890" i="27"/>
  <c r="M891" i="27"/>
  <c r="M892" i="27"/>
  <c r="M893" i="27"/>
  <c r="M894" i="27"/>
  <c r="M895" i="27"/>
  <c r="M896" i="27"/>
  <c r="M897" i="27"/>
  <c r="M898" i="27"/>
  <c r="M899" i="27"/>
  <c r="M900" i="27"/>
  <c r="M901" i="27"/>
  <c r="M902" i="27"/>
  <c r="M903" i="27"/>
  <c r="M904" i="27"/>
  <c r="M905" i="27"/>
  <c r="M906" i="27"/>
  <c r="M907" i="27"/>
  <c r="M908" i="27"/>
  <c r="M909" i="27"/>
  <c r="M910" i="27"/>
  <c r="M911" i="27"/>
  <c r="M912" i="27"/>
  <c r="M913" i="27"/>
  <c r="M914" i="27"/>
  <c r="M915" i="27"/>
  <c r="M916" i="27"/>
  <c r="M917" i="27"/>
  <c r="M918" i="27"/>
  <c r="M919" i="27"/>
  <c r="M920" i="27"/>
  <c r="M921" i="27"/>
  <c r="M922" i="27"/>
  <c r="M923" i="27"/>
  <c r="M924" i="27"/>
  <c r="M925" i="27"/>
  <c r="M926" i="27"/>
  <c r="M927" i="27"/>
  <c r="M928" i="27"/>
  <c r="M929" i="27"/>
  <c r="M930" i="27"/>
  <c r="M931" i="27"/>
  <c r="M932" i="27"/>
  <c r="M933" i="27"/>
  <c r="M934" i="27"/>
  <c r="M935" i="27"/>
  <c r="M936" i="27"/>
  <c r="M937" i="27"/>
  <c r="M938" i="27"/>
  <c r="M939" i="27"/>
  <c r="M940" i="27"/>
  <c r="M941" i="27"/>
  <c r="M942" i="27"/>
  <c r="M943" i="27"/>
  <c r="M944" i="27"/>
  <c r="M945" i="27"/>
  <c r="M946" i="27"/>
  <c r="M947" i="27"/>
  <c r="M948" i="27"/>
  <c r="M949" i="27"/>
  <c r="M950" i="27"/>
  <c r="M951" i="27"/>
  <c r="M952" i="27"/>
  <c r="M953" i="27"/>
  <c r="M954" i="27"/>
  <c r="M955" i="27"/>
  <c r="M956" i="27"/>
  <c r="M957" i="27"/>
  <c r="M958" i="27"/>
  <c r="M959" i="27"/>
  <c r="M960" i="27"/>
  <c r="M961" i="27"/>
  <c r="M962" i="27"/>
  <c r="M963" i="27"/>
  <c r="M964" i="27"/>
  <c r="M965" i="27"/>
  <c r="M966" i="27"/>
  <c r="M967" i="27"/>
  <c r="M968" i="27"/>
  <c r="M969" i="27"/>
  <c r="M970" i="27"/>
  <c r="M971" i="27"/>
  <c r="M972" i="27"/>
  <c r="M973" i="27"/>
  <c r="M974" i="27"/>
  <c r="M975" i="27"/>
  <c r="M976" i="27"/>
  <c r="M977" i="27"/>
  <c r="M978" i="27"/>
  <c r="M979" i="27"/>
  <c r="M980" i="27"/>
  <c r="M981" i="27"/>
  <c r="M982" i="27"/>
  <c r="M983" i="27"/>
  <c r="M984" i="27"/>
  <c r="M985" i="27"/>
  <c r="M986" i="27"/>
  <c r="M987" i="27"/>
  <c r="M988" i="27"/>
  <c r="M989" i="27"/>
  <c r="M990" i="27"/>
  <c r="M991" i="27"/>
  <c r="M992" i="27"/>
  <c r="M993" i="27"/>
  <c r="M994" i="27"/>
  <c r="M995" i="27"/>
  <c r="M996" i="27"/>
  <c r="M997" i="27"/>
  <c r="M998" i="27"/>
  <c r="M999" i="27"/>
  <c r="M1000" i="27"/>
  <c r="M1001" i="27"/>
  <c r="M1002" i="27"/>
  <c r="M1003" i="27"/>
  <c r="M1004" i="27"/>
  <c r="M1005" i="27"/>
  <c r="M1006" i="27"/>
  <c r="M1007" i="27"/>
  <c r="M1008" i="27"/>
  <c r="M1009" i="27"/>
  <c r="M1010" i="27"/>
  <c r="M1011" i="27"/>
  <c r="M1012" i="27"/>
  <c r="M1013" i="27"/>
  <c r="M1014" i="27"/>
  <c r="M1015" i="27"/>
  <c r="M1016" i="27"/>
  <c r="M1017" i="27"/>
  <c r="M1018" i="27"/>
  <c r="M1019" i="27"/>
  <c r="M1020" i="27"/>
  <c r="M1021" i="27"/>
  <c r="M1022" i="27"/>
  <c r="M1023" i="27"/>
  <c r="M1024" i="27"/>
  <c r="M1025" i="27"/>
  <c r="M1026" i="27"/>
  <c r="M1027" i="27"/>
  <c r="M1028" i="27"/>
  <c r="M1029" i="27"/>
  <c r="M1030" i="27"/>
  <c r="M1031" i="27"/>
  <c r="M1032" i="27"/>
  <c r="M1033" i="27"/>
  <c r="M1034" i="27"/>
  <c r="M1035" i="27"/>
  <c r="M1036" i="27"/>
  <c r="M1037" i="27"/>
  <c r="M1038" i="27"/>
  <c r="M1039" i="27"/>
  <c r="M1040" i="27"/>
  <c r="M1041" i="27"/>
  <c r="M1042" i="27"/>
  <c r="M1043" i="27"/>
  <c r="M1044" i="27"/>
  <c r="M1045" i="27"/>
  <c r="M1046" i="27"/>
  <c r="M1047" i="27"/>
  <c r="M1048" i="27"/>
  <c r="M1049" i="27"/>
  <c r="M1050" i="27"/>
  <c r="M1051" i="27"/>
  <c r="M1052" i="27"/>
  <c r="M1053" i="27"/>
  <c r="M1054" i="27"/>
  <c r="M1055" i="27"/>
  <c r="M1056" i="27"/>
  <c r="M1057" i="27"/>
  <c r="M1058" i="27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G136" i="9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G120" i="9"/>
  <c r="H17" i="5"/>
  <c r="G108" i="9"/>
  <c r="G105" i="9"/>
  <c r="G102" i="9"/>
  <c r="G99" i="9"/>
  <c r="H15" i="5"/>
  <c r="D14" i="5"/>
  <c r="K14" i="5" s="1"/>
  <c r="G84" i="9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G115" i="9"/>
  <c r="H18" i="5"/>
  <c r="D17" i="5"/>
  <c r="K17" i="5" s="1"/>
  <c r="G106" i="9"/>
  <c r="G103" i="9"/>
  <c r="G100" i="9"/>
  <c r="G97" i="9"/>
  <c r="G94" i="9"/>
  <c r="H13" i="5"/>
  <c r="G85" i="9"/>
  <c r="G82" i="9"/>
  <c r="G79" i="9"/>
  <c r="G70" i="9"/>
  <c r="G64" i="9"/>
  <c r="G61" i="9"/>
  <c r="G56" i="9"/>
  <c r="G53" i="9"/>
  <c r="G50" i="9"/>
  <c r="H10" i="5"/>
  <c r="D9" i="5"/>
  <c r="K9" i="5" s="1"/>
  <c r="G44" i="9"/>
  <c r="G38" i="9"/>
  <c r="G32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104" i="9"/>
  <c r="G92" i="9"/>
  <c r="G89" i="9"/>
  <c r="H14" i="5"/>
  <c r="G86" i="9"/>
  <c r="G83" i="9"/>
  <c r="G80" i="9"/>
  <c r="H12" i="5"/>
  <c r="G77" i="9"/>
  <c r="G68" i="9"/>
  <c r="G59" i="9"/>
  <c r="G54" i="9"/>
  <c r="G48" i="9"/>
  <c r="H8" i="5"/>
  <c r="G39" i="9"/>
  <c r="G36" i="9"/>
  <c r="G33" i="9"/>
  <c r="G30" i="9"/>
  <c r="G27" i="9"/>
  <c r="D6" i="5"/>
  <c r="K6" i="5" s="1"/>
  <c r="G12" i="9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66" i="9" l="1"/>
  <c r="G72" i="9"/>
  <c r="H72" i="9" s="1"/>
  <c r="G25" i="9"/>
  <c r="G95" i="9"/>
  <c r="G8" i="9"/>
  <c r="I8" i="9" s="1"/>
  <c r="G69" i="9"/>
  <c r="G111" i="9"/>
  <c r="H111" i="9" s="1"/>
  <c r="G138" i="9"/>
  <c r="G67" i="9"/>
  <c r="I67" i="9" s="1"/>
  <c r="G31" i="9"/>
  <c r="L8" i="5"/>
  <c r="G87" i="9"/>
  <c r="I87" i="9" s="1"/>
  <c r="G51" i="9"/>
  <c r="H51" i="9" s="1"/>
  <c r="G35" i="9"/>
  <c r="I35" i="9" s="1"/>
  <c r="G118" i="9"/>
  <c r="I118" i="9" s="1"/>
  <c r="G123" i="9"/>
  <c r="G15" i="9"/>
  <c r="I15" i="9" s="1"/>
  <c r="G18" i="9"/>
  <c r="G46" i="9"/>
  <c r="H46" i="9" s="1"/>
  <c r="G71" i="9"/>
  <c r="H71" i="9" s="1"/>
  <c r="G90" i="9"/>
  <c r="G110" i="9"/>
  <c r="I110" i="9" s="1"/>
  <c r="G74" i="9"/>
  <c r="H74" i="9" s="1"/>
  <c r="G107" i="9"/>
  <c r="H107" i="9" s="1"/>
  <c r="G49" i="9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15" i="9"/>
  <c r="I115" i="9"/>
  <c r="H105" i="9"/>
  <c r="I105" i="9"/>
  <c r="H77" i="9"/>
  <c r="I77" i="9"/>
  <c r="G144" i="9"/>
  <c r="H119" i="9"/>
  <c r="I119" i="9"/>
  <c r="H23" i="9"/>
  <c r="I23" i="9"/>
  <c r="H50" i="9"/>
  <c r="I50" i="9"/>
  <c r="H75" i="9"/>
  <c r="I75" i="9"/>
  <c r="H108" i="9"/>
  <c r="I108" i="9"/>
  <c r="H137" i="9"/>
  <c r="I137" i="9"/>
  <c r="H136" i="9"/>
  <c r="I136" i="9"/>
  <c r="H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49" i="9"/>
  <c r="I49" i="9"/>
  <c r="H2" i="9"/>
  <c r="I2" i="9"/>
  <c r="H33" i="9"/>
  <c r="I33" i="9"/>
  <c r="H95" i="9"/>
  <c r="I95" i="9"/>
  <c r="H61" i="9"/>
  <c r="I61" i="9"/>
  <c r="H94" i="9"/>
  <c r="I94" i="9"/>
  <c r="H22" i="9"/>
  <c r="I22" i="9"/>
  <c r="H52" i="9"/>
  <c r="I52" i="9"/>
  <c r="H84" i="9"/>
  <c r="I84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32" i="9"/>
  <c r="I32" i="9"/>
  <c r="H67" i="9"/>
  <c r="H100" i="9"/>
  <c r="I100" i="9"/>
  <c r="H132" i="9"/>
  <c r="I132" i="9"/>
  <c r="H25" i="9"/>
  <c r="I25" i="9"/>
  <c r="H58" i="9"/>
  <c r="I58" i="9"/>
  <c r="H120" i="9"/>
  <c r="I120" i="9"/>
  <c r="H9" i="9"/>
  <c r="I71" i="9"/>
  <c r="H104" i="9"/>
  <c r="I104" i="9"/>
  <c r="H5" i="9"/>
  <c r="I5" i="9"/>
  <c r="H70" i="9"/>
  <c r="I70" i="9"/>
  <c r="H103" i="9"/>
  <c r="I103" i="9"/>
  <c r="H135" i="9"/>
  <c r="I135" i="9"/>
  <c r="H28" i="9"/>
  <c r="I28" i="9"/>
  <c r="H90" i="9"/>
  <c r="I90" i="9"/>
  <c r="H123" i="9"/>
  <c r="I123" i="9"/>
  <c r="H126" i="9"/>
  <c r="I126" i="9"/>
  <c r="H31" i="9"/>
  <c r="I31" i="9"/>
  <c r="H12" i="9"/>
  <c r="I12" i="9"/>
  <c r="H11" i="9"/>
  <c r="I11" i="9"/>
  <c r="H41" i="9"/>
  <c r="H34" i="9"/>
  <c r="I34" i="9"/>
  <c r="H66" i="9"/>
  <c r="I66" i="9"/>
  <c r="H96" i="9"/>
  <c r="H106" i="9"/>
  <c r="I106" i="9"/>
  <c r="H63" i="9"/>
  <c r="I63" i="9"/>
  <c r="H3" i="9"/>
  <c r="I3" i="9"/>
  <c r="H15" i="9"/>
  <c r="H48" i="9"/>
  <c r="I48" i="9"/>
  <c r="H80" i="9"/>
  <c r="I80" i="9"/>
  <c r="H14" i="9"/>
  <c r="I14" i="9"/>
  <c r="H44" i="9"/>
  <c r="I44" i="9"/>
  <c r="H79" i="9"/>
  <c r="I79" i="9"/>
  <c r="I37" i="9"/>
  <c r="H69" i="9"/>
  <c r="I69" i="9"/>
  <c r="H99" i="9"/>
  <c r="I99" i="9"/>
  <c r="H138" i="9"/>
  <c r="I138" i="9"/>
  <c r="H18" i="9"/>
  <c r="I18" i="9"/>
  <c r="H83" i="9"/>
  <c r="I83" i="9"/>
  <c r="H17" i="9"/>
  <c r="I17" i="9"/>
  <c r="H82" i="9"/>
  <c r="I82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72" i="9" l="1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<sst xmlns="http://schemas.openxmlformats.org/spreadsheetml/2006/main" count="3656" uniqueCount="403">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</sst>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8F62E723-A821-4EC8-8D66-60D58A80AEB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F00D56-9DCE-41B7-8242-9A1585E3CD71}" name="region_summary__37" displayName="region_summary__37" ref="A1:M1058" tableType="queryTable" totalsRowShown="0">
  <autoFilter ref="A1:M1058" xr:uid="{54F00D56-9DCE-41B7-8242-9A1585E3CD71}"/>
  <tableColumns count="13">
    <tableColumn id="1" xr3:uid="{CC9C94AC-F937-4EBC-8329-32438B67EA48}" uniqueName="1" name="email" queryTableFieldId="1" dataDxfId="1"/>
    <tableColumn id="2" xr3:uid="{7E18BBD7-7C8C-4AB3-84E5-CA99CE5EF6E0}" uniqueName="2" name="regionCode" queryTableFieldId="2"/>
    <tableColumn id="3" xr3:uid="{D4B2B986-94A1-4295-8E50-FCEEAFB1E668}" uniqueName="3" name="total" queryTableFieldId="3"/>
    <tableColumn id="4" xr3:uid="{28DEABED-0EB0-4B28-86E1-8B4BEFFDBCC5}" uniqueName="4" name="APPROVED BY Pengawas" queryTableFieldId="4"/>
    <tableColumn id="5" xr3:uid="{73FEA02C-AA0C-4352-8B55-06CB25891797}" uniqueName="5" name="DRAFT" queryTableFieldId="5"/>
    <tableColumn id="6" xr3:uid="{E185429B-7F3C-41C0-8ABE-A23957C17C04}" uniqueName="6" name="EDITED BY Admin Kabupaten" queryTableFieldId="6"/>
    <tableColumn id="7" xr3:uid="{3D2A738A-C8E2-4B2D-8895-EE490544462E}" uniqueName="7" name="OPEN" queryTableFieldId="7"/>
    <tableColumn id="8" xr3:uid="{32893F73-D369-4040-9205-F51F03B066FA}" uniqueName="8" name="REJECTED BY Admin Kabupaten" queryTableFieldId="8"/>
    <tableColumn id="9" xr3:uid="{C10732F2-A77F-4D26-A3C2-0DF6F6AC622E}" uniqueName="9" name="REJECTED BY Pengawas" queryTableFieldId="9"/>
    <tableColumn id="10" xr3:uid="{561FB50F-9617-4F9F-B182-BA1D47C0C720}" uniqueName="10" name="REVOKED BY Pengawas" queryTableFieldId="10"/>
    <tableColumn id="11" xr3:uid="{C3C233D6-1244-40EA-9C53-B9E3B1610BF3}" uniqueName="11" name="SUBMITTED BY Pencacah" queryTableFieldId="11"/>
    <tableColumn id="12" xr3:uid="{7F0AB3D3-93F2-4A31-A10D-8C5EC308548A}" uniqueName="12" name="SUBMITTED RESPONDENT" queryTableFieldId="12"/>
    <tableColumn id="13" xr3:uid="{05DD538B-A1D5-4C8D-B40C-A6B6E2DBD6F1}" uniqueName="13" name="Column1" queryTableFieldId="13" dataDxfId="0">
      <calculatedColumnFormula>region_summary__37[[#This Row],[APPROVED BY Pengawas]]+region_summary__37[[#This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G20" sqref="G2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92</v>
      </c>
      <c r="E2">
        <v>4</v>
      </c>
      <c r="F2">
        <v>5</v>
      </c>
      <c r="G2">
        <v>0</v>
      </c>
      <c r="H2">
        <v>0</v>
      </c>
      <c r="I2">
        <v>3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2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7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64</v>
      </c>
      <c r="E12">
        <v>14</v>
      </c>
      <c r="F12">
        <v>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59</v>
      </c>
      <c r="D21">
        <v>0</v>
      </c>
      <c r="E21">
        <v>1</v>
      </c>
      <c r="F21">
        <v>45</v>
      </c>
      <c r="G21">
        <v>0</v>
      </c>
      <c r="H21">
        <v>0</v>
      </c>
      <c r="I21">
        <v>13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13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6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61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59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55</v>
      </c>
      <c r="D35">
        <v>25</v>
      </c>
      <c r="E35">
        <v>0</v>
      </c>
      <c r="F35">
        <v>30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201</v>
      </c>
      <c r="D43">
        <v>58</v>
      </c>
      <c r="E43">
        <v>2</v>
      </c>
      <c r="F43">
        <v>141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31</v>
      </c>
      <c r="G55">
        <v>0</v>
      </c>
      <c r="H55">
        <v>0</v>
      </c>
      <c r="I55">
        <v>19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20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27</v>
      </c>
      <c r="E63">
        <v>12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117</v>
      </c>
      <c r="E68">
        <v>10</v>
      </c>
      <c r="F68">
        <v>21</v>
      </c>
      <c r="G68">
        <v>1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41</v>
      </c>
      <c r="G69">
        <v>3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77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97</v>
      </c>
      <c r="E87">
        <v>37</v>
      </c>
      <c r="F87">
        <v>20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76</v>
      </c>
      <c r="D90">
        <v>3</v>
      </c>
      <c r="E90">
        <v>5</v>
      </c>
      <c r="F90">
        <v>68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5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4</v>
      </c>
      <c r="E92">
        <v>10</v>
      </c>
      <c r="F92">
        <v>60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47</v>
      </c>
      <c r="E93">
        <v>10</v>
      </c>
      <c r="F93">
        <v>8</v>
      </c>
      <c r="G93">
        <v>4</v>
      </c>
      <c r="H93">
        <v>0</v>
      </c>
      <c r="I93">
        <v>1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3</v>
      </c>
      <c r="E94">
        <v>2</v>
      </c>
      <c r="F94">
        <v>48</v>
      </c>
      <c r="G94">
        <v>0</v>
      </c>
      <c r="H94">
        <v>0</v>
      </c>
      <c r="I94">
        <v>5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11</v>
      </c>
      <c r="H96">
        <v>0</v>
      </c>
      <c r="I96">
        <v>3</v>
      </c>
      <c r="J96">
        <v>0</v>
      </c>
    </row>
    <row r="97" spans="1:10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64</v>
      </c>
      <c r="G97">
        <v>0</v>
      </c>
      <c r="H97">
        <v>0</v>
      </c>
      <c r="I97">
        <v>0</v>
      </c>
      <c r="J97">
        <v>1</v>
      </c>
    </row>
    <row r="98" spans="1:10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80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44</v>
      </c>
      <c r="G101">
        <v>0</v>
      </c>
      <c r="H101">
        <v>0</v>
      </c>
      <c r="I101">
        <v>2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140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99</v>
      </c>
      <c r="E105">
        <v>6</v>
      </c>
      <c r="F105">
        <v>11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91</v>
      </c>
      <c r="E106">
        <v>10</v>
      </c>
      <c r="F106">
        <v>8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84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66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34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9</v>
      </c>
      <c r="E111">
        <v>4</v>
      </c>
      <c r="F111">
        <v>159</v>
      </c>
      <c r="G111">
        <v>0</v>
      </c>
      <c r="H111">
        <v>0</v>
      </c>
      <c r="I111">
        <v>3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1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89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5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3</v>
      </c>
      <c r="E115">
        <v>24</v>
      </c>
      <c r="F115">
        <v>45</v>
      </c>
      <c r="G115">
        <v>0</v>
      </c>
      <c r="H115">
        <v>0</v>
      </c>
      <c r="I115">
        <v>6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57</v>
      </c>
      <c r="G116">
        <v>0</v>
      </c>
      <c r="H116">
        <v>0</v>
      </c>
      <c r="I116">
        <v>7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41</v>
      </c>
      <c r="G117">
        <v>0</v>
      </c>
      <c r="H117">
        <v>0</v>
      </c>
      <c r="I117">
        <v>1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95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28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56</v>
      </c>
      <c r="E122">
        <v>2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215</v>
      </c>
      <c r="G125">
        <v>0</v>
      </c>
      <c r="H125">
        <v>0</v>
      </c>
      <c r="I125">
        <v>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64</v>
      </c>
      <c r="E126">
        <v>21</v>
      </c>
      <c r="F126">
        <v>1</v>
      </c>
      <c r="G126">
        <v>1</v>
      </c>
      <c r="H126">
        <v>0</v>
      </c>
      <c r="I126">
        <v>45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43</v>
      </c>
      <c r="G127">
        <v>0</v>
      </c>
      <c r="H127">
        <v>0</v>
      </c>
      <c r="I127">
        <v>27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60</v>
      </c>
      <c r="G128">
        <v>0</v>
      </c>
      <c r="H128">
        <v>0</v>
      </c>
      <c r="I128">
        <v>1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17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219</v>
      </c>
      <c r="D131">
        <v>138</v>
      </c>
      <c r="E131">
        <v>6</v>
      </c>
      <c r="F131">
        <v>36</v>
      </c>
      <c r="G131">
        <v>0</v>
      </c>
      <c r="H131">
        <v>0</v>
      </c>
      <c r="I131">
        <v>39</v>
      </c>
      <c r="J131">
        <v>0</v>
      </c>
    </row>
    <row r="132" spans="1:10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89</v>
      </c>
      <c r="G132">
        <v>0</v>
      </c>
      <c r="H132">
        <v>0</v>
      </c>
      <c r="I132">
        <v>31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84</v>
      </c>
      <c r="G136">
        <v>0</v>
      </c>
      <c r="H136">
        <v>0</v>
      </c>
      <c r="I136">
        <v>16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93</v>
      </c>
      <c r="G137">
        <v>6</v>
      </c>
      <c r="H137">
        <v>0</v>
      </c>
      <c r="I137">
        <v>60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22</v>
      </c>
      <c r="G140">
        <v>1</v>
      </c>
      <c r="H140">
        <v>3</v>
      </c>
      <c r="I140">
        <v>121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48</v>
      </c>
      <c r="E141">
        <v>24</v>
      </c>
      <c r="F141">
        <v>28</v>
      </c>
      <c r="G141">
        <v>7</v>
      </c>
      <c r="H141">
        <v>0</v>
      </c>
      <c r="I141">
        <v>46</v>
      </c>
      <c r="J141">
        <v>0</v>
      </c>
    </row>
    <row r="142" spans="1:10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29</v>
      </c>
      <c r="G142">
        <v>5</v>
      </c>
      <c r="H142">
        <v>0</v>
      </c>
      <c r="I142">
        <v>21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30</v>
      </c>
      <c r="G147">
        <v>30</v>
      </c>
      <c r="H147">
        <v>0</v>
      </c>
      <c r="I147">
        <v>11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41</v>
      </c>
      <c r="H148">
        <v>0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36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5</v>
      </c>
      <c r="H155">
        <v>0</v>
      </c>
      <c r="I155">
        <v>12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44</v>
      </c>
      <c r="G161">
        <v>2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10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97</v>
      </c>
      <c r="D165">
        <v>2</v>
      </c>
      <c r="E165">
        <v>7</v>
      </c>
      <c r="F165">
        <v>86</v>
      </c>
      <c r="G165">
        <v>0</v>
      </c>
      <c r="H165">
        <v>0</v>
      </c>
      <c r="I165">
        <v>2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30</v>
      </c>
      <c r="G166">
        <v>0</v>
      </c>
      <c r="H166">
        <v>0</v>
      </c>
      <c r="I166">
        <v>4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37</v>
      </c>
      <c r="E168">
        <v>15</v>
      </c>
      <c r="F168">
        <v>15</v>
      </c>
      <c r="G168">
        <v>0</v>
      </c>
      <c r="H168">
        <v>0</v>
      </c>
      <c r="I168">
        <v>76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109</v>
      </c>
      <c r="D171">
        <v>67</v>
      </c>
      <c r="E171">
        <v>13</v>
      </c>
      <c r="F171">
        <v>3</v>
      </c>
      <c r="G171">
        <v>0</v>
      </c>
      <c r="H171">
        <v>0</v>
      </c>
      <c r="I171">
        <v>26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34</v>
      </c>
      <c r="G172">
        <v>2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70</v>
      </c>
      <c r="E173">
        <v>8</v>
      </c>
      <c r="F173">
        <v>47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78</v>
      </c>
      <c r="D174">
        <v>0</v>
      </c>
      <c r="E174">
        <v>15</v>
      </c>
      <c r="F174">
        <v>63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65</v>
      </c>
      <c r="D175">
        <v>26</v>
      </c>
      <c r="E175">
        <v>1</v>
      </c>
      <c r="F175">
        <v>38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125</v>
      </c>
      <c r="E181">
        <v>3</v>
      </c>
      <c r="F181">
        <v>1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68</v>
      </c>
      <c r="E187">
        <v>34</v>
      </c>
      <c r="F187">
        <v>52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132</v>
      </c>
      <c r="E188">
        <v>5</v>
      </c>
      <c r="F188">
        <v>17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3</v>
      </c>
      <c r="E191">
        <v>0</v>
      </c>
      <c r="F191">
        <v>85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66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84</v>
      </c>
      <c r="E193">
        <v>9</v>
      </c>
      <c r="F193">
        <v>2</v>
      </c>
      <c r="G193">
        <v>7</v>
      </c>
      <c r="H193">
        <v>0</v>
      </c>
      <c r="I193">
        <v>109</v>
      </c>
      <c r="J193">
        <v>0</v>
      </c>
    </row>
    <row r="194" spans="1:10" x14ac:dyDescent="0.25">
      <c r="A194" t="s">
        <v>38</v>
      </c>
      <c r="B194">
        <v>7172011003003000</v>
      </c>
      <c r="C194">
        <v>132</v>
      </c>
      <c r="D194">
        <v>10</v>
      </c>
      <c r="E194">
        <v>12</v>
      </c>
      <c r="F194">
        <v>39</v>
      </c>
      <c r="G194">
        <v>0</v>
      </c>
      <c r="H194">
        <v>0</v>
      </c>
      <c r="I194">
        <v>71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37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341</v>
      </c>
      <c r="D204">
        <v>106</v>
      </c>
      <c r="E204">
        <v>43</v>
      </c>
      <c r="F204">
        <v>187</v>
      </c>
      <c r="G204">
        <v>5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6</v>
      </c>
      <c r="E205">
        <v>1</v>
      </c>
      <c r="F205">
        <v>163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66</v>
      </c>
      <c r="D206">
        <v>1</v>
      </c>
      <c r="E206">
        <v>0</v>
      </c>
      <c r="F206">
        <v>61</v>
      </c>
      <c r="G206">
        <v>0</v>
      </c>
      <c r="H206">
        <v>0</v>
      </c>
      <c r="I206">
        <v>4</v>
      </c>
      <c r="J206">
        <v>0</v>
      </c>
    </row>
    <row r="207" spans="1:10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1</v>
      </c>
      <c r="G207">
        <v>0</v>
      </c>
      <c r="H207">
        <v>0</v>
      </c>
      <c r="I207">
        <v>4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155</v>
      </c>
      <c r="D210">
        <v>24</v>
      </c>
      <c r="E210">
        <v>11</v>
      </c>
      <c r="F210">
        <v>99</v>
      </c>
      <c r="G210">
        <v>0</v>
      </c>
      <c r="H210">
        <v>0</v>
      </c>
      <c r="I210">
        <v>21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110</v>
      </c>
      <c r="E211">
        <v>6</v>
      </c>
      <c r="F211">
        <v>23</v>
      </c>
      <c r="G211">
        <v>0</v>
      </c>
      <c r="H211">
        <v>0</v>
      </c>
      <c r="I211">
        <v>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64</v>
      </c>
      <c r="E213">
        <v>1</v>
      </c>
      <c r="F213">
        <v>11</v>
      </c>
      <c r="G213">
        <v>0</v>
      </c>
      <c r="H213">
        <v>0</v>
      </c>
      <c r="I213">
        <v>53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64</v>
      </c>
      <c r="E214">
        <v>11</v>
      </c>
      <c r="F214">
        <v>14</v>
      </c>
      <c r="G214">
        <v>0</v>
      </c>
      <c r="H214">
        <v>0</v>
      </c>
      <c r="I214">
        <v>3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52</v>
      </c>
      <c r="D218">
        <v>32</v>
      </c>
      <c r="E218">
        <v>5</v>
      </c>
      <c r="F218">
        <v>15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10</v>
      </c>
      <c r="E219">
        <v>8</v>
      </c>
      <c r="F219">
        <v>35</v>
      </c>
      <c r="G219">
        <v>1</v>
      </c>
      <c r="H219">
        <v>0</v>
      </c>
      <c r="I219">
        <v>63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49</v>
      </c>
      <c r="G221">
        <v>0</v>
      </c>
      <c r="H221">
        <v>0</v>
      </c>
      <c r="I221">
        <v>23</v>
      </c>
      <c r="J221">
        <v>0</v>
      </c>
    </row>
    <row r="222" spans="1:10" x14ac:dyDescent="0.25">
      <c r="A222" t="s">
        <v>70</v>
      </c>
      <c r="B222">
        <v>7172012006001200</v>
      </c>
      <c r="C222">
        <v>76</v>
      </c>
      <c r="D222">
        <v>0</v>
      </c>
      <c r="E222">
        <v>14</v>
      </c>
      <c r="F222">
        <v>59</v>
      </c>
      <c r="G222">
        <v>0</v>
      </c>
      <c r="H222">
        <v>0</v>
      </c>
      <c r="I222">
        <v>3</v>
      </c>
      <c r="J222">
        <v>0</v>
      </c>
    </row>
    <row r="223" spans="1:10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76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1</v>
      </c>
      <c r="I226">
        <v>14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97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22</v>
      </c>
      <c r="G229">
        <v>2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6</v>
      </c>
      <c r="G231">
        <v>1</v>
      </c>
      <c r="H231">
        <v>0</v>
      </c>
      <c r="I231">
        <v>0</v>
      </c>
      <c r="J231">
        <v>0</v>
      </c>
    </row>
    <row r="232" spans="1:10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39</v>
      </c>
      <c r="G232">
        <v>1</v>
      </c>
      <c r="H232">
        <v>0</v>
      </c>
      <c r="I232">
        <v>0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161</v>
      </c>
      <c r="G237">
        <v>0</v>
      </c>
      <c r="H237">
        <v>0</v>
      </c>
      <c r="I237">
        <v>3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20</v>
      </c>
      <c r="G238">
        <v>0</v>
      </c>
      <c r="H238">
        <v>0</v>
      </c>
      <c r="I238">
        <v>68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11</v>
      </c>
      <c r="E239">
        <v>65</v>
      </c>
      <c r="F239">
        <v>40</v>
      </c>
      <c r="G239">
        <v>0</v>
      </c>
      <c r="H239">
        <v>0</v>
      </c>
      <c r="I239">
        <v>9</v>
      </c>
      <c r="J239">
        <v>0</v>
      </c>
    </row>
    <row r="240" spans="1:10" x14ac:dyDescent="0.25">
      <c r="A240" t="s">
        <v>230</v>
      </c>
      <c r="B240">
        <v>7172012007000400</v>
      </c>
      <c r="C240">
        <v>113</v>
      </c>
      <c r="D240">
        <v>58</v>
      </c>
      <c r="E240">
        <v>5</v>
      </c>
      <c r="F240">
        <v>40</v>
      </c>
      <c r="G240">
        <v>0</v>
      </c>
      <c r="H240">
        <v>0</v>
      </c>
      <c r="I240">
        <v>10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159</v>
      </c>
      <c r="D242">
        <v>3</v>
      </c>
      <c r="E242">
        <v>25</v>
      </c>
      <c r="F242">
        <v>74</v>
      </c>
      <c r="G242">
        <v>5</v>
      </c>
      <c r="H242">
        <v>0</v>
      </c>
      <c r="I242">
        <v>52</v>
      </c>
      <c r="J242">
        <v>0</v>
      </c>
    </row>
    <row r="243" spans="1:10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2</v>
      </c>
      <c r="G243">
        <v>0</v>
      </c>
      <c r="H243">
        <v>0</v>
      </c>
      <c r="I243">
        <v>31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51</v>
      </c>
      <c r="G244">
        <v>0</v>
      </c>
      <c r="H244">
        <v>0</v>
      </c>
      <c r="I244">
        <v>25</v>
      </c>
      <c r="J244">
        <v>0</v>
      </c>
    </row>
    <row r="245" spans="1:10" x14ac:dyDescent="0.25">
      <c r="A245" t="s">
        <v>72</v>
      </c>
      <c r="B245">
        <v>7172012007001000</v>
      </c>
      <c r="C245">
        <v>85</v>
      </c>
      <c r="D245">
        <v>0</v>
      </c>
      <c r="E245">
        <v>5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52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1</v>
      </c>
      <c r="G251">
        <v>5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58</v>
      </c>
      <c r="G260">
        <v>0</v>
      </c>
      <c r="H260">
        <v>1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54</v>
      </c>
      <c r="E261">
        <v>4</v>
      </c>
      <c r="F261">
        <v>27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14</v>
      </c>
      <c r="E267">
        <v>5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17</v>
      </c>
      <c r="E270">
        <v>0</v>
      </c>
      <c r="F270">
        <v>63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24</v>
      </c>
      <c r="E278">
        <v>11</v>
      </c>
      <c r="F278">
        <v>44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9</v>
      </c>
      <c r="H283">
        <v>0</v>
      </c>
      <c r="I283">
        <v>5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56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2</v>
      </c>
      <c r="G286">
        <v>9</v>
      </c>
      <c r="H286">
        <v>0</v>
      </c>
      <c r="I286">
        <v>23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0</v>
      </c>
      <c r="F290">
        <v>100</v>
      </c>
      <c r="G290">
        <v>0</v>
      </c>
      <c r="H290">
        <v>0</v>
      </c>
      <c r="I290">
        <v>5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12</v>
      </c>
      <c r="F291">
        <v>8</v>
      </c>
      <c r="G291">
        <v>1</v>
      </c>
      <c r="H291">
        <v>0</v>
      </c>
      <c r="I291">
        <v>35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6</v>
      </c>
      <c r="E293">
        <v>5</v>
      </c>
      <c r="F293">
        <v>19</v>
      </c>
      <c r="G293">
        <v>0</v>
      </c>
      <c r="H293">
        <v>0</v>
      </c>
      <c r="I293">
        <v>31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1</v>
      </c>
      <c r="F294">
        <v>5</v>
      </c>
      <c r="G294">
        <v>0</v>
      </c>
      <c r="H294">
        <v>0</v>
      </c>
      <c r="I294">
        <v>3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31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88</v>
      </c>
      <c r="D297">
        <v>7</v>
      </c>
      <c r="E297">
        <v>0</v>
      </c>
      <c r="F297">
        <v>75</v>
      </c>
      <c r="G297">
        <v>0</v>
      </c>
      <c r="H297">
        <v>0</v>
      </c>
      <c r="I297">
        <v>6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28</v>
      </c>
      <c r="E298">
        <v>4</v>
      </c>
      <c r="F298">
        <v>52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27</v>
      </c>
      <c r="G299">
        <v>0</v>
      </c>
      <c r="H299">
        <v>0</v>
      </c>
      <c r="I299">
        <v>21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48</v>
      </c>
      <c r="G300">
        <v>0</v>
      </c>
      <c r="H300">
        <v>0</v>
      </c>
      <c r="I300">
        <v>19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38</v>
      </c>
      <c r="E301">
        <v>5</v>
      </c>
      <c r="F301">
        <v>25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20</v>
      </c>
      <c r="G304">
        <v>0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49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23</v>
      </c>
      <c r="E307">
        <v>0</v>
      </c>
      <c r="F307">
        <v>3</v>
      </c>
      <c r="G307">
        <v>2</v>
      </c>
      <c r="H307">
        <v>0</v>
      </c>
      <c r="I307">
        <v>30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74</v>
      </c>
      <c r="E322">
        <v>7</v>
      </c>
      <c r="F322">
        <v>3</v>
      </c>
      <c r="G322">
        <v>0</v>
      </c>
      <c r="H322">
        <v>0</v>
      </c>
      <c r="I322">
        <v>71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6</v>
      </c>
      <c r="G323">
        <v>0</v>
      </c>
      <c r="H323">
        <v>0</v>
      </c>
      <c r="I323">
        <v>20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76</v>
      </c>
      <c r="D325">
        <v>0</v>
      </c>
      <c r="E325">
        <v>2</v>
      </c>
      <c r="F325">
        <v>65</v>
      </c>
      <c r="G325">
        <v>0</v>
      </c>
      <c r="H325">
        <v>0</v>
      </c>
      <c r="I325">
        <v>9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84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44</v>
      </c>
      <c r="E333">
        <v>2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21</v>
      </c>
      <c r="F337">
        <v>7</v>
      </c>
      <c r="G337">
        <v>1</v>
      </c>
      <c r="H337">
        <v>0</v>
      </c>
      <c r="I337">
        <v>8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1</v>
      </c>
      <c r="H338">
        <v>0</v>
      </c>
      <c r="I338">
        <v>4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58</v>
      </c>
      <c r="G339">
        <v>0</v>
      </c>
      <c r="H339">
        <v>0</v>
      </c>
      <c r="I339">
        <v>4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19</v>
      </c>
      <c r="G341">
        <v>0</v>
      </c>
      <c r="H341">
        <v>0</v>
      </c>
      <c r="I341">
        <v>19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49</v>
      </c>
      <c r="G342">
        <v>0</v>
      </c>
      <c r="H342">
        <v>0</v>
      </c>
      <c r="I342">
        <v>8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41</v>
      </c>
      <c r="G343">
        <v>0</v>
      </c>
      <c r="H343">
        <v>0</v>
      </c>
      <c r="I343">
        <v>6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39</v>
      </c>
      <c r="G344">
        <v>0</v>
      </c>
      <c r="H344">
        <v>0</v>
      </c>
      <c r="I344">
        <v>7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10</v>
      </c>
      <c r="G345">
        <v>0</v>
      </c>
      <c r="H345">
        <v>0</v>
      </c>
      <c r="I345">
        <v>32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30</v>
      </c>
      <c r="G346">
        <v>0</v>
      </c>
      <c r="H346">
        <v>0</v>
      </c>
      <c r="I346">
        <v>3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31</v>
      </c>
      <c r="G347">
        <v>0</v>
      </c>
      <c r="H347">
        <v>0</v>
      </c>
      <c r="I347">
        <v>2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11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128</v>
      </c>
      <c r="E356">
        <v>1</v>
      </c>
      <c r="F356">
        <v>9</v>
      </c>
      <c r="G356">
        <v>0</v>
      </c>
      <c r="H356">
        <v>1</v>
      </c>
      <c r="I356">
        <v>9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43</v>
      </c>
      <c r="G359">
        <v>0</v>
      </c>
      <c r="H359">
        <v>0</v>
      </c>
      <c r="I359">
        <v>1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8</v>
      </c>
      <c r="G361">
        <v>1</v>
      </c>
      <c r="H361">
        <v>0</v>
      </c>
      <c r="I361">
        <v>5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32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159</v>
      </c>
      <c r="D367">
        <v>3</v>
      </c>
      <c r="E367">
        <v>5</v>
      </c>
      <c r="F367">
        <v>150</v>
      </c>
      <c r="G367">
        <v>0</v>
      </c>
      <c r="H367">
        <v>0</v>
      </c>
      <c r="I367">
        <v>1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46</v>
      </c>
      <c r="E369">
        <v>4</v>
      </c>
      <c r="F369">
        <v>35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68</v>
      </c>
      <c r="E370">
        <v>6</v>
      </c>
      <c r="F370">
        <v>8</v>
      </c>
      <c r="G370">
        <v>1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41</v>
      </c>
      <c r="E371">
        <v>2</v>
      </c>
      <c r="F371">
        <v>16</v>
      </c>
      <c r="G371">
        <v>0</v>
      </c>
      <c r="H371">
        <v>0</v>
      </c>
      <c r="I371">
        <v>2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38</v>
      </c>
      <c r="E372">
        <v>1</v>
      </c>
      <c r="F372">
        <v>13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107</v>
      </c>
      <c r="E376">
        <v>0</v>
      </c>
      <c r="F376">
        <v>26</v>
      </c>
      <c r="G376">
        <v>10</v>
      </c>
      <c r="H376">
        <v>0</v>
      </c>
      <c r="I376">
        <v>105</v>
      </c>
      <c r="J376">
        <v>0</v>
      </c>
    </row>
    <row r="377" spans="1:10" x14ac:dyDescent="0.25">
      <c r="A377" t="s">
        <v>236</v>
      </c>
      <c r="B377">
        <v>7172030014001000</v>
      </c>
      <c r="C377">
        <v>134</v>
      </c>
      <c r="D377">
        <v>83</v>
      </c>
      <c r="E377">
        <v>3</v>
      </c>
      <c r="F377">
        <v>48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84</v>
      </c>
      <c r="G378">
        <v>2</v>
      </c>
      <c r="H378">
        <v>0</v>
      </c>
      <c r="I378">
        <v>19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125</v>
      </c>
      <c r="D381">
        <v>58</v>
      </c>
      <c r="E381">
        <v>19</v>
      </c>
      <c r="F381">
        <v>35</v>
      </c>
      <c r="G381">
        <v>3</v>
      </c>
      <c r="H381">
        <v>0</v>
      </c>
      <c r="I381">
        <v>10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11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76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45</v>
      </c>
      <c r="E387">
        <v>8</v>
      </c>
      <c r="F387">
        <v>1</v>
      </c>
      <c r="G387">
        <v>0</v>
      </c>
      <c r="H387">
        <v>0</v>
      </c>
      <c r="I387">
        <v>5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2</v>
      </c>
      <c r="G389">
        <v>0</v>
      </c>
      <c r="H389">
        <v>0</v>
      </c>
      <c r="I389">
        <v>3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6</v>
      </c>
      <c r="G394">
        <v>0</v>
      </c>
      <c r="H394">
        <v>0</v>
      </c>
      <c r="I394">
        <v>6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1</v>
      </c>
      <c r="G395">
        <v>0</v>
      </c>
      <c r="H395">
        <v>0</v>
      </c>
      <c r="I395">
        <v>6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1</v>
      </c>
      <c r="G397">
        <v>1</v>
      </c>
      <c r="H397">
        <v>0</v>
      </c>
      <c r="I397">
        <v>7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25</v>
      </c>
      <c r="E398">
        <v>2</v>
      </c>
      <c r="F398">
        <v>2</v>
      </c>
      <c r="G398">
        <v>0</v>
      </c>
      <c r="H398">
        <v>0</v>
      </c>
      <c r="I398">
        <v>4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23</v>
      </c>
      <c r="E400">
        <v>12</v>
      </c>
      <c r="F400">
        <v>69</v>
      </c>
      <c r="G400">
        <v>0</v>
      </c>
      <c r="H400">
        <v>0</v>
      </c>
      <c r="I400">
        <v>8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63</v>
      </c>
      <c r="E404">
        <v>13</v>
      </c>
      <c r="F404">
        <v>1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68</v>
      </c>
      <c r="G405">
        <v>0</v>
      </c>
      <c r="H405">
        <v>0</v>
      </c>
      <c r="I405">
        <v>1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38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7172031003001100</v>
      </c>
      <c r="C419">
        <v>32</v>
      </c>
      <c r="D419">
        <v>19</v>
      </c>
      <c r="E419">
        <v>7</v>
      </c>
      <c r="F419">
        <v>6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53</v>
      </c>
      <c r="E421">
        <v>17</v>
      </c>
      <c r="F421">
        <v>13</v>
      </c>
      <c r="G421">
        <v>0</v>
      </c>
      <c r="H421">
        <v>0</v>
      </c>
      <c r="I421">
        <v>2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8</v>
      </c>
      <c r="E422">
        <v>5</v>
      </c>
      <c r="F422">
        <v>60</v>
      </c>
      <c r="G422">
        <v>0</v>
      </c>
      <c r="H422">
        <v>0</v>
      </c>
      <c r="I422">
        <v>1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33</v>
      </c>
      <c r="E427">
        <v>1</v>
      </c>
      <c r="F427">
        <v>12</v>
      </c>
      <c r="G427">
        <v>0</v>
      </c>
      <c r="H427">
        <v>0</v>
      </c>
      <c r="I427">
        <v>2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23</v>
      </c>
      <c r="E428">
        <v>2</v>
      </c>
      <c r="F428">
        <v>19</v>
      </c>
      <c r="G428">
        <v>0</v>
      </c>
      <c r="H428">
        <v>0</v>
      </c>
      <c r="I428">
        <v>3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0</v>
      </c>
      <c r="H433">
        <v>0</v>
      </c>
      <c r="I433">
        <v>19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182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94</v>
      </c>
      <c r="E435">
        <v>19</v>
      </c>
      <c r="F435">
        <v>10</v>
      </c>
      <c r="G435">
        <v>0</v>
      </c>
      <c r="H435">
        <v>0</v>
      </c>
      <c r="I435">
        <v>3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75</v>
      </c>
      <c r="E442">
        <v>7</v>
      </c>
      <c r="F442">
        <v>4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62</v>
      </c>
      <c r="D443">
        <v>8</v>
      </c>
      <c r="E443">
        <v>3</v>
      </c>
      <c r="F443">
        <v>51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4</v>
      </c>
      <c r="H445">
        <v>0</v>
      </c>
      <c r="I445">
        <v>0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109</v>
      </c>
      <c r="D447">
        <v>73</v>
      </c>
      <c r="E447">
        <v>11</v>
      </c>
      <c r="F447">
        <v>18</v>
      </c>
      <c r="G447">
        <v>0</v>
      </c>
      <c r="H447">
        <v>1</v>
      </c>
      <c r="I447">
        <v>6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158</v>
      </c>
      <c r="D457">
        <v>53</v>
      </c>
      <c r="E457">
        <v>67</v>
      </c>
      <c r="F457">
        <v>32</v>
      </c>
      <c r="G457">
        <v>0</v>
      </c>
      <c r="H457">
        <v>0</v>
      </c>
      <c r="I457">
        <v>6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12</v>
      </c>
      <c r="J460">
        <v>0</v>
      </c>
    </row>
    <row r="461" spans="1:10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68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213</v>
      </c>
      <c r="D463">
        <v>117</v>
      </c>
      <c r="E463">
        <v>1</v>
      </c>
      <c r="F463">
        <v>94</v>
      </c>
      <c r="G463">
        <v>0</v>
      </c>
      <c r="H463">
        <v>0</v>
      </c>
      <c r="I463">
        <v>1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6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7172040007000200</v>
      </c>
      <c r="C469">
        <v>80</v>
      </c>
      <c r="D469">
        <v>14</v>
      </c>
      <c r="E469">
        <v>0</v>
      </c>
      <c r="F469">
        <v>66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47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39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154</v>
      </c>
      <c r="D478">
        <v>61</v>
      </c>
      <c r="E478">
        <v>28</v>
      </c>
      <c r="F478">
        <v>27</v>
      </c>
      <c r="G478">
        <v>0</v>
      </c>
      <c r="H478">
        <v>2</v>
      </c>
      <c r="I478">
        <v>36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44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4</v>
      </c>
      <c r="G483">
        <v>0</v>
      </c>
      <c r="H483">
        <v>0</v>
      </c>
      <c r="I483">
        <v>16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6</v>
      </c>
      <c r="E489">
        <v>1</v>
      </c>
      <c r="F489">
        <v>121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123</v>
      </c>
      <c r="D490">
        <v>34</v>
      </c>
      <c r="E490">
        <v>20</v>
      </c>
      <c r="F490">
        <v>66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1</v>
      </c>
      <c r="E491">
        <v>1</v>
      </c>
      <c r="F491">
        <v>98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28</v>
      </c>
      <c r="E492">
        <v>14</v>
      </c>
      <c r="F492">
        <v>32</v>
      </c>
      <c r="G492">
        <v>0</v>
      </c>
      <c r="H492">
        <v>1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10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1</v>
      </c>
      <c r="G496">
        <v>25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7172040013000200</v>
      </c>
      <c r="C497">
        <v>99</v>
      </c>
      <c r="D497">
        <v>69</v>
      </c>
      <c r="E497">
        <v>25</v>
      </c>
      <c r="F497">
        <v>5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4</v>
      </c>
      <c r="G500">
        <v>0</v>
      </c>
      <c r="H500">
        <v>0</v>
      </c>
      <c r="I500">
        <v>4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36</v>
      </c>
      <c r="G501">
        <v>0</v>
      </c>
      <c r="H501">
        <v>0</v>
      </c>
      <c r="I501">
        <v>13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30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23</v>
      </c>
      <c r="G503">
        <v>0</v>
      </c>
      <c r="H503">
        <v>0</v>
      </c>
      <c r="I503">
        <v>15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25</v>
      </c>
      <c r="G504">
        <v>0</v>
      </c>
      <c r="H504">
        <v>0</v>
      </c>
      <c r="I504">
        <v>6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24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74</v>
      </c>
      <c r="E506">
        <v>15</v>
      </c>
      <c r="F506">
        <v>13</v>
      </c>
      <c r="G506">
        <v>4</v>
      </c>
      <c r="H506">
        <v>0</v>
      </c>
      <c r="I506">
        <v>26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38</v>
      </c>
      <c r="E507">
        <v>0</v>
      </c>
      <c r="F507">
        <v>1</v>
      </c>
      <c r="G507">
        <v>2</v>
      </c>
      <c r="H507">
        <v>0</v>
      </c>
      <c r="I507">
        <v>48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64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63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7172040013000900</v>
      </c>
      <c r="C510">
        <v>56</v>
      </c>
      <c r="D510">
        <v>18</v>
      </c>
      <c r="E510">
        <v>4</v>
      </c>
      <c r="F510">
        <v>25</v>
      </c>
      <c r="G510">
        <v>0</v>
      </c>
      <c r="H510">
        <v>0</v>
      </c>
      <c r="I510">
        <v>9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46</v>
      </c>
      <c r="G511">
        <v>0</v>
      </c>
      <c r="H511">
        <v>0</v>
      </c>
      <c r="I511">
        <v>9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35</v>
      </c>
      <c r="E512">
        <v>1</v>
      </c>
      <c r="F512">
        <v>19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45</v>
      </c>
      <c r="G514">
        <v>0</v>
      </c>
      <c r="H514">
        <v>0</v>
      </c>
      <c r="I514">
        <v>3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42</v>
      </c>
      <c r="G515">
        <v>0</v>
      </c>
      <c r="H515">
        <v>0</v>
      </c>
      <c r="I515">
        <v>6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39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41</v>
      </c>
      <c r="G517">
        <v>0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35</v>
      </c>
      <c r="G518">
        <v>1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1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7172010009001000</v>
      </c>
      <c r="C538">
        <v>60</v>
      </c>
      <c r="D538">
        <v>52</v>
      </c>
      <c r="E538">
        <v>1</v>
      </c>
      <c r="F538">
        <v>7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1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12</v>
      </c>
      <c r="E540">
        <v>1</v>
      </c>
      <c r="F540">
        <v>44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125</v>
      </c>
      <c r="E551">
        <v>4</v>
      </c>
      <c r="F551">
        <v>3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90</v>
      </c>
      <c r="E552">
        <v>0</v>
      </c>
      <c r="F552">
        <v>11</v>
      </c>
      <c r="G552">
        <v>0</v>
      </c>
      <c r="H552">
        <v>0</v>
      </c>
      <c r="I552">
        <v>3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28</v>
      </c>
      <c r="E563">
        <v>5</v>
      </c>
      <c r="F563">
        <v>30</v>
      </c>
      <c r="G563">
        <v>0</v>
      </c>
      <c r="H563">
        <v>0</v>
      </c>
      <c r="I563">
        <v>1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10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28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58</v>
      </c>
      <c r="E587">
        <v>0</v>
      </c>
      <c r="F587">
        <v>11</v>
      </c>
      <c r="G587">
        <v>0</v>
      </c>
      <c r="H587">
        <v>0</v>
      </c>
      <c r="I587">
        <v>1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50</v>
      </c>
      <c r="D590">
        <v>13</v>
      </c>
      <c r="E590">
        <v>0</v>
      </c>
      <c r="F590">
        <v>36</v>
      </c>
      <c r="G590">
        <v>0</v>
      </c>
      <c r="H590">
        <v>0</v>
      </c>
      <c r="I590">
        <v>1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113</v>
      </c>
      <c r="E598">
        <v>11</v>
      </c>
      <c r="F598">
        <v>21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94</v>
      </c>
      <c r="D599">
        <v>10</v>
      </c>
      <c r="E599">
        <v>8</v>
      </c>
      <c r="F599">
        <v>76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25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138</v>
      </c>
      <c r="D605">
        <v>113</v>
      </c>
      <c r="E605">
        <v>0</v>
      </c>
      <c r="F605">
        <v>25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142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39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78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106</v>
      </c>
      <c r="E633">
        <v>11</v>
      </c>
      <c r="F633">
        <v>19</v>
      </c>
      <c r="G633">
        <v>1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116</v>
      </c>
      <c r="D634">
        <v>77</v>
      </c>
      <c r="E634">
        <v>7</v>
      </c>
      <c r="F634">
        <v>32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56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70</v>
      </c>
      <c r="E643">
        <v>1</v>
      </c>
      <c r="F643">
        <v>15</v>
      </c>
      <c r="G643">
        <v>1</v>
      </c>
      <c r="H643">
        <v>0</v>
      </c>
      <c r="I643">
        <v>79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61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130</v>
      </c>
      <c r="D645">
        <v>51</v>
      </c>
      <c r="E645">
        <v>2</v>
      </c>
      <c r="F645">
        <v>64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117</v>
      </c>
      <c r="E648">
        <v>15</v>
      </c>
      <c r="F648">
        <v>36</v>
      </c>
      <c r="G648">
        <v>17</v>
      </c>
      <c r="H648">
        <v>0</v>
      </c>
      <c r="I648">
        <v>23</v>
      </c>
      <c r="J648">
        <v>0</v>
      </c>
    </row>
    <row r="649" spans="1:10" x14ac:dyDescent="0.25">
      <c r="A649" t="s">
        <v>32</v>
      </c>
      <c r="B649">
        <v>7172011003000600</v>
      </c>
      <c r="C649">
        <v>195</v>
      </c>
      <c r="D649">
        <v>18</v>
      </c>
      <c r="E649">
        <v>0</v>
      </c>
      <c r="F649">
        <v>151</v>
      </c>
      <c r="G649">
        <v>0</v>
      </c>
      <c r="H649">
        <v>0</v>
      </c>
      <c r="I649">
        <v>26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4</v>
      </c>
      <c r="E652">
        <v>0</v>
      </c>
      <c r="F652">
        <v>120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17</v>
      </c>
      <c r="E653">
        <v>27</v>
      </c>
      <c r="F653">
        <v>75</v>
      </c>
      <c r="G653">
        <v>0</v>
      </c>
      <c r="H653">
        <v>0</v>
      </c>
      <c r="I653">
        <v>3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1</v>
      </c>
      <c r="I654">
        <v>14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115</v>
      </c>
      <c r="G655">
        <v>0</v>
      </c>
      <c r="H655">
        <v>0</v>
      </c>
      <c r="I655">
        <v>1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27</v>
      </c>
      <c r="E657">
        <v>28</v>
      </c>
      <c r="F657">
        <v>7</v>
      </c>
      <c r="G657">
        <v>0</v>
      </c>
      <c r="H657">
        <v>0</v>
      </c>
      <c r="I657">
        <v>6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66</v>
      </c>
      <c r="G658">
        <v>0</v>
      </c>
      <c r="H658">
        <v>0</v>
      </c>
      <c r="I658">
        <v>1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1</v>
      </c>
      <c r="H661">
        <v>1</v>
      </c>
      <c r="I661">
        <v>0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92</v>
      </c>
      <c r="E662">
        <v>9</v>
      </c>
      <c r="F662">
        <v>11</v>
      </c>
      <c r="G662">
        <v>1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7172011003001200</v>
      </c>
      <c r="C663">
        <v>105</v>
      </c>
      <c r="D663">
        <v>12</v>
      </c>
      <c r="E663">
        <v>18</v>
      </c>
      <c r="F663">
        <v>75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2</v>
      </c>
      <c r="E665">
        <v>76</v>
      </c>
      <c r="F665">
        <v>59</v>
      </c>
      <c r="G665">
        <v>0</v>
      </c>
      <c r="H665">
        <v>0</v>
      </c>
      <c r="I665">
        <v>34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112</v>
      </c>
      <c r="E667">
        <v>7</v>
      </c>
      <c r="F667">
        <v>1</v>
      </c>
      <c r="G667">
        <v>0</v>
      </c>
      <c r="H667">
        <v>0</v>
      </c>
      <c r="I667">
        <v>20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132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24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6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2</v>
      </c>
      <c r="G683">
        <v>16</v>
      </c>
      <c r="H683">
        <v>0</v>
      </c>
      <c r="I683">
        <v>66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9</v>
      </c>
      <c r="E685">
        <v>4</v>
      </c>
      <c r="F685">
        <v>14</v>
      </c>
      <c r="G685">
        <v>0</v>
      </c>
      <c r="H685">
        <v>0</v>
      </c>
      <c r="I685">
        <v>121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226</v>
      </c>
      <c r="D688">
        <v>85</v>
      </c>
      <c r="E688">
        <v>21</v>
      </c>
      <c r="F688">
        <v>64</v>
      </c>
      <c r="G688">
        <v>49</v>
      </c>
      <c r="H688">
        <v>0</v>
      </c>
      <c r="I688">
        <v>7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63</v>
      </c>
      <c r="G689">
        <v>0</v>
      </c>
      <c r="H689">
        <v>0</v>
      </c>
      <c r="I689">
        <v>112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159</v>
      </c>
      <c r="D695">
        <v>11</v>
      </c>
      <c r="E695">
        <v>2</v>
      </c>
      <c r="F695">
        <v>99</v>
      </c>
      <c r="G695">
        <v>0</v>
      </c>
      <c r="H695">
        <v>0</v>
      </c>
      <c r="I695">
        <v>47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96</v>
      </c>
      <c r="G697">
        <v>2</v>
      </c>
      <c r="H697">
        <v>0</v>
      </c>
      <c r="I697">
        <v>105</v>
      </c>
      <c r="J697">
        <v>0</v>
      </c>
    </row>
    <row r="698" spans="1:10" x14ac:dyDescent="0.25">
      <c r="A698" t="s">
        <v>52</v>
      </c>
      <c r="B698">
        <v>7172012001000602</v>
      </c>
      <c r="C698">
        <v>221</v>
      </c>
      <c r="D698">
        <v>46</v>
      </c>
      <c r="E698">
        <v>3</v>
      </c>
      <c r="F698">
        <v>160</v>
      </c>
      <c r="G698">
        <v>0</v>
      </c>
      <c r="H698">
        <v>0</v>
      </c>
      <c r="I698">
        <v>12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37</v>
      </c>
      <c r="E699">
        <v>20</v>
      </c>
      <c r="F699">
        <v>91</v>
      </c>
      <c r="G699">
        <v>0</v>
      </c>
      <c r="H699">
        <v>0</v>
      </c>
      <c r="I699">
        <v>8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1</v>
      </c>
      <c r="E700">
        <v>0</v>
      </c>
      <c r="F700">
        <v>126</v>
      </c>
      <c r="G700">
        <v>0</v>
      </c>
      <c r="H700">
        <v>0</v>
      </c>
      <c r="I700">
        <v>1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2</v>
      </c>
      <c r="E702">
        <v>7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91</v>
      </c>
      <c r="E706">
        <v>1</v>
      </c>
      <c r="F706">
        <v>49</v>
      </c>
      <c r="G706">
        <v>0</v>
      </c>
      <c r="H706">
        <v>0</v>
      </c>
      <c r="I706">
        <v>3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115</v>
      </c>
      <c r="E710">
        <v>4</v>
      </c>
      <c r="F710">
        <v>20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107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15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135</v>
      </c>
      <c r="D726">
        <v>19</v>
      </c>
      <c r="E726">
        <v>19</v>
      </c>
      <c r="F726">
        <v>86</v>
      </c>
      <c r="G726">
        <v>0</v>
      </c>
      <c r="H726">
        <v>0</v>
      </c>
      <c r="I726">
        <v>11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219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43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119</v>
      </c>
      <c r="D733">
        <v>50</v>
      </c>
      <c r="E733">
        <v>3</v>
      </c>
      <c r="F733">
        <v>66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9</v>
      </c>
      <c r="G738">
        <v>0</v>
      </c>
      <c r="H738">
        <v>0</v>
      </c>
      <c r="I738">
        <v>26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5</v>
      </c>
      <c r="G739">
        <v>0</v>
      </c>
      <c r="H739">
        <v>0</v>
      </c>
      <c r="I739">
        <v>34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5</v>
      </c>
      <c r="G740">
        <v>35</v>
      </c>
      <c r="H740">
        <v>0</v>
      </c>
      <c r="I740">
        <v>2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16</v>
      </c>
      <c r="G741">
        <v>0</v>
      </c>
      <c r="H741">
        <v>0</v>
      </c>
      <c r="I741">
        <v>10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7172012005002200</v>
      </c>
      <c r="C743">
        <v>44</v>
      </c>
      <c r="D743">
        <v>0</v>
      </c>
      <c r="E743">
        <v>7</v>
      </c>
      <c r="F743">
        <v>33</v>
      </c>
      <c r="G743">
        <v>0</v>
      </c>
      <c r="H743">
        <v>0</v>
      </c>
      <c r="I743">
        <v>4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15</v>
      </c>
      <c r="G745">
        <v>0</v>
      </c>
      <c r="H745">
        <v>0</v>
      </c>
      <c r="I745">
        <v>10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4</v>
      </c>
      <c r="G747">
        <v>1</v>
      </c>
      <c r="H747">
        <v>0</v>
      </c>
      <c r="I747">
        <v>33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109</v>
      </c>
      <c r="G748">
        <v>0</v>
      </c>
      <c r="H748">
        <v>0</v>
      </c>
      <c r="I748">
        <v>6</v>
      </c>
      <c r="J748">
        <v>0</v>
      </c>
    </row>
    <row r="749" spans="1:10" x14ac:dyDescent="0.25">
      <c r="A749" t="s">
        <v>68</v>
      </c>
      <c r="B749">
        <v>7172012007001800</v>
      </c>
      <c r="C749">
        <v>115</v>
      </c>
      <c r="D749">
        <v>14</v>
      </c>
      <c r="E749">
        <v>16</v>
      </c>
      <c r="F749">
        <v>63</v>
      </c>
      <c r="G749">
        <v>0</v>
      </c>
      <c r="H749">
        <v>0</v>
      </c>
      <c r="I749">
        <v>22</v>
      </c>
      <c r="J749">
        <v>0</v>
      </c>
    </row>
    <row r="750" spans="1:10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18</v>
      </c>
      <c r="G750">
        <v>0</v>
      </c>
      <c r="H750">
        <v>0</v>
      </c>
      <c r="I750">
        <v>61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16</v>
      </c>
      <c r="E755">
        <v>22</v>
      </c>
      <c r="F755">
        <v>71</v>
      </c>
      <c r="G755">
        <v>0</v>
      </c>
      <c r="H755">
        <v>0</v>
      </c>
      <c r="I755">
        <v>47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39</v>
      </c>
      <c r="E758">
        <v>8</v>
      </c>
      <c r="F758">
        <v>0</v>
      </c>
      <c r="G758">
        <v>0</v>
      </c>
      <c r="H758">
        <v>0</v>
      </c>
      <c r="I758">
        <v>74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4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22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125</v>
      </c>
      <c r="G762">
        <v>0</v>
      </c>
      <c r="H762">
        <v>0</v>
      </c>
      <c r="I762">
        <v>7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28</v>
      </c>
      <c r="E763">
        <v>0</v>
      </c>
      <c r="F763">
        <v>99</v>
      </c>
      <c r="G763">
        <v>0</v>
      </c>
      <c r="H763">
        <v>0</v>
      </c>
      <c r="I763">
        <v>5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48</v>
      </c>
      <c r="G764">
        <v>0</v>
      </c>
      <c r="H764">
        <v>0</v>
      </c>
      <c r="I764">
        <v>32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50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61</v>
      </c>
      <c r="E766">
        <v>33</v>
      </c>
      <c r="F766">
        <v>75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33</v>
      </c>
      <c r="E767">
        <v>5</v>
      </c>
      <c r="F767">
        <v>72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66</v>
      </c>
      <c r="E768">
        <v>5</v>
      </c>
      <c r="F768">
        <v>30</v>
      </c>
      <c r="G768">
        <v>0</v>
      </c>
      <c r="H768">
        <v>0</v>
      </c>
      <c r="I768">
        <v>2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2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66</v>
      </c>
      <c r="E773">
        <v>8</v>
      </c>
      <c r="F773">
        <v>31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2</v>
      </c>
      <c r="E777">
        <v>4</v>
      </c>
      <c r="F777">
        <v>77</v>
      </c>
      <c r="G777">
        <v>5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30</v>
      </c>
      <c r="G778">
        <v>7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20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1</v>
      </c>
      <c r="E781">
        <v>0</v>
      </c>
      <c r="F781">
        <v>57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45</v>
      </c>
      <c r="E782">
        <v>4</v>
      </c>
      <c r="F782">
        <v>3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31</v>
      </c>
      <c r="H783">
        <v>0</v>
      </c>
      <c r="I783">
        <v>0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39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79</v>
      </c>
      <c r="D785">
        <v>19</v>
      </c>
      <c r="E785">
        <v>8</v>
      </c>
      <c r="F785">
        <v>52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47</v>
      </c>
      <c r="E786">
        <v>13</v>
      </c>
      <c r="F786">
        <v>8</v>
      </c>
      <c r="G786">
        <v>6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39</v>
      </c>
      <c r="E790">
        <v>1</v>
      </c>
      <c r="F790">
        <v>1</v>
      </c>
      <c r="G790">
        <v>4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87</v>
      </c>
      <c r="E795">
        <v>10</v>
      </c>
      <c r="F795">
        <v>8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19</v>
      </c>
      <c r="E796">
        <v>20</v>
      </c>
      <c r="F796">
        <v>58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5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28</v>
      </c>
      <c r="G800">
        <v>6</v>
      </c>
      <c r="H800">
        <v>1</v>
      </c>
      <c r="I800">
        <v>35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38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27</v>
      </c>
      <c r="G804">
        <v>1</v>
      </c>
      <c r="H804">
        <v>0</v>
      </c>
      <c r="I804">
        <v>8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1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1</v>
      </c>
      <c r="E806">
        <v>6</v>
      </c>
      <c r="F806">
        <v>33</v>
      </c>
      <c r="G806">
        <v>0</v>
      </c>
      <c r="H806">
        <v>0</v>
      </c>
      <c r="I806">
        <v>1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45</v>
      </c>
      <c r="E809">
        <v>1</v>
      </c>
      <c r="F809">
        <v>4</v>
      </c>
      <c r="G809">
        <v>1</v>
      </c>
      <c r="H809">
        <v>0</v>
      </c>
      <c r="I809">
        <v>20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43</v>
      </c>
      <c r="E811">
        <v>0</v>
      </c>
      <c r="F811">
        <v>3</v>
      </c>
      <c r="G811">
        <v>1</v>
      </c>
      <c r="H811">
        <v>0</v>
      </c>
      <c r="I811">
        <v>7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25</v>
      </c>
      <c r="G813">
        <v>0</v>
      </c>
      <c r="H813">
        <v>0</v>
      </c>
      <c r="I813">
        <v>16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12</v>
      </c>
      <c r="G817">
        <v>0</v>
      </c>
      <c r="H817">
        <v>0</v>
      </c>
      <c r="I817">
        <v>21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8</v>
      </c>
      <c r="E818">
        <v>0</v>
      </c>
      <c r="F818">
        <v>29</v>
      </c>
      <c r="G818">
        <v>0</v>
      </c>
      <c r="H818">
        <v>0</v>
      </c>
      <c r="I818">
        <v>22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26</v>
      </c>
      <c r="E822">
        <v>0</v>
      </c>
      <c r="F822">
        <v>6</v>
      </c>
      <c r="G822">
        <v>0</v>
      </c>
      <c r="H822">
        <v>0</v>
      </c>
      <c r="I822">
        <v>13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69</v>
      </c>
      <c r="D829">
        <v>20</v>
      </c>
      <c r="E829">
        <v>1</v>
      </c>
      <c r="F829">
        <v>17</v>
      </c>
      <c r="G829">
        <v>6</v>
      </c>
      <c r="H829">
        <v>0</v>
      </c>
      <c r="I829">
        <v>25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5</v>
      </c>
      <c r="G831">
        <v>0</v>
      </c>
      <c r="H831">
        <v>0</v>
      </c>
      <c r="I831">
        <v>43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10</v>
      </c>
      <c r="G834">
        <v>0</v>
      </c>
      <c r="H834">
        <v>0</v>
      </c>
      <c r="I834">
        <v>14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11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9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10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29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28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50</v>
      </c>
      <c r="E861">
        <v>7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58</v>
      </c>
      <c r="G864">
        <v>0</v>
      </c>
      <c r="H864">
        <v>0</v>
      </c>
      <c r="I864">
        <v>26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4</v>
      </c>
      <c r="G865">
        <v>0</v>
      </c>
      <c r="H865">
        <v>0</v>
      </c>
      <c r="I865">
        <v>3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11</v>
      </c>
      <c r="E866">
        <v>0</v>
      </c>
      <c r="F866">
        <v>58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14</v>
      </c>
      <c r="G868">
        <v>0</v>
      </c>
      <c r="H868">
        <v>0</v>
      </c>
      <c r="I868">
        <v>8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113</v>
      </c>
      <c r="E873">
        <v>0</v>
      </c>
      <c r="F873">
        <v>17</v>
      </c>
      <c r="G873">
        <v>1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28</v>
      </c>
      <c r="E880">
        <v>12</v>
      </c>
      <c r="F880">
        <v>45</v>
      </c>
      <c r="G880">
        <v>0</v>
      </c>
      <c r="H880">
        <v>0</v>
      </c>
      <c r="I880">
        <v>23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93</v>
      </c>
      <c r="E882">
        <v>0</v>
      </c>
      <c r="F882">
        <v>1</v>
      </c>
      <c r="G882">
        <v>0</v>
      </c>
      <c r="H882">
        <v>0</v>
      </c>
      <c r="I882">
        <v>2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46</v>
      </c>
      <c r="E890">
        <v>0</v>
      </c>
      <c r="F890">
        <v>10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30</v>
      </c>
      <c r="E891">
        <v>13</v>
      </c>
      <c r="F891">
        <v>66</v>
      </c>
      <c r="G891">
        <v>3</v>
      </c>
      <c r="H891">
        <v>0</v>
      </c>
      <c r="I891">
        <v>12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49</v>
      </c>
      <c r="E892">
        <v>7</v>
      </c>
      <c r="F892">
        <v>22</v>
      </c>
      <c r="G892">
        <v>2</v>
      </c>
      <c r="H892">
        <v>0</v>
      </c>
      <c r="I892">
        <v>30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9</v>
      </c>
      <c r="F893">
        <v>57</v>
      </c>
      <c r="G893">
        <v>0</v>
      </c>
      <c r="H893">
        <v>0</v>
      </c>
      <c r="I893">
        <v>17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10</v>
      </c>
      <c r="G895">
        <v>8</v>
      </c>
      <c r="H895">
        <v>0</v>
      </c>
      <c r="I895">
        <v>3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36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1</v>
      </c>
      <c r="G898">
        <v>4</v>
      </c>
      <c r="H898">
        <v>0</v>
      </c>
      <c r="I898">
        <v>10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61</v>
      </c>
      <c r="G901">
        <v>1</v>
      </c>
      <c r="H901">
        <v>0</v>
      </c>
      <c r="I901">
        <v>15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76</v>
      </c>
      <c r="G902">
        <v>0</v>
      </c>
      <c r="H902">
        <v>0</v>
      </c>
      <c r="I902">
        <v>28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0</v>
      </c>
      <c r="E903">
        <v>17</v>
      </c>
      <c r="F903">
        <v>71</v>
      </c>
      <c r="G903">
        <v>0</v>
      </c>
      <c r="H903">
        <v>0</v>
      </c>
      <c r="I903">
        <v>11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68</v>
      </c>
      <c r="G904">
        <v>0</v>
      </c>
      <c r="H904">
        <v>0</v>
      </c>
      <c r="I904">
        <v>23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67</v>
      </c>
      <c r="E905">
        <v>8</v>
      </c>
      <c r="F905">
        <v>3</v>
      </c>
      <c r="G905">
        <v>1</v>
      </c>
      <c r="H905">
        <v>0</v>
      </c>
      <c r="I905">
        <v>5</v>
      </c>
      <c r="J905">
        <v>0</v>
      </c>
    </row>
    <row r="906" spans="1:10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67</v>
      </c>
      <c r="G906">
        <v>0</v>
      </c>
      <c r="H906">
        <v>0</v>
      </c>
      <c r="I906">
        <v>11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4</v>
      </c>
      <c r="F907">
        <v>34</v>
      </c>
      <c r="G907">
        <v>0</v>
      </c>
      <c r="H907">
        <v>0</v>
      </c>
      <c r="I907">
        <v>28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180</v>
      </c>
      <c r="E908">
        <v>8</v>
      </c>
      <c r="F908">
        <v>4</v>
      </c>
      <c r="G908">
        <v>0</v>
      </c>
      <c r="H908">
        <v>0</v>
      </c>
      <c r="I908">
        <v>35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13</v>
      </c>
      <c r="G909">
        <v>0</v>
      </c>
      <c r="H909">
        <v>0</v>
      </c>
      <c r="I909">
        <v>10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123</v>
      </c>
      <c r="G910">
        <v>0</v>
      </c>
      <c r="H910">
        <v>0</v>
      </c>
      <c r="I910">
        <v>4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4</v>
      </c>
      <c r="H911">
        <v>0</v>
      </c>
      <c r="I911">
        <v>14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15</v>
      </c>
      <c r="G912">
        <v>0</v>
      </c>
      <c r="H912">
        <v>0</v>
      </c>
      <c r="I912">
        <v>12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66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77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178</v>
      </c>
      <c r="E928">
        <v>5</v>
      </c>
      <c r="F928">
        <v>13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101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36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49</v>
      </c>
      <c r="D945">
        <v>13</v>
      </c>
      <c r="E945">
        <v>32</v>
      </c>
      <c r="F945">
        <v>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8</v>
      </c>
      <c r="E946">
        <v>0</v>
      </c>
      <c r="F946">
        <v>40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47</v>
      </c>
      <c r="D947">
        <v>19</v>
      </c>
      <c r="E947">
        <v>22</v>
      </c>
      <c r="F947">
        <v>4</v>
      </c>
      <c r="G947">
        <v>0</v>
      </c>
      <c r="H947">
        <v>0</v>
      </c>
      <c r="I947">
        <v>2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117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78</v>
      </c>
      <c r="D955">
        <v>30</v>
      </c>
      <c r="E955">
        <v>32</v>
      </c>
      <c r="F955">
        <v>16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192</v>
      </c>
      <c r="D956">
        <v>126</v>
      </c>
      <c r="E956">
        <v>18</v>
      </c>
      <c r="F956">
        <v>46</v>
      </c>
      <c r="G956">
        <v>2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5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9</v>
      </c>
      <c r="G962">
        <v>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97</v>
      </c>
      <c r="D964">
        <v>50</v>
      </c>
      <c r="E964">
        <v>16</v>
      </c>
      <c r="F964">
        <v>25</v>
      </c>
      <c r="G964">
        <v>1</v>
      </c>
      <c r="H964">
        <v>0</v>
      </c>
      <c r="I964">
        <v>5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83</v>
      </c>
      <c r="E966">
        <v>5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100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88</v>
      </c>
      <c r="E968">
        <v>4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5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8</v>
      </c>
      <c r="E973">
        <v>22</v>
      </c>
      <c r="F973">
        <v>59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96</v>
      </c>
      <c r="D982">
        <v>0</v>
      </c>
      <c r="E982">
        <v>23</v>
      </c>
      <c r="F982">
        <v>36</v>
      </c>
      <c r="G982">
        <v>0</v>
      </c>
      <c r="H982">
        <v>0</v>
      </c>
      <c r="I982">
        <v>37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42</v>
      </c>
      <c r="E984">
        <v>10</v>
      </c>
      <c r="F984">
        <v>12</v>
      </c>
      <c r="G984">
        <v>7</v>
      </c>
      <c r="H984">
        <v>0</v>
      </c>
      <c r="I984">
        <v>13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177</v>
      </c>
      <c r="E991">
        <v>18</v>
      </c>
      <c r="F991">
        <v>2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97</v>
      </c>
      <c r="D993">
        <v>21</v>
      </c>
      <c r="E993">
        <v>4</v>
      </c>
      <c r="F993">
        <v>72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22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84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92</v>
      </c>
      <c r="E998">
        <v>1</v>
      </c>
      <c r="F998">
        <v>2</v>
      </c>
      <c r="G998">
        <v>0</v>
      </c>
      <c r="H998">
        <v>0</v>
      </c>
      <c r="I998">
        <v>2</v>
      </c>
      <c r="J998">
        <v>1</v>
      </c>
    </row>
    <row r="999" spans="1:10" x14ac:dyDescent="0.25">
      <c r="A999" t="s">
        <v>133</v>
      </c>
      <c r="B999">
        <v>7172040003000400</v>
      </c>
      <c r="C999">
        <v>75</v>
      </c>
      <c r="D999">
        <v>12</v>
      </c>
      <c r="E999">
        <v>0</v>
      </c>
      <c r="F999">
        <v>63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75</v>
      </c>
      <c r="D1000">
        <v>16</v>
      </c>
      <c r="E1000">
        <v>0</v>
      </c>
      <c r="F1000">
        <v>59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5</v>
      </c>
      <c r="E1004">
        <v>0</v>
      </c>
      <c r="F1004">
        <v>85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4</v>
      </c>
      <c r="E1007">
        <v>0</v>
      </c>
      <c r="F1007">
        <v>50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42</v>
      </c>
      <c r="E1008">
        <v>8</v>
      </c>
      <c r="F1008">
        <v>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7</v>
      </c>
      <c r="E1010">
        <v>4</v>
      </c>
      <c r="F1010">
        <v>30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3</v>
      </c>
      <c r="G1013">
        <v>1</v>
      </c>
      <c r="H1013">
        <v>0</v>
      </c>
      <c r="I1013">
        <v>1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82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23</v>
      </c>
      <c r="G1015">
        <v>4</v>
      </c>
      <c r="H1015">
        <v>0</v>
      </c>
      <c r="I1015">
        <v>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38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53</v>
      </c>
      <c r="G1017">
        <v>0</v>
      </c>
      <c r="H1017">
        <v>0</v>
      </c>
      <c r="I1017">
        <v>4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3</v>
      </c>
      <c r="G1022">
        <v>0</v>
      </c>
      <c r="H1022">
        <v>0</v>
      </c>
      <c r="I1022">
        <v>50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1</v>
      </c>
      <c r="G1023">
        <v>0</v>
      </c>
      <c r="H1023">
        <v>0</v>
      </c>
      <c r="I1023">
        <v>58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18</v>
      </c>
      <c r="G1024">
        <v>0</v>
      </c>
      <c r="H1024">
        <v>0</v>
      </c>
      <c r="I1024">
        <v>38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56</v>
      </c>
      <c r="G1025">
        <v>0</v>
      </c>
      <c r="H1025">
        <v>0</v>
      </c>
      <c r="I1025">
        <v>9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43</v>
      </c>
      <c r="D1028">
        <v>15</v>
      </c>
      <c r="E1028">
        <v>4</v>
      </c>
      <c r="F1028">
        <v>5</v>
      </c>
      <c r="G1028">
        <v>0</v>
      </c>
      <c r="H1028">
        <v>0</v>
      </c>
      <c r="I1028">
        <v>19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68</v>
      </c>
      <c r="E1034">
        <v>6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70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24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40</v>
      </c>
      <c r="D1039">
        <v>32</v>
      </c>
      <c r="E1039">
        <v>2</v>
      </c>
      <c r="F1039">
        <v>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47</v>
      </c>
      <c r="E1043">
        <v>0</v>
      </c>
      <c r="F1043">
        <v>80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17</v>
      </c>
      <c r="G1044">
        <v>0</v>
      </c>
      <c r="H1044">
        <v>0</v>
      </c>
      <c r="I1044">
        <v>2</v>
      </c>
      <c r="J1044">
        <v>0</v>
      </c>
    </row>
    <row r="1045" spans="1:10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106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96</v>
      </c>
      <c r="D1046">
        <v>85</v>
      </c>
      <c r="E1046">
        <v>6</v>
      </c>
      <c r="F1046">
        <v>4</v>
      </c>
      <c r="G1046">
        <v>0</v>
      </c>
      <c r="H1046">
        <v>0</v>
      </c>
      <c r="I1046">
        <v>1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15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151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71</v>
      </c>
      <c r="E1051">
        <v>13</v>
      </c>
      <c r="F1051">
        <v>0</v>
      </c>
      <c r="G1051">
        <v>0</v>
      </c>
      <c r="H1051">
        <v>1</v>
      </c>
      <c r="I1051">
        <v>3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5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76</v>
      </c>
      <c r="G1054">
        <v>0</v>
      </c>
      <c r="H1054">
        <v>0</v>
      </c>
      <c r="I1054">
        <v>33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5" sqref="E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265</v>
      </c>
      <c r="F2">
        <v>291</v>
      </c>
      <c r="G2">
        <f>VLOOKUP(A2,PPL!B:M,12,0)</f>
        <v>291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222</v>
      </c>
      <c r="F3">
        <v>250</v>
      </c>
      <c r="G3">
        <f>VLOOKUP(A3,PPL!B:M,12,0)</f>
        <v>250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382</v>
      </c>
      <c r="F4">
        <v>382</v>
      </c>
      <c r="G4">
        <f>VLOOKUP(A4,PPL!B:M,12,0)</f>
        <v>382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265</v>
      </c>
      <c r="F5">
        <v>267</v>
      </c>
      <c r="G5">
        <f>VLOOKUP(A5,PPL!B:M,12,0)</f>
        <v>267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223</v>
      </c>
      <c r="F6">
        <v>243</v>
      </c>
      <c r="G6">
        <f>VLOOKUP(A6,PPL!B:M,12,0)</f>
        <v>268</v>
      </c>
      <c r="H6">
        <f t="shared" si="0"/>
        <v>25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247</v>
      </c>
      <c r="F7">
        <v>266</v>
      </c>
      <c r="G7">
        <f>VLOOKUP(A7,PPL!B:M,12,0)</f>
        <v>280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255</v>
      </c>
      <c r="F8">
        <v>292</v>
      </c>
      <c r="G8">
        <f>VLOOKUP(A8,PPL!B:M,12,0)</f>
        <v>318</v>
      </c>
      <c r="H8">
        <f t="shared" si="0"/>
        <v>26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237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260</v>
      </c>
      <c r="F10">
        <v>276</v>
      </c>
      <c r="G10">
        <f>VLOOKUP(A10,PPL!B:M,12,0)</f>
        <v>283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261</v>
      </c>
      <c r="F11">
        <v>275</v>
      </c>
      <c r="G11">
        <f>VLOOKUP(A11,PPL!B:M,12,0)</f>
        <v>275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402</v>
      </c>
      <c r="F12">
        <v>429</v>
      </c>
      <c r="G12">
        <f>VLOOKUP(A12,PPL!B:M,12,0)</f>
        <v>435</v>
      </c>
      <c r="H12">
        <f t="shared" si="0"/>
        <v>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226</v>
      </c>
      <c r="F13">
        <v>269</v>
      </c>
      <c r="G13">
        <f>VLOOKUP(A13,PPL!B:M,12,0)</f>
        <v>269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259</v>
      </c>
      <c r="F14">
        <v>279</v>
      </c>
      <c r="G14">
        <f>VLOOKUP(A14,PPL!B:M,12,0)</f>
        <v>280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269</v>
      </c>
      <c r="F15">
        <v>278</v>
      </c>
      <c r="G15">
        <f>VLOOKUP(A15,PPL!B:M,12,0)</f>
        <v>279</v>
      </c>
      <c r="H15">
        <f t="shared" si="0"/>
        <v>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259</v>
      </c>
      <c r="F16">
        <v>279</v>
      </c>
      <c r="G16">
        <f>VLOOKUP(A16,PPL!B:M,12,0)</f>
        <v>281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230</v>
      </c>
      <c r="F17">
        <v>266</v>
      </c>
      <c r="G17">
        <f>VLOOKUP(A17,PPL!B:M,12,0)</f>
        <v>266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274</v>
      </c>
      <c r="F18">
        <v>293</v>
      </c>
      <c r="G18">
        <f>VLOOKUP(A18,PPL!B:M,12,0)</f>
        <v>298</v>
      </c>
      <c r="H18">
        <f t="shared" si="0"/>
        <v>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297</v>
      </c>
      <c r="F19">
        <v>313</v>
      </c>
      <c r="G19">
        <f>VLOOKUP(A19,PPL!B:M,12,0)</f>
        <v>314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224</v>
      </c>
      <c r="F20">
        <v>247</v>
      </c>
      <c r="G20">
        <f>VLOOKUP(A20,PPL!B:M,12,0)</f>
        <v>263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240</v>
      </c>
      <c r="F21">
        <v>273</v>
      </c>
      <c r="G21">
        <f>VLOOKUP(A21,PPL!B:M,12,0)</f>
        <v>273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223</v>
      </c>
      <c r="F22">
        <v>272</v>
      </c>
      <c r="G22">
        <f>VLOOKUP(A22,PPL!B:M,12,0)</f>
        <v>272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142</v>
      </c>
      <c r="F23">
        <v>164</v>
      </c>
      <c r="G23">
        <f>VLOOKUP(A23,PPL!B:M,12,0)</f>
        <v>188</v>
      </c>
      <c r="H23">
        <f t="shared" si="0"/>
        <v>24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300</v>
      </c>
      <c r="F24">
        <v>320</v>
      </c>
      <c r="G24">
        <f>VLOOKUP(A24,PPL!B:M,12,0)</f>
        <v>320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157</v>
      </c>
      <c r="F25">
        <v>218</v>
      </c>
      <c r="G25">
        <f>VLOOKUP(A25,PPL!B:M,12,0)</f>
        <v>230</v>
      </c>
      <c r="H25">
        <f t="shared" si="0"/>
        <v>12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245</v>
      </c>
      <c r="F26">
        <v>297</v>
      </c>
      <c r="G26">
        <f>VLOOKUP(A26,PPL!B:M,12,0)</f>
        <v>297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207</v>
      </c>
      <c r="F27">
        <v>275</v>
      </c>
      <c r="G27">
        <f>VLOOKUP(A27,PPL!B:M,12,0)</f>
        <v>281</v>
      </c>
      <c r="H27">
        <f t="shared" si="0"/>
        <v>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253</v>
      </c>
      <c r="F28">
        <v>341</v>
      </c>
      <c r="G28">
        <f>VLOOKUP(A28,PPL!B:M,12,0)</f>
        <v>341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142</v>
      </c>
      <c r="F29">
        <v>182</v>
      </c>
      <c r="G29">
        <f>VLOOKUP(A29,PPL!B:M,12,0)</f>
        <v>201</v>
      </c>
      <c r="H29">
        <f t="shared" si="0"/>
        <v>19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162</v>
      </c>
      <c r="F30">
        <v>163</v>
      </c>
      <c r="G30">
        <f>VLOOKUP(A30,PPL!B:M,12,0)</f>
        <v>176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192</v>
      </c>
      <c r="F31">
        <v>274</v>
      </c>
      <c r="G31">
        <f>VLOOKUP(A31,PPL!B:M,12,0)</f>
        <v>274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136</v>
      </c>
      <c r="F32">
        <v>192</v>
      </c>
      <c r="G32">
        <f>VLOOKUP(A32,PPL!B:M,12,0)</f>
        <v>231</v>
      </c>
      <c r="H32">
        <f t="shared" si="0"/>
        <v>39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298</v>
      </c>
      <c r="F33">
        <v>298</v>
      </c>
      <c r="G33">
        <f>VLOOKUP(A33,PPL!B:M,12,0)</f>
        <v>300</v>
      </c>
      <c r="H33">
        <f t="shared" si="0"/>
        <v>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236</v>
      </c>
      <c r="F34">
        <v>287</v>
      </c>
      <c r="G34">
        <f>VLOOKUP(A34,PPL!B:M,12,0)</f>
        <v>288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254</v>
      </c>
      <c r="F35">
        <v>281</v>
      </c>
      <c r="G35">
        <f>VLOOKUP(A35,PPL!B:M,12,0)</f>
        <v>281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145</v>
      </c>
      <c r="G36">
        <f>VLOOKUP(A36,PPL!B:M,12,0)</f>
        <v>145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115</v>
      </c>
      <c r="F37">
        <v>119</v>
      </c>
      <c r="G37">
        <f>VLOOKUP(A37,PPL!B:M,12,0)</f>
        <v>168</v>
      </c>
      <c r="H37">
        <f t="shared" si="0"/>
        <v>49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337</v>
      </c>
      <c r="F38">
        <v>367</v>
      </c>
      <c r="G38">
        <f>VLOOKUP(A38,PPL!B:M,12,0)</f>
        <v>401</v>
      </c>
      <c r="H38">
        <f t="shared" si="0"/>
        <v>34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116</v>
      </c>
      <c r="F39">
        <v>125</v>
      </c>
      <c r="G39">
        <f>VLOOKUP(A39,PPL!B:M,12,0)</f>
        <v>162</v>
      </c>
      <c r="H39">
        <f t="shared" si="0"/>
        <v>37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168</v>
      </c>
      <c r="F40">
        <v>308</v>
      </c>
      <c r="G40">
        <f>VLOOKUP(A40,PPL!B:M,12,0)</f>
        <v>308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163</v>
      </c>
      <c r="F41">
        <v>191</v>
      </c>
      <c r="G41">
        <f>VLOOKUP(A41,PPL!B:M,12,0)</f>
        <v>220</v>
      </c>
      <c r="H41">
        <f t="shared" si="0"/>
        <v>29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204</v>
      </c>
      <c r="F42">
        <v>267</v>
      </c>
      <c r="G42">
        <f>VLOOKUP(A42,PPL!B:M,12,0)</f>
        <v>269</v>
      </c>
      <c r="H42">
        <f t="shared" si="0"/>
        <v>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124</v>
      </c>
      <c r="F43">
        <v>137</v>
      </c>
      <c r="G43">
        <f>VLOOKUP(A43,PPL!B:M,12,0)</f>
        <v>137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208</v>
      </c>
      <c r="F44">
        <v>258</v>
      </c>
      <c r="G44">
        <f>VLOOKUP(A44,PPL!B:M,12,0)</f>
        <v>318</v>
      </c>
      <c r="H44">
        <f t="shared" si="0"/>
        <v>60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245</v>
      </c>
      <c r="F45">
        <v>248</v>
      </c>
      <c r="G45">
        <f>VLOOKUP(A45,PPL!B:M,12,0)</f>
        <v>253</v>
      </c>
      <c r="H45">
        <f t="shared" si="0"/>
        <v>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133</v>
      </c>
      <c r="F46">
        <v>144</v>
      </c>
      <c r="G46">
        <f>VLOOKUP(A46,PPL!B:M,12,0)</f>
        <v>176</v>
      </c>
      <c r="H46">
        <f t="shared" si="0"/>
        <v>32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206</v>
      </c>
      <c r="F47">
        <v>235</v>
      </c>
      <c r="G47">
        <f>VLOOKUP(A47,PPL!B:M,12,0)</f>
        <v>242</v>
      </c>
      <c r="H47">
        <f t="shared" si="0"/>
        <v>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229</v>
      </c>
      <c r="F48">
        <v>237</v>
      </c>
      <c r="G48">
        <f>VLOOKUP(A48,PPL!B:M,12,0)</f>
        <v>238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231</v>
      </c>
      <c r="F49">
        <v>249</v>
      </c>
      <c r="G49">
        <f>VLOOKUP(A49,PPL!B:M,12,0)</f>
        <v>254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227</v>
      </c>
      <c r="F50">
        <v>256</v>
      </c>
      <c r="G50">
        <f>VLOOKUP(A50,PPL!B:M,12,0)</f>
        <v>270</v>
      </c>
      <c r="H50">
        <f t="shared" si="0"/>
        <v>14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211</v>
      </c>
      <c r="F51">
        <v>236</v>
      </c>
      <c r="G51">
        <f>VLOOKUP(A51,PPL!B:M,12,0)</f>
        <v>264</v>
      </c>
      <c r="H51">
        <f t="shared" si="0"/>
        <v>28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244</v>
      </c>
      <c r="F52">
        <v>256</v>
      </c>
      <c r="G52">
        <f>VLOOKUP(A52,PPL!B:M,12,0)</f>
        <v>257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173</v>
      </c>
      <c r="F53">
        <v>218</v>
      </c>
      <c r="G53">
        <f>VLOOKUP(A53,PPL!B:M,12,0)</f>
        <v>224</v>
      </c>
      <c r="H53">
        <f t="shared" si="0"/>
        <v>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217</v>
      </c>
      <c r="F54">
        <v>282</v>
      </c>
      <c r="G54">
        <f>VLOOKUP(A54,PPL!B:M,12,0)</f>
        <v>290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184</v>
      </c>
      <c r="F55">
        <v>243</v>
      </c>
      <c r="G55">
        <f>VLOOKUP(A55,PPL!B:M,12,0)</f>
        <v>245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317</v>
      </c>
      <c r="F56">
        <v>324</v>
      </c>
      <c r="G56">
        <f>VLOOKUP(A56,PPL!B:M,12,0)</f>
        <v>340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222</v>
      </c>
      <c r="F57">
        <v>247</v>
      </c>
      <c r="G57">
        <f>VLOOKUP(A57,PPL!B:M,12,0)</f>
        <v>247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247</v>
      </c>
      <c r="F58">
        <v>265</v>
      </c>
      <c r="G58">
        <f>VLOOKUP(A58,PPL!B:M,12,0)</f>
        <v>271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116</v>
      </c>
      <c r="F59">
        <v>141</v>
      </c>
      <c r="G59">
        <f>VLOOKUP(A59,PPL!B:M,12,0)</f>
        <v>151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288</v>
      </c>
      <c r="F60">
        <v>308</v>
      </c>
      <c r="G60">
        <f>VLOOKUP(A60,PPL!B:M,12,0)</f>
        <v>314</v>
      </c>
      <c r="H60">
        <f t="shared" si="0"/>
        <v>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182</v>
      </c>
      <c r="F61">
        <v>209</v>
      </c>
      <c r="G61">
        <f>VLOOKUP(A61,PPL!B:M,12,0)</f>
        <v>216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215</v>
      </c>
      <c r="F62">
        <v>233</v>
      </c>
      <c r="G62">
        <f>VLOOKUP(A62,PPL!B:M,12,0)</f>
        <v>234</v>
      </c>
      <c r="H62">
        <f t="shared" si="0"/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271</v>
      </c>
      <c r="F63">
        <v>275</v>
      </c>
      <c r="G63">
        <f>VLOOKUP(A63,PPL!B:M,12,0)</f>
        <v>275</v>
      </c>
      <c r="H63">
        <f t="shared" si="0"/>
        <v>0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215</v>
      </c>
      <c r="F64">
        <v>239</v>
      </c>
      <c r="G64">
        <f>VLOOKUP(A64,PPL!B:M,12,0)</f>
        <v>244</v>
      </c>
      <c r="H64">
        <f t="shared" si="0"/>
        <v>5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182</v>
      </c>
      <c r="F65">
        <v>225</v>
      </c>
      <c r="G65">
        <f>VLOOKUP(A65,PPL!B:M,12,0)</f>
        <v>250</v>
      </c>
      <c r="H65">
        <f t="shared" si="0"/>
        <v>25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161</v>
      </c>
      <c r="F66">
        <v>168</v>
      </c>
      <c r="G66">
        <f>VLOOKUP(A66,PPL!B:M,12,0)</f>
        <v>179</v>
      </c>
      <c r="H66">
        <f t="shared" ref="H66:H129" si="2">G66-F66</f>
        <v>11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152</v>
      </c>
      <c r="F67">
        <v>179</v>
      </c>
      <c r="G67">
        <f>VLOOKUP(A67,PPL!B:M,12,0)</f>
        <v>194</v>
      </c>
      <c r="H67">
        <f t="shared" si="2"/>
        <v>15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154</v>
      </c>
      <c r="F68">
        <v>179</v>
      </c>
      <c r="G68">
        <f>VLOOKUP(A68,PPL!B:M,12,0)</f>
        <v>197</v>
      </c>
      <c r="H68">
        <f t="shared" si="2"/>
        <v>18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116</v>
      </c>
      <c r="F69">
        <v>148</v>
      </c>
      <c r="G69">
        <f>VLOOKUP(A69,PPL!B:M,12,0)</f>
        <v>166</v>
      </c>
      <c r="H69">
        <f t="shared" si="2"/>
        <v>18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168</v>
      </c>
      <c r="F70">
        <v>179</v>
      </c>
      <c r="G70">
        <f>VLOOKUP(A70,PPL!B:M,12,0)</f>
        <v>193</v>
      </c>
      <c r="H70">
        <f t="shared" si="2"/>
        <v>14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125</v>
      </c>
      <c r="F71">
        <v>125</v>
      </c>
      <c r="G71">
        <f>VLOOKUP(A71,PPL!B:M,12,0)</f>
        <v>125</v>
      </c>
      <c r="H71">
        <f t="shared" si="2"/>
        <v>0</v>
      </c>
      <c r="I71" t="b">
        <f t="shared" si="3"/>
        <v>1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183</v>
      </c>
      <c r="F72">
        <v>196</v>
      </c>
      <c r="G72">
        <f>VLOOKUP(A72,PPL!B:M,12,0)</f>
        <v>199</v>
      </c>
      <c r="H72">
        <f t="shared" si="2"/>
        <v>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164</v>
      </c>
      <c r="F73">
        <v>174</v>
      </c>
      <c r="G73">
        <f>VLOOKUP(A73,PPL!B:M,12,0)</f>
        <v>179</v>
      </c>
      <c r="H73">
        <f t="shared" si="2"/>
        <v>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203</v>
      </c>
      <c r="F74">
        <v>218</v>
      </c>
      <c r="G74">
        <f>VLOOKUP(A74,PPL!B:M,12,0)</f>
        <v>223</v>
      </c>
      <c r="H74">
        <f t="shared" si="2"/>
        <v>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165</v>
      </c>
      <c r="F75">
        <v>192</v>
      </c>
      <c r="G75">
        <f>VLOOKUP(A75,PPL!B:M,12,0)</f>
        <v>200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136</v>
      </c>
      <c r="F76">
        <v>174</v>
      </c>
      <c r="G76">
        <f>VLOOKUP(A76,PPL!B:M,12,0)</f>
        <v>176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163</v>
      </c>
      <c r="F77">
        <v>195</v>
      </c>
      <c r="G77">
        <f>VLOOKUP(A77,PPL!B:M,12,0)</f>
        <v>205</v>
      </c>
      <c r="H77">
        <f t="shared" si="2"/>
        <v>10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131</v>
      </c>
      <c r="F78">
        <v>174</v>
      </c>
      <c r="G78">
        <f>VLOOKUP(A78,PPL!B:M,12,0)</f>
        <v>177</v>
      </c>
      <c r="H78">
        <f t="shared" si="2"/>
        <v>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87</v>
      </c>
      <c r="F79">
        <v>91</v>
      </c>
      <c r="G79">
        <f>VLOOKUP(A79,PPL!B:M,12,0)</f>
        <v>92</v>
      </c>
      <c r="H79">
        <f t="shared" si="2"/>
        <v>1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59</v>
      </c>
      <c r="F80">
        <v>84</v>
      </c>
      <c r="G80">
        <f>VLOOKUP(A80,PPL!B:M,12,0)</f>
        <v>88</v>
      </c>
      <c r="H80">
        <f t="shared" si="2"/>
        <v>4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171</v>
      </c>
      <c r="F81">
        <v>180</v>
      </c>
      <c r="G81">
        <f>VLOOKUP(A81,PPL!B:M,12,0)</f>
        <v>180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124</v>
      </c>
      <c r="F82">
        <v>140</v>
      </c>
      <c r="G82">
        <f>VLOOKUP(A82,PPL!B:M,12,0)</f>
        <v>154</v>
      </c>
      <c r="H82">
        <f t="shared" si="2"/>
        <v>14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162</v>
      </c>
      <c r="F83">
        <v>168</v>
      </c>
      <c r="G83">
        <f>VLOOKUP(A83,PPL!B:M,12,0)</f>
        <v>168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162</v>
      </c>
      <c r="F84">
        <v>171</v>
      </c>
      <c r="G84">
        <f>VLOOKUP(A84,PPL!B:M,12,0)</f>
        <v>172</v>
      </c>
      <c r="H84">
        <f t="shared" si="2"/>
        <v>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149</v>
      </c>
      <c r="F85">
        <v>166</v>
      </c>
      <c r="G85">
        <f>VLOOKUP(A85,PPL!B:M,12,0)</f>
        <v>173</v>
      </c>
      <c r="H85">
        <f t="shared" si="2"/>
        <v>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205</v>
      </c>
      <c r="F86">
        <v>254</v>
      </c>
      <c r="G86">
        <f>VLOOKUP(A86,PPL!B:M,12,0)</f>
        <v>256</v>
      </c>
      <c r="H86">
        <f t="shared" si="2"/>
        <v>2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252</v>
      </c>
      <c r="F87">
        <v>267</v>
      </c>
      <c r="G87">
        <f>VLOOKUP(A87,PPL!B:M,12,0)</f>
        <v>272</v>
      </c>
      <c r="H87">
        <f t="shared" si="2"/>
        <v>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227</v>
      </c>
      <c r="F88">
        <v>264</v>
      </c>
      <c r="G88">
        <f>VLOOKUP(A88,PPL!B:M,12,0)</f>
        <v>264</v>
      </c>
      <c r="H88">
        <f t="shared" si="2"/>
        <v>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184</v>
      </c>
      <c r="F89">
        <v>222</v>
      </c>
      <c r="G89">
        <f>VLOOKUP(A89,PPL!B:M,12,0)</f>
        <v>230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145</v>
      </c>
      <c r="F90">
        <v>147</v>
      </c>
      <c r="G90">
        <f>VLOOKUP(A90,PPL!B:M,12,0)</f>
        <v>147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256</v>
      </c>
      <c r="F91">
        <v>275</v>
      </c>
      <c r="G91">
        <f>VLOOKUP(A91,PPL!B:M,12,0)</f>
        <v>280</v>
      </c>
      <c r="H91">
        <f t="shared" si="2"/>
        <v>5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187</v>
      </c>
      <c r="F92">
        <v>278</v>
      </c>
      <c r="G92">
        <f>VLOOKUP(A92,PPL!B:M,12,0)</f>
        <v>283</v>
      </c>
      <c r="H92">
        <f t="shared" si="2"/>
        <v>5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203</v>
      </c>
      <c r="F93">
        <v>240</v>
      </c>
      <c r="G93">
        <f>VLOOKUP(A93,PPL!B:M,12,0)</f>
        <v>254</v>
      </c>
      <c r="H93">
        <f t="shared" si="2"/>
        <v>14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187</v>
      </c>
      <c r="F94">
        <v>191</v>
      </c>
      <c r="G94">
        <f>VLOOKUP(A94,PPL!B:M,12,0)</f>
        <v>191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240</v>
      </c>
      <c r="F95">
        <v>254</v>
      </c>
      <c r="G95">
        <f>VLOOKUP(A95,PPL!B:M,12,0)</f>
        <v>266</v>
      </c>
      <c r="H95">
        <f t="shared" si="2"/>
        <v>12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177</v>
      </c>
      <c r="F96">
        <v>262</v>
      </c>
      <c r="G96">
        <f>VLOOKUP(A96,PPL!B:M,12,0)</f>
        <v>265</v>
      </c>
      <c r="H96">
        <f t="shared" si="2"/>
        <v>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255</v>
      </c>
      <c r="F97">
        <v>263</v>
      </c>
      <c r="G97">
        <f>VLOOKUP(A97,PPL!B:M,12,0)</f>
        <v>263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173</v>
      </c>
      <c r="F98">
        <v>234</v>
      </c>
      <c r="G98">
        <f>VLOOKUP(A98,PPL!B:M,12,0)</f>
        <v>245</v>
      </c>
      <c r="H98">
        <f t="shared" si="2"/>
        <v>11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315</v>
      </c>
      <c r="F99">
        <v>325</v>
      </c>
      <c r="G99">
        <f>VLOOKUP(A99,PPL!B:M,12,0)</f>
        <v>343</v>
      </c>
      <c r="H99">
        <f t="shared" si="2"/>
        <v>18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243</v>
      </c>
      <c r="F100">
        <v>275</v>
      </c>
      <c r="G100">
        <f>VLOOKUP(A100,PPL!B:M,12,0)</f>
        <v>281</v>
      </c>
      <c r="H100">
        <f t="shared" si="2"/>
        <v>6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202</v>
      </c>
      <c r="F101">
        <v>215</v>
      </c>
      <c r="G101">
        <f>VLOOKUP(A101,PPL!B:M,12,0)</f>
        <v>219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249</v>
      </c>
      <c r="F102">
        <v>269</v>
      </c>
      <c r="G102">
        <f>VLOOKUP(A102,PPL!B:M,12,0)</f>
        <v>269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181</v>
      </c>
      <c r="F103">
        <v>208</v>
      </c>
      <c r="G103">
        <f>VLOOKUP(A103,PPL!B:M,12,0)</f>
        <v>228</v>
      </c>
      <c r="H103">
        <f t="shared" si="2"/>
        <v>20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156</v>
      </c>
      <c r="F104">
        <v>161</v>
      </c>
      <c r="G104">
        <f>VLOOKUP(A104,PPL!B:M,12,0)</f>
        <v>227</v>
      </c>
      <c r="H104">
        <f t="shared" si="2"/>
        <v>66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217</v>
      </c>
      <c r="F105">
        <v>262</v>
      </c>
      <c r="G105">
        <f>VLOOKUP(A105,PPL!B:M,12,0)</f>
        <v>265</v>
      </c>
      <c r="H105">
        <f t="shared" si="2"/>
        <v>3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401</v>
      </c>
      <c r="F106">
        <v>456</v>
      </c>
      <c r="G106">
        <f>VLOOKUP(A106,PPL!B:M,12,0)</f>
        <v>476</v>
      </c>
      <c r="H106">
        <f t="shared" si="2"/>
        <v>20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203</v>
      </c>
      <c r="F107">
        <v>254</v>
      </c>
      <c r="G107">
        <f>VLOOKUP(A107,PPL!B:M,12,0)</f>
        <v>260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189</v>
      </c>
      <c r="F108">
        <v>268</v>
      </c>
      <c r="G108">
        <f>VLOOKUP(A108,PPL!B:M,12,0)</f>
        <v>275</v>
      </c>
      <c r="H108">
        <f t="shared" si="2"/>
        <v>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198</v>
      </c>
      <c r="F109">
        <v>228</v>
      </c>
      <c r="G109">
        <f>VLOOKUP(A109,PPL!B:M,12,0)</f>
        <v>249</v>
      </c>
      <c r="H109">
        <f t="shared" si="2"/>
        <v>21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238</v>
      </c>
      <c r="F110">
        <v>264</v>
      </c>
      <c r="G110">
        <f>VLOOKUP(A110,PPL!B:M,12,0)</f>
        <v>272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283</v>
      </c>
      <c r="F111">
        <v>291</v>
      </c>
      <c r="G111">
        <f>VLOOKUP(A111,PPL!B:M,12,0)</f>
        <v>291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271</v>
      </c>
      <c r="F112">
        <v>310</v>
      </c>
      <c r="G112">
        <f>VLOOKUP(A112,PPL!B:M,12,0)</f>
        <v>310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98</v>
      </c>
      <c r="F113">
        <v>129</v>
      </c>
      <c r="G113">
        <f>VLOOKUP(A113,PPL!B:M,12,0)</f>
        <v>228</v>
      </c>
      <c r="H113">
        <f t="shared" si="2"/>
        <v>99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169</v>
      </c>
      <c r="F114">
        <v>203</v>
      </c>
      <c r="G114">
        <f>VLOOKUP(A114,PPL!B:M,12,0)</f>
        <v>234</v>
      </c>
      <c r="H114">
        <f t="shared" si="2"/>
        <v>31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166</v>
      </c>
      <c r="F115">
        <v>246</v>
      </c>
      <c r="G115">
        <f>VLOOKUP(A115,PPL!B:M,12,0)</f>
        <v>256</v>
      </c>
      <c r="H115">
        <f t="shared" si="2"/>
        <v>10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101</v>
      </c>
      <c r="F116">
        <v>211</v>
      </c>
      <c r="G116">
        <f>VLOOKUP(A116,PPL!B:M,12,0)</f>
        <v>267</v>
      </c>
      <c r="H116">
        <f t="shared" si="2"/>
        <v>56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217</v>
      </c>
      <c r="F117">
        <v>299</v>
      </c>
      <c r="G117">
        <f>VLOOKUP(A117,PPL!B:M,12,0)</f>
        <v>299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194</v>
      </c>
      <c r="F118">
        <v>222</v>
      </c>
      <c r="G118">
        <f>VLOOKUP(A118,PPL!B:M,12,0)</f>
        <v>238</v>
      </c>
      <c r="H118">
        <f t="shared" si="2"/>
        <v>16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254</v>
      </c>
      <c r="F119">
        <v>270</v>
      </c>
      <c r="G119">
        <f>VLOOKUP(A119,PPL!B:M,12,0)</f>
        <v>270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309</v>
      </c>
      <c r="F120">
        <v>337</v>
      </c>
      <c r="G120">
        <f>VLOOKUP(A120,PPL!B:M,12,0)</f>
        <v>343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298</v>
      </c>
      <c r="F121">
        <v>315</v>
      </c>
      <c r="G121">
        <f>VLOOKUP(A121,PPL!B:M,12,0)</f>
        <v>322</v>
      </c>
      <c r="H121">
        <f t="shared" si="2"/>
        <v>7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254</v>
      </c>
      <c r="F122">
        <v>256</v>
      </c>
      <c r="G122">
        <f>VLOOKUP(A122,PPL!B:M,12,0)</f>
        <v>263</v>
      </c>
      <c r="H122">
        <f t="shared" si="2"/>
        <v>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251</v>
      </c>
      <c r="F123">
        <v>268</v>
      </c>
      <c r="G123">
        <f>VLOOKUP(A123,PPL!B:M,12,0)</f>
        <v>288</v>
      </c>
      <c r="H123">
        <f t="shared" si="2"/>
        <v>20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108</v>
      </c>
      <c r="F124">
        <v>144</v>
      </c>
      <c r="G124">
        <f>VLOOKUP(A124,PPL!B:M,12,0)</f>
        <v>150</v>
      </c>
      <c r="H124">
        <f t="shared" si="2"/>
        <v>6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172</v>
      </c>
      <c r="F125">
        <v>231</v>
      </c>
      <c r="G125">
        <f>VLOOKUP(A125,PPL!B:M,12,0)</f>
        <v>239</v>
      </c>
      <c r="H125">
        <f t="shared" si="2"/>
        <v>8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87</v>
      </c>
      <c r="F126">
        <v>92</v>
      </c>
      <c r="G126">
        <f>VLOOKUP(A126,PPL!B:M,12,0)</f>
        <v>100</v>
      </c>
      <c r="H126">
        <f t="shared" si="2"/>
        <v>8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187</v>
      </c>
      <c r="F127">
        <v>188</v>
      </c>
      <c r="G127">
        <f>VLOOKUP(A127,PPL!B:M,12,0)</f>
        <v>190</v>
      </c>
      <c r="H127">
        <f t="shared" si="2"/>
        <v>2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160</v>
      </c>
      <c r="F128">
        <v>234</v>
      </c>
      <c r="G128">
        <f>VLOOKUP(A128,PPL!B:M,12,0)</f>
        <v>242</v>
      </c>
      <c r="H128">
        <f t="shared" si="2"/>
        <v>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189</v>
      </c>
      <c r="F129">
        <v>230</v>
      </c>
      <c r="G129">
        <f>VLOOKUP(A129,PPL!B:M,12,0)</f>
        <v>244</v>
      </c>
      <c r="H129">
        <f t="shared" si="2"/>
        <v>14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237</v>
      </c>
      <c r="F130">
        <v>243</v>
      </c>
      <c r="G130">
        <f>VLOOKUP(A130,PPL!B:M,12,0)</f>
        <v>252</v>
      </c>
      <c r="H130">
        <f t="shared" ref="H130:H158" si="4">G130-F130</f>
        <v>9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145</v>
      </c>
      <c r="F131">
        <v>163</v>
      </c>
      <c r="G131">
        <f>VLOOKUP(A131,PPL!B:M,12,0)</f>
        <v>185</v>
      </c>
      <c r="H131">
        <f t="shared" si="4"/>
        <v>22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179</v>
      </c>
      <c r="F132">
        <v>186</v>
      </c>
      <c r="G132">
        <f>VLOOKUP(A132,PPL!B:M,12,0)</f>
        <v>218</v>
      </c>
      <c r="H132">
        <f t="shared" si="4"/>
        <v>32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80</v>
      </c>
      <c r="F133">
        <v>97</v>
      </c>
      <c r="G133">
        <f>VLOOKUP(A133,PPL!B:M,12,0)</f>
        <v>107</v>
      </c>
      <c r="H133">
        <f t="shared" si="4"/>
        <v>10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99</v>
      </c>
      <c r="F134">
        <v>132</v>
      </c>
      <c r="G134">
        <f>VLOOKUP(A134,PPL!B:M,12,0)</f>
        <v>132</v>
      </c>
      <c r="H134">
        <f t="shared" si="4"/>
        <v>0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240</v>
      </c>
      <c r="F135">
        <v>272</v>
      </c>
      <c r="G135">
        <f>VLOOKUP(A135,PPL!B:M,12,0)</f>
        <v>276</v>
      </c>
      <c r="H135">
        <f t="shared" si="4"/>
        <v>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258</v>
      </c>
      <c r="F136">
        <v>290</v>
      </c>
      <c r="G136">
        <f>VLOOKUP(A136,PPL!B:M,12,0)</f>
        <v>296</v>
      </c>
      <c r="H136">
        <f t="shared" si="4"/>
        <v>6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197</v>
      </c>
      <c r="F137">
        <v>266</v>
      </c>
      <c r="G137">
        <f>VLOOKUP(A137,PPL!B:M,12,0)</f>
        <v>284</v>
      </c>
      <c r="H137">
        <f t="shared" si="4"/>
        <v>18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172</v>
      </c>
      <c r="F138">
        <v>206</v>
      </c>
      <c r="G138">
        <f>VLOOKUP(A138,PPL!B:M,12,0)</f>
        <v>221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297</v>
      </c>
      <c r="F139">
        <v>335</v>
      </c>
      <c r="G139">
        <f>VLOOKUP(A139,PPL!B:M,12,0)</f>
        <v>347</v>
      </c>
      <c r="H139">
        <f t="shared" si="4"/>
        <v>12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1374</v>
      </c>
      <c r="F140">
        <v>1949</v>
      </c>
      <c r="G140">
        <f>VLOOKUP(A140,PML!A:K,11,0)</f>
        <v>1995</v>
      </c>
      <c r="H140">
        <f t="shared" si="4"/>
        <v>46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1228</v>
      </c>
      <c r="F141">
        <v>2036</v>
      </c>
      <c r="G141">
        <f>VLOOKUP(A141,PML!A:K,11,0)</f>
        <v>2079</v>
      </c>
      <c r="H141">
        <f t="shared" si="4"/>
        <v>43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1002</v>
      </c>
      <c r="F142">
        <v>1659</v>
      </c>
      <c r="G142">
        <f>VLOOKUP(A142,PML!A:K,11,0)</f>
        <v>1945</v>
      </c>
      <c r="H142">
        <f t="shared" si="4"/>
        <v>286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731</v>
      </c>
      <c r="F143">
        <v>942</v>
      </c>
      <c r="G143">
        <f>VLOOKUP(A143,PML!A:K,11,0)</f>
        <v>1005</v>
      </c>
      <c r="H143">
        <f t="shared" si="4"/>
        <v>63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888</v>
      </c>
      <c r="F144">
        <v>1682</v>
      </c>
      <c r="G144">
        <f>VLOOKUP(A144,PML!A:K,11,0)</f>
        <v>1909</v>
      </c>
      <c r="H144">
        <f t="shared" si="4"/>
        <v>227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775</v>
      </c>
      <c r="F145">
        <v>1281</v>
      </c>
      <c r="G145">
        <f>VLOOKUP(A145,PML!A:K,11,0)</f>
        <v>1321</v>
      </c>
      <c r="H145">
        <f t="shared" si="4"/>
        <v>40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536</v>
      </c>
      <c r="F146">
        <v>1205</v>
      </c>
      <c r="G146">
        <f>VLOOKUP(A146,PML!A:K,11,0)</f>
        <v>1556</v>
      </c>
      <c r="H146">
        <f t="shared" si="4"/>
        <v>351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465</v>
      </c>
      <c r="F147">
        <v>911</v>
      </c>
      <c r="G147">
        <f>VLOOKUP(A147,PML!A:K,11,0)</f>
        <v>995</v>
      </c>
      <c r="H147">
        <f t="shared" si="4"/>
        <v>84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1352</v>
      </c>
      <c r="F148">
        <v>1937</v>
      </c>
      <c r="G148">
        <f>VLOOKUP(A148,PML!A:K,11,0)</f>
        <v>1985</v>
      </c>
      <c r="H148">
        <f t="shared" si="4"/>
        <v>48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649</v>
      </c>
      <c r="F149">
        <v>1106</v>
      </c>
      <c r="G149">
        <f>VLOOKUP(A149,PML!A:K,11,0)</f>
        <v>1437</v>
      </c>
      <c r="H149">
        <f t="shared" si="4"/>
        <v>331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525</v>
      </c>
      <c r="F150">
        <v>660</v>
      </c>
      <c r="G150">
        <f>VLOOKUP(A150,PML!A:K,11,0)</f>
        <v>761</v>
      </c>
      <c r="H150">
        <f t="shared" si="4"/>
        <v>101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766</v>
      </c>
      <c r="F151">
        <v>1089</v>
      </c>
      <c r="G151">
        <f>VLOOKUP(A151,PML!A:K,11,0)</f>
        <v>1214</v>
      </c>
      <c r="H151">
        <f t="shared" si="4"/>
        <v>125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445</v>
      </c>
      <c r="F152">
        <v>1070</v>
      </c>
      <c r="G152">
        <f>VLOOKUP(A152,PML!A:K,11,0)</f>
        <v>1235</v>
      </c>
      <c r="H152">
        <f t="shared" si="4"/>
        <v>165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530</v>
      </c>
      <c r="F153">
        <v>1363</v>
      </c>
      <c r="G153">
        <f>VLOOKUP(A153,PML!A:K,11,0)</f>
        <v>1537</v>
      </c>
      <c r="H153">
        <f t="shared" si="4"/>
        <v>174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1040</v>
      </c>
      <c r="F154">
        <v>1842</v>
      </c>
      <c r="G154">
        <f>VLOOKUP(A154,PML!A:K,11,0)</f>
        <v>1944</v>
      </c>
      <c r="H154">
        <f t="shared" si="4"/>
        <v>102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1239</v>
      </c>
      <c r="F155">
        <v>1697</v>
      </c>
      <c r="G155">
        <f>VLOOKUP(A155,PML!A:K,11,0)</f>
        <v>1783</v>
      </c>
      <c r="H155">
        <f t="shared" si="4"/>
        <v>86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1465</v>
      </c>
      <c r="F156">
        <v>1685</v>
      </c>
      <c r="G156">
        <f>VLOOKUP(A156,PML!A:K,11,0)</f>
        <v>1845</v>
      </c>
      <c r="H156">
        <f t="shared" si="4"/>
        <v>160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468</v>
      </c>
      <c r="F157">
        <v>629</v>
      </c>
      <c r="G157">
        <f>VLOOKUP(A157,PML!A:K,11,0)</f>
        <v>813</v>
      </c>
      <c r="H157">
        <f t="shared" si="4"/>
        <v>184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1131</v>
      </c>
      <c r="F158">
        <v>1520</v>
      </c>
      <c r="G158">
        <f>VLOOKUP(A158,PML!A:K,11,0)</f>
        <v>1707</v>
      </c>
      <c r="H158">
        <f t="shared" si="4"/>
        <v>187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M10" sqref="M10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633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336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</v>
      </c>
      <c r="L2">
        <f>SUMIF(DATA!$A:$A,PPL!$A2,DATA!J:J)</f>
        <v>0</v>
      </c>
      <c r="M2">
        <f>F2+I2+J2+K2+L2</f>
        <v>291</v>
      </c>
      <c r="N2" s="3">
        <f>(M2/E2)*100</f>
        <v>45.97156398104265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250</v>
      </c>
      <c r="G3">
        <f>SUMIF(DATA!$A:$A,PPL!$A3,DATA!E:E)</f>
        <v>15</v>
      </c>
      <c r="H3">
        <f>SUMIF(DATA!$A:$A,PPL!$A3,DATA!F:F)</f>
        <v>343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250</v>
      </c>
      <c r="N3" s="3">
        <f t="shared" ref="N3:N66" si="1">(M3/E3)*100</f>
        <v>41.118421052631575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382</v>
      </c>
      <c r="G4">
        <f>SUMIF(DATA!$A:$A,PPL!$A4,DATA!E:E)</f>
        <v>4</v>
      </c>
      <c r="H4">
        <f>SUMIF(DATA!$A:$A,PPL!$A4,DATA!F:F)</f>
        <v>291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382</v>
      </c>
      <c r="N4" s="3">
        <f t="shared" si="1"/>
        <v>56.425406203840481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361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</v>
      </c>
      <c r="L5">
        <f>SUMIF(DATA!$A:$A,PPL!$A5,DATA!J:J)</f>
        <v>0</v>
      </c>
      <c r="M5">
        <f t="shared" si="0"/>
        <v>267</v>
      </c>
      <c r="N5" s="3">
        <f t="shared" si="1"/>
        <v>42.448330683624803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659</v>
      </c>
      <c r="F6">
        <f>SUMIF(DATA!$A:$A,PPL!$A6,DATA!D:D)</f>
        <v>265</v>
      </c>
      <c r="G6">
        <f>SUMIF(DATA!$A:$A,PPL!$A6,DATA!E:E)</f>
        <v>7</v>
      </c>
      <c r="H6">
        <f>SUMIF(DATA!$A:$A,PPL!$A6,DATA!F:F)</f>
        <v>384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3</v>
      </c>
      <c r="L6">
        <f>SUMIF(DATA!$A:$A,PPL!$A6,DATA!J:J)</f>
        <v>0</v>
      </c>
      <c r="M6">
        <f t="shared" si="0"/>
        <v>268</v>
      </c>
      <c r="N6" s="3">
        <f t="shared" si="1"/>
        <v>40.667678300455236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607</v>
      </c>
      <c r="F7">
        <f>SUMIF(DATA!$A:$A,PPL!$A7,DATA!D:D)</f>
        <v>276</v>
      </c>
      <c r="G7">
        <f>SUMIF(DATA!$A:$A,PPL!$A7,DATA!E:E)</f>
        <v>6</v>
      </c>
      <c r="H7">
        <f>SUMIF(DATA!$A:$A,PPL!$A7,DATA!F:F)</f>
        <v>321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</v>
      </c>
      <c r="L7">
        <f>SUMIF(DATA!$A:$A,PPL!$A7,DATA!J:J)</f>
        <v>0</v>
      </c>
      <c r="M7">
        <f t="shared" si="0"/>
        <v>280</v>
      </c>
      <c r="N7" s="3">
        <f t="shared" si="1"/>
        <v>46.128500823723229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647</v>
      </c>
      <c r="F8">
        <f>SUMIF(DATA!$A:$A,PPL!$A8,DATA!D:D)</f>
        <v>315</v>
      </c>
      <c r="G8">
        <f>SUMIF(DATA!$A:$A,PPL!$A8,DATA!E:E)</f>
        <v>6</v>
      </c>
      <c r="H8">
        <f>SUMIF(DATA!$A:$A,PPL!$A8,DATA!F:F)</f>
        <v>323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3</v>
      </c>
      <c r="L8">
        <f>SUMIF(DATA!$A:$A,PPL!$A8,DATA!J:J)</f>
        <v>0</v>
      </c>
      <c r="M8">
        <f t="shared" si="0"/>
        <v>318</v>
      </c>
      <c r="N8" s="3">
        <f t="shared" si="1"/>
        <v>49.149922720247297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653</v>
      </c>
      <c r="F10">
        <f>SUMIF(DATA!$A:$A,PPL!$A10,DATA!D:D)</f>
        <v>270</v>
      </c>
      <c r="G10">
        <f>SUMIF(DATA!$A:$A,PPL!$A10,DATA!E:E)</f>
        <v>1</v>
      </c>
      <c r="H10">
        <f>SUMIF(DATA!$A:$A,PPL!$A10,DATA!F:F)</f>
        <v>369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</v>
      </c>
      <c r="L10">
        <f>SUMIF(DATA!$A:$A,PPL!$A10,DATA!J:J)</f>
        <v>0</v>
      </c>
      <c r="M10">
        <f t="shared" si="0"/>
        <v>283</v>
      </c>
      <c r="N10" s="3">
        <f t="shared" si="1"/>
        <v>43.338437978560492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275</v>
      </c>
      <c r="G11">
        <f>SUMIF(DATA!$A:$A,PPL!$A11,DATA!E:E)</f>
        <v>1</v>
      </c>
      <c r="H11">
        <f>SUMIF(DATA!$A:$A,PPL!$A11,DATA!F:F)</f>
        <v>369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275</v>
      </c>
      <c r="N11" s="3">
        <f t="shared" si="1"/>
        <v>42.63565891472868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687</v>
      </c>
      <c r="F12">
        <f>SUMIF(DATA!$A:$A,PPL!$A12,DATA!D:D)</f>
        <v>433</v>
      </c>
      <c r="G12">
        <f>SUMIF(DATA!$A:$A,PPL!$A12,DATA!E:E)</f>
        <v>1</v>
      </c>
      <c r="H12">
        <f>SUMIF(DATA!$A:$A,PPL!$A12,DATA!F:F)</f>
        <v>251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</v>
      </c>
      <c r="L12">
        <f>SUMIF(DATA!$A:$A,PPL!$A12,DATA!J:J)</f>
        <v>0</v>
      </c>
      <c r="M12">
        <f t="shared" si="0"/>
        <v>435</v>
      </c>
      <c r="N12" s="3">
        <f t="shared" si="1"/>
        <v>63.318777292576421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657</v>
      </c>
      <c r="F13">
        <f>SUMIF(DATA!$A:$A,PPL!$A13,DATA!D:D)</f>
        <v>269</v>
      </c>
      <c r="G13">
        <f>SUMIF(DATA!$A:$A,PPL!$A13,DATA!E:E)</f>
        <v>5</v>
      </c>
      <c r="H13">
        <f>SUMIF(DATA!$A:$A,PPL!$A13,DATA!F:F)</f>
        <v>383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269</v>
      </c>
      <c r="N13" s="3">
        <f t="shared" si="1"/>
        <v>40.943683409436829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679</v>
      </c>
      <c r="F14">
        <f>SUMIF(DATA!$A:$A,PPL!$A14,DATA!D:D)</f>
        <v>280</v>
      </c>
      <c r="G14">
        <f>SUMIF(DATA!$A:$A,PPL!$A14,DATA!E:E)</f>
        <v>7</v>
      </c>
      <c r="H14">
        <f>SUMIF(DATA!$A:$A,PPL!$A14,DATA!F:F)</f>
        <v>392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280</v>
      </c>
      <c r="N14" s="3">
        <f t="shared" si="1"/>
        <v>41.237113402061851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259</v>
      </c>
      <c r="G15">
        <f>SUMIF(DATA!$A:$A,PPL!$A15,DATA!E:E)</f>
        <v>43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0</v>
      </c>
      <c r="M15">
        <f t="shared" si="0"/>
        <v>279</v>
      </c>
      <c r="N15" s="3">
        <f t="shared" si="1"/>
        <v>41.579731743666173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664</v>
      </c>
      <c r="F16">
        <f>SUMIF(DATA!$A:$A,PPL!$A16,DATA!D:D)</f>
        <v>264</v>
      </c>
      <c r="G16">
        <f>SUMIF(DATA!$A:$A,PPL!$A16,DATA!E:E)</f>
        <v>0</v>
      </c>
      <c r="H16">
        <f>SUMIF(DATA!$A:$A,PPL!$A16,DATA!F:F)</f>
        <v>383</v>
      </c>
      <c r="I16">
        <f>SUMIF(DATA!$A:$A,PPL!$A16,DATA!G:G)</f>
        <v>11</v>
      </c>
      <c r="J16">
        <f>SUMIF(DATA!$A:$A,PPL!$A16,DATA!H:H)</f>
        <v>0</v>
      </c>
      <c r="K16">
        <f>SUMIF(DATA!$A:$A,PPL!$A16,DATA!I:I)</f>
        <v>5</v>
      </c>
      <c r="L16">
        <f>SUMIF(DATA!$A:$A,PPL!$A16,DATA!J:J)</f>
        <v>1</v>
      </c>
      <c r="M16">
        <f t="shared" si="0"/>
        <v>281</v>
      </c>
      <c r="N16" s="3">
        <f t="shared" si="1"/>
        <v>42.319277108433731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663</v>
      </c>
      <c r="F17">
        <f>SUMIF(DATA!$A:$A,PPL!$A17,DATA!D:D)</f>
        <v>247</v>
      </c>
      <c r="G17">
        <f>SUMIF(DATA!$A:$A,PPL!$A17,DATA!E:E)</f>
        <v>5</v>
      </c>
      <c r="H17">
        <f>SUMIF(DATA!$A:$A,PPL!$A17,DATA!F:F)</f>
        <v>392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19</v>
      </c>
      <c r="L17">
        <f>SUMIF(DATA!$A:$A,PPL!$A17,DATA!J:J)</f>
        <v>0</v>
      </c>
      <c r="M17">
        <f t="shared" si="0"/>
        <v>266</v>
      </c>
      <c r="N17" s="3">
        <f t="shared" si="1"/>
        <v>40.120663650075414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659</v>
      </c>
      <c r="F18">
        <f>SUMIF(DATA!$A:$A,PPL!$A18,DATA!D:D)</f>
        <v>298</v>
      </c>
      <c r="G18">
        <f>SUMIF(DATA!$A:$A,PPL!$A18,DATA!E:E)</f>
        <v>0</v>
      </c>
      <c r="H18">
        <f>SUMIF(DATA!$A:$A,PPL!$A18,DATA!F:F)</f>
        <v>361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298</v>
      </c>
      <c r="N18" s="3">
        <f t="shared" si="1"/>
        <v>45.220030349013655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683</v>
      </c>
      <c r="F19">
        <f>SUMIF(DATA!$A:$A,PPL!$A19,DATA!D:D)</f>
        <v>309</v>
      </c>
      <c r="G19">
        <f>SUMIF(DATA!$A:$A,PPL!$A19,DATA!E:E)</f>
        <v>11</v>
      </c>
      <c r="H19">
        <f>SUMIF(DATA!$A:$A,PPL!$A19,DATA!F:F)</f>
        <v>358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314</v>
      </c>
      <c r="N19" s="3">
        <f t="shared" si="1"/>
        <v>45.973645680819914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653</v>
      </c>
      <c r="F20">
        <f>SUMIF(DATA!$A:$A,PPL!$A20,DATA!D:D)</f>
        <v>263</v>
      </c>
      <c r="G20">
        <f>SUMIF(DATA!$A:$A,PPL!$A20,DATA!E:E)</f>
        <v>41</v>
      </c>
      <c r="H20">
        <f>SUMIF(DATA!$A:$A,PPL!$A20,DATA!F:F)</f>
        <v>349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263</v>
      </c>
      <c r="N20" s="3">
        <f t="shared" si="1"/>
        <v>40.275650842266465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644</v>
      </c>
      <c r="F21">
        <f>SUMIF(DATA!$A:$A,PPL!$A21,DATA!D:D)</f>
        <v>273</v>
      </c>
      <c r="G21">
        <f>SUMIF(DATA!$A:$A,PPL!$A21,DATA!E:E)</f>
        <v>1</v>
      </c>
      <c r="H21">
        <f>SUMIF(DATA!$A:$A,PPL!$A21,DATA!F:F)</f>
        <v>370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273</v>
      </c>
      <c r="N21" s="3">
        <f t="shared" si="1"/>
        <v>42.391304347826086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640</v>
      </c>
      <c r="F22">
        <f>SUMIF(DATA!$A:$A,PPL!$A22,DATA!D:D)</f>
        <v>272</v>
      </c>
      <c r="G22">
        <f>SUMIF(DATA!$A:$A,PPL!$A22,DATA!E:E)</f>
        <v>6</v>
      </c>
      <c r="H22">
        <f>SUMIF(DATA!$A:$A,PPL!$A22,DATA!F:F)</f>
        <v>362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272</v>
      </c>
      <c r="N22" s="3">
        <f t="shared" si="1"/>
        <v>42.5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712</v>
      </c>
      <c r="F23">
        <f>SUMIF(DATA!$A:$A,PPL!$A23,DATA!D:D)</f>
        <v>178</v>
      </c>
      <c r="G23">
        <f>SUMIF(DATA!$A:$A,PPL!$A23,DATA!E:E)</f>
        <v>131</v>
      </c>
      <c r="H23">
        <f>SUMIF(DATA!$A:$A,PPL!$A23,DATA!F:F)</f>
        <v>393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6</v>
      </c>
      <c r="L23">
        <f>SUMIF(DATA!$A:$A,PPL!$A23,DATA!J:J)</f>
        <v>0</v>
      </c>
      <c r="M23">
        <f t="shared" si="0"/>
        <v>188</v>
      </c>
      <c r="N23" s="3">
        <f t="shared" si="1"/>
        <v>26.40449438202247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319</v>
      </c>
      <c r="G24">
        <f>SUMIF(DATA!$A:$A,PPL!$A24,DATA!E:E)</f>
        <v>11</v>
      </c>
      <c r="H24">
        <f>SUMIF(DATA!$A:$A,PPL!$A24,DATA!F:F)</f>
        <v>379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0</v>
      </c>
      <c r="L24">
        <f>SUMIF(DATA!$A:$A,PPL!$A24,DATA!J:J)</f>
        <v>0</v>
      </c>
      <c r="M24">
        <f t="shared" si="0"/>
        <v>320</v>
      </c>
      <c r="N24" s="3">
        <f t="shared" si="1"/>
        <v>45.070422535211272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230</v>
      </c>
      <c r="G25">
        <f>SUMIF(DATA!$A:$A,PPL!$A25,DATA!E:E)</f>
        <v>19</v>
      </c>
      <c r="H25">
        <f>SUMIF(DATA!$A:$A,PPL!$A25,DATA!F:F)</f>
        <v>429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230</v>
      </c>
      <c r="N25" s="3">
        <f t="shared" si="1"/>
        <v>33.923303834808259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756</v>
      </c>
      <c r="F26">
        <f>SUMIF(DATA!$A:$A,PPL!$A26,DATA!D:D)</f>
        <v>295</v>
      </c>
      <c r="G26">
        <f>SUMIF(DATA!$A:$A,PPL!$A26,DATA!E:E)</f>
        <v>26</v>
      </c>
      <c r="H26">
        <f>SUMIF(DATA!$A:$A,PPL!$A26,DATA!F:F)</f>
        <v>433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297</v>
      </c>
      <c r="N26" s="3">
        <f t="shared" si="1"/>
        <v>39.285714285714285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657</v>
      </c>
      <c r="F27">
        <f>SUMIF(DATA!$A:$A,PPL!$A27,DATA!D:D)</f>
        <v>188</v>
      </c>
      <c r="G27">
        <f>SUMIF(DATA!$A:$A,PPL!$A27,DATA!E:E)</f>
        <v>25</v>
      </c>
      <c r="H27">
        <f>SUMIF(DATA!$A:$A,PPL!$A27,DATA!F:F)</f>
        <v>351</v>
      </c>
      <c r="I27">
        <f>SUMIF(DATA!$A:$A,PPL!$A27,DATA!G:G)</f>
        <v>1</v>
      </c>
      <c r="J27">
        <f>SUMIF(DATA!$A:$A,PPL!$A27,DATA!H:H)</f>
        <v>0</v>
      </c>
      <c r="K27">
        <f>SUMIF(DATA!$A:$A,PPL!$A27,DATA!I:I)</f>
        <v>92</v>
      </c>
      <c r="L27">
        <f>SUMIF(DATA!$A:$A,PPL!$A27,DATA!J:J)</f>
        <v>0</v>
      </c>
      <c r="M27">
        <f t="shared" si="0"/>
        <v>281</v>
      </c>
      <c r="N27" s="3">
        <f t="shared" si="1"/>
        <v>42.770167427701672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676</v>
      </c>
      <c r="F28">
        <f>SUMIF(DATA!$A:$A,PPL!$A28,DATA!D:D)</f>
        <v>253</v>
      </c>
      <c r="G28">
        <f>SUMIF(DATA!$A:$A,PPL!$A28,DATA!E:E)</f>
        <v>3</v>
      </c>
      <c r="H28">
        <f>SUMIF(DATA!$A:$A,PPL!$A28,DATA!F:F)</f>
        <v>332</v>
      </c>
      <c r="I28">
        <f>SUMIF(DATA!$A:$A,PPL!$A28,DATA!G:G)</f>
        <v>6</v>
      </c>
      <c r="J28">
        <f>SUMIF(DATA!$A:$A,PPL!$A28,DATA!H:H)</f>
        <v>0</v>
      </c>
      <c r="K28">
        <f>SUMIF(DATA!$A:$A,PPL!$A28,DATA!I:I)</f>
        <v>82</v>
      </c>
      <c r="L28">
        <f>SUMIF(DATA!$A:$A,PPL!$A28,DATA!J:J)</f>
        <v>0</v>
      </c>
      <c r="M28">
        <f t="shared" si="0"/>
        <v>341</v>
      </c>
      <c r="N28" s="3">
        <f t="shared" si="1"/>
        <v>50.443786982248518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633</v>
      </c>
      <c r="F29">
        <f>SUMIF(DATA!$A:$A,PPL!$A29,DATA!D:D)</f>
        <v>135</v>
      </c>
      <c r="G29">
        <f>SUMIF(DATA!$A:$A,PPL!$A29,DATA!E:E)</f>
        <v>16</v>
      </c>
      <c r="H29">
        <f>SUMIF(DATA!$A:$A,PPL!$A29,DATA!F:F)</f>
        <v>416</v>
      </c>
      <c r="I29">
        <f>SUMIF(DATA!$A:$A,PPL!$A29,DATA!G:G)</f>
        <v>17</v>
      </c>
      <c r="J29">
        <f>SUMIF(DATA!$A:$A,PPL!$A29,DATA!H:H)</f>
        <v>0</v>
      </c>
      <c r="K29">
        <f>SUMIF(DATA!$A:$A,PPL!$A29,DATA!I:I)</f>
        <v>49</v>
      </c>
      <c r="L29">
        <f>SUMIF(DATA!$A:$A,PPL!$A29,DATA!J:J)</f>
        <v>0</v>
      </c>
      <c r="M29">
        <f t="shared" si="0"/>
        <v>201</v>
      </c>
      <c r="N29" s="3">
        <f t="shared" si="1"/>
        <v>31.753554502369667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150</v>
      </c>
      <c r="G30">
        <f>SUMIF(DATA!$A:$A,PPL!$A30,DATA!E:E)</f>
        <v>57</v>
      </c>
      <c r="H30">
        <f>SUMIF(DATA!$A:$A,PPL!$A30,DATA!F:F)</f>
        <v>471</v>
      </c>
      <c r="I30">
        <f>SUMIF(DATA!$A:$A,PPL!$A30,DATA!G:G)</f>
        <v>0</v>
      </c>
      <c r="J30">
        <f>SUMIF(DATA!$A:$A,PPL!$A30,DATA!H:H)</f>
        <v>1</v>
      </c>
      <c r="K30">
        <f>SUMIF(DATA!$A:$A,PPL!$A30,DATA!I:I)</f>
        <v>25</v>
      </c>
      <c r="L30">
        <f>SUMIF(DATA!$A:$A,PPL!$A30,DATA!J:J)</f>
        <v>0</v>
      </c>
      <c r="M30">
        <f t="shared" si="0"/>
        <v>176</v>
      </c>
      <c r="N30" s="3">
        <f t="shared" si="1"/>
        <v>25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671</v>
      </c>
      <c r="F31">
        <f>SUMIF(DATA!$A:$A,PPL!$A31,DATA!D:D)</f>
        <v>271</v>
      </c>
      <c r="G31">
        <f>SUMIF(DATA!$A:$A,PPL!$A31,DATA!E:E)</f>
        <v>36</v>
      </c>
      <c r="H31">
        <f>SUMIF(DATA!$A:$A,PPL!$A31,DATA!F:F)</f>
        <v>361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274</v>
      </c>
      <c r="N31" s="3">
        <f t="shared" si="1"/>
        <v>40.834575260804769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139</v>
      </c>
      <c r="G32">
        <f>SUMIF(DATA!$A:$A,PPL!$A32,DATA!E:E)</f>
        <v>33</v>
      </c>
      <c r="H32">
        <f>SUMIF(DATA!$A:$A,PPL!$A32,DATA!F:F)</f>
        <v>371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91</v>
      </c>
      <c r="L32">
        <f>SUMIF(DATA!$A:$A,PPL!$A32,DATA!J:J)</f>
        <v>0</v>
      </c>
      <c r="M32">
        <f t="shared" si="0"/>
        <v>231</v>
      </c>
      <c r="N32" s="3">
        <f t="shared" si="1"/>
        <v>36.377952755905511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192</v>
      </c>
      <c r="G33">
        <f>SUMIF(DATA!$A:$A,PPL!$A33,DATA!E:E)</f>
        <v>35</v>
      </c>
      <c r="H33">
        <f>SUMIF(DATA!$A:$A,PPL!$A33,DATA!F:F)</f>
        <v>367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103</v>
      </c>
      <c r="L33">
        <f>SUMIF(DATA!$A:$A,PPL!$A33,DATA!J:J)</f>
        <v>0</v>
      </c>
      <c r="M33">
        <f t="shared" si="0"/>
        <v>300</v>
      </c>
      <c r="N33" s="3">
        <f t="shared" si="1"/>
        <v>42.735042735042732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693</v>
      </c>
      <c r="F34">
        <f>SUMIF(DATA!$A:$A,PPL!$A34,DATA!D:D)</f>
        <v>206</v>
      </c>
      <c r="G34">
        <f>SUMIF(DATA!$A:$A,PPL!$A34,DATA!E:E)</f>
        <v>13</v>
      </c>
      <c r="H34">
        <f>SUMIF(DATA!$A:$A,PPL!$A34,DATA!F:F)</f>
        <v>392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81</v>
      </c>
      <c r="L34">
        <f>SUMIF(DATA!$A:$A,PPL!$A34,DATA!J:J)</f>
        <v>0</v>
      </c>
      <c r="M34">
        <f t="shared" si="0"/>
        <v>288</v>
      </c>
      <c r="N34" s="3">
        <f t="shared" si="1"/>
        <v>41.558441558441558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695</v>
      </c>
      <c r="F35">
        <f>SUMIF(DATA!$A:$A,PPL!$A35,DATA!D:D)</f>
        <v>94</v>
      </c>
      <c r="G35">
        <f>SUMIF(DATA!$A:$A,PPL!$A35,DATA!E:E)</f>
        <v>21</v>
      </c>
      <c r="H35">
        <f>SUMIF(DATA!$A:$A,PPL!$A35,DATA!F:F)</f>
        <v>393</v>
      </c>
      <c r="I35">
        <f>SUMIF(DATA!$A:$A,PPL!$A35,DATA!G:G)</f>
        <v>7</v>
      </c>
      <c r="J35">
        <f>SUMIF(DATA!$A:$A,PPL!$A35,DATA!H:H)</f>
        <v>0</v>
      </c>
      <c r="K35">
        <f>SUMIF(DATA!$A:$A,PPL!$A35,DATA!I:I)</f>
        <v>180</v>
      </c>
      <c r="L35">
        <f>SUMIF(DATA!$A:$A,PPL!$A35,DATA!J:J)</f>
        <v>0</v>
      </c>
      <c r="M35">
        <f t="shared" si="0"/>
        <v>281</v>
      </c>
      <c r="N35" s="3">
        <f t="shared" si="1"/>
        <v>40.431654676258994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648</v>
      </c>
      <c r="F36">
        <f>SUMIF(DATA!$A:$A,PPL!$A36,DATA!D:D)</f>
        <v>126</v>
      </c>
      <c r="G36">
        <f>SUMIF(DATA!$A:$A,PPL!$A36,DATA!E:E)</f>
        <v>122</v>
      </c>
      <c r="H36">
        <f>SUMIF(DATA!$A:$A,PPL!$A36,DATA!F:F)</f>
        <v>381</v>
      </c>
      <c r="I36">
        <f>SUMIF(DATA!$A:$A,PPL!$A36,DATA!G:G)</f>
        <v>12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145</v>
      </c>
      <c r="N36" s="3">
        <f t="shared" si="1"/>
        <v>22.376543209876544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620</v>
      </c>
      <c r="F37">
        <f>SUMIF(DATA!$A:$A,PPL!$A37,DATA!D:D)</f>
        <v>114</v>
      </c>
      <c r="G37">
        <f>SUMIF(DATA!$A:$A,PPL!$A37,DATA!E:E)</f>
        <v>83</v>
      </c>
      <c r="H37">
        <f>SUMIF(DATA!$A:$A,PPL!$A37,DATA!F:F)</f>
        <v>369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54</v>
      </c>
      <c r="L37">
        <f>SUMIF(DATA!$A:$A,PPL!$A37,DATA!J:J)</f>
        <v>0</v>
      </c>
      <c r="M37">
        <f t="shared" si="0"/>
        <v>168</v>
      </c>
      <c r="N37" s="3">
        <f t="shared" si="1"/>
        <v>27.096774193548391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835</v>
      </c>
      <c r="F38">
        <f>SUMIF(DATA!$A:$A,PPL!$A38,DATA!D:D)</f>
        <v>197</v>
      </c>
      <c r="G38">
        <f>SUMIF(DATA!$A:$A,PPL!$A38,DATA!E:E)</f>
        <v>47</v>
      </c>
      <c r="H38">
        <f>SUMIF(DATA!$A:$A,PPL!$A38,DATA!F:F)</f>
        <v>387</v>
      </c>
      <c r="I38">
        <f>SUMIF(DATA!$A:$A,PPL!$A38,DATA!G:G)</f>
        <v>13</v>
      </c>
      <c r="J38">
        <f>SUMIF(DATA!$A:$A,PPL!$A38,DATA!H:H)</f>
        <v>3</v>
      </c>
      <c r="K38">
        <f>SUMIF(DATA!$A:$A,PPL!$A38,DATA!I:I)</f>
        <v>188</v>
      </c>
      <c r="L38">
        <f>SUMIF(DATA!$A:$A,PPL!$A38,DATA!J:J)</f>
        <v>0</v>
      </c>
      <c r="M38">
        <f t="shared" si="0"/>
        <v>401</v>
      </c>
      <c r="N38" s="3">
        <f t="shared" si="1"/>
        <v>48.023952095808383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136</v>
      </c>
      <c r="G39">
        <f>SUMIF(DATA!$A:$A,PPL!$A39,DATA!E:E)</f>
        <v>110</v>
      </c>
      <c r="H39">
        <f>SUMIF(DATA!$A:$A,PPL!$A39,DATA!F:F)</f>
        <v>391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25</v>
      </c>
      <c r="L39">
        <f>SUMIF(DATA!$A:$A,PPL!$A39,DATA!J:J)</f>
        <v>0</v>
      </c>
      <c r="M39">
        <f t="shared" si="0"/>
        <v>162</v>
      </c>
      <c r="N39" s="3">
        <f t="shared" si="1"/>
        <v>24.434389140271492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307</v>
      </c>
      <c r="G40">
        <f>SUMIF(DATA!$A:$A,PPL!$A40,DATA!E:E)</f>
        <v>34</v>
      </c>
      <c r="H40">
        <f>SUMIF(DATA!$A:$A,PPL!$A40,DATA!F:F)</f>
        <v>423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308</v>
      </c>
      <c r="N40" s="3">
        <f t="shared" si="1"/>
        <v>40.261437908496731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689</v>
      </c>
      <c r="F41">
        <f>SUMIF(DATA!$A:$A,PPL!$A41,DATA!D:D)</f>
        <v>218</v>
      </c>
      <c r="G41">
        <f>SUMIF(DATA!$A:$A,PPL!$A41,DATA!E:E)</f>
        <v>34</v>
      </c>
      <c r="H41">
        <f>SUMIF(DATA!$A:$A,PPL!$A41,DATA!F:F)</f>
        <v>435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220</v>
      </c>
      <c r="N41" s="3">
        <f t="shared" si="1"/>
        <v>31.930333817126272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663</v>
      </c>
      <c r="F42">
        <f>SUMIF(DATA!$A:$A,PPL!$A42,DATA!D:D)</f>
        <v>269</v>
      </c>
      <c r="G42">
        <f>SUMIF(DATA!$A:$A,PPL!$A42,DATA!E:E)</f>
        <v>6</v>
      </c>
      <c r="H42">
        <f>SUMIF(DATA!$A:$A,PPL!$A42,DATA!F:F)</f>
        <v>388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269</v>
      </c>
      <c r="N42" s="3">
        <f t="shared" si="1"/>
        <v>40.573152337858218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611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450</v>
      </c>
      <c r="I43">
        <f>SUMIF(DATA!$A:$A,PPL!$A43,DATA!G:G)</f>
        <v>76</v>
      </c>
      <c r="J43">
        <f>SUMIF(DATA!$A:$A,PPL!$A43,DATA!H:H)</f>
        <v>0</v>
      </c>
      <c r="K43">
        <f>SUMIF(DATA!$A:$A,PPL!$A43,DATA!I:I)</f>
        <v>42</v>
      </c>
      <c r="L43">
        <f>SUMIF(DATA!$A:$A,PPL!$A43,DATA!J:J)</f>
        <v>0</v>
      </c>
      <c r="M43">
        <f t="shared" si="0"/>
        <v>137</v>
      </c>
      <c r="N43" s="3">
        <f t="shared" si="1"/>
        <v>22.422258592471358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114</v>
      </c>
      <c r="G44">
        <f>SUMIF(DATA!$A:$A,PPL!$A44,DATA!E:E)</f>
        <v>4</v>
      </c>
      <c r="H44">
        <f>SUMIF(DATA!$A:$A,PPL!$A44,DATA!F:F)</f>
        <v>362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187</v>
      </c>
      <c r="L44">
        <f>SUMIF(DATA!$A:$A,PPL!$A44,DATA!J:J)</f>
        <v>1</v>
      </c>
      <c r="M44">
        <f t="shared" si="0"/>
        <v>318</v>
      </c>
      <c r="N44" s="3">
        <f t="shared" si="1"/>
        <v>46.491228070175438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741</v>
      </c>
      <c r="F45">
        <f>SUMIF(DATA!$A:$A,PPL!$A45,DATA!D:D)</f>
        <v>85</v>
      </c>
      <c r="G45">
        <f>SUMIF(DATA!$A:$A,PPL!$A45,DATA!E:E)</f>
        <v>29</v>
      </c>
      <c r="H45">
        <f>SUMIF(DATA!$A:$A,PPL!$A45,DATA!F:F)</f>
        <v>459</v>
      </c>
      <c r="I45">
        <f>SUMIF(DATA!$A:$A,PPL!$A45,DATA!G:G)</f>
        <v>49</v>
      </c>
      <c r="J45">
        <f>SUMIF(DATA!$A:$A,PPL!$A45,DATA!H:H)</f>
        <v>0</v>
      </c>
      <c r="K45">
        <f>SUMIF(DATA!$A:$A,PPL!$A45,DATA!I:I)</f>
        <v>119</v>
      </c>
      <c r="L45">
        <f>SUMIF(DATA!$A:$A,PPL!$A45,DATA!J:J)</f>
        <v>0</v>
      </c>
      <c r="M45">
        <f t="shared" si="0"/>
        <v>253</v>
      </c>
      <c r="N45" s="3">
        <f t="shared" si="1"/>
        <v>34.143049932523617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165</v>
      </c>
      <c r="G46">
        <f>SUMIF(DATA!$A:$A,PPL!$A46,DATA!E:E)</f>
        <v>27</v>
      </c>
      <c r="H46">
        <f>SUMIF(DATA!$A:$A,PPL!$A46,DATA!F:F)</f>
        <v>455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11</v>
      </c>
      <c r="L46">
        <f>SUMIF(DATA!$A:$A,PPL!$A46,DATA!J:J)</f>
        <v>0</v>
      </c>
      <c r="M46">
        <f t="shared" si="0"/>
        <v>176</v>
      </c>
      <c r="N46" s="3">
        <f t="shared" si="1"/>
        <v>26.747720364741639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663</v>
      </c>
      <c r="F47">
        <f>SUMIF(DATA!$A:$A,PPL!$A47,DATA!D:D)</f>
        <v>107</v>
      </c>
      <c r="G47">
        <f>SUMIF(DATA!$A:$A,PPL!$A47,DATA!E:E)</f>
        <v>37</v>
      </c>
      <c r="H47">
        <f>SUMIF(DATA!$A:$A,PPL!$A47,DATA!F:F)</f>
        <v>384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133</v>
      </c>
      <c r="L47">
        <f>SUMIF(DATA!$A:$A,PPL!$A47,DATA!J:J)</f>
        <v>0</v>
      </c>
      <c r="M47">
        <f t="shared" si="0"/>
        <v>242</v>
      </c>
      <c r="N47" s="3">
        <f t="shared" si="1"/>
        <v>36.50075414781297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489</v>
      </c>
      <c r="F48">
        <f>SUMIF(DATA!$A:$A,PPL!$A48,DATA!D:D)</f>
        <v>191</v>
      </c>
      <c r="G48">
        <f>SUMIF(DATA!$A:$A,PPL!$A48,DATA!E:E)</f>
        <v>6</v>
      </c>
      <c r="H48">
        <f>SUMIF(DATA!$A:$A,PPL!$A48,DATA!F:F)</f>
        <v>245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47</v>
      </c>
      <c r="L48">
        <f>SUMIF(DATA!$A:$A,PPL!$A48,DATA!J:J)</f>
        <v>0</v>
      </c>
      <c r="M48">
        <f t="shared" si="0"/>
        <v>238</v>
      </c>
      <c r="N48" s="3">
        <f t="shared" si="1"/>
        <v>48.670756646216766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521</v>
      </c>
      <c r="F49">
        <f>SUMIF(DATA!$A:$A,PPL!$A49,DATA!D:D)</f>
        <v>135</v>
      </c>
      <c r="G49">
        <f>SUMIF(DATA!$A:$A,PPL!$A49,DATA!E:E)</f>
        <v>11</v>
      </c>
      <c r="H49">
        <f>SUMIF(DATA!$A:$A,PPL!$A49,DATA!F:F)</f>
        <v>256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117</v>
      </c>
      <c r="L49">
        <f>SUMIF(DATA!$A:$A,PPL!$A49,DATA!J:J)</f>
        <v>0</v>
      </c>
      <c r="M49">
        <f t="shared" si="0"/>
        <v>254</v>
      </c>
      <c r="N49" s="3">
        <f t="shared" si="1"/>
        <v>48.752399232245679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267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263</v>
      </c>
      <c r="G51">
        <f>SUMIF(DATA!$A:$A,PPL!$A51,DATA!E:E)</f>
        <v>11</v>
      </c>
      <c r="H51">
        <f>SUMIF(DATA!$A:$A,PPL!$A51,DATA!F:F)</f>
        <v>362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</v>
      </c>
      <c r="L51">
        <f>SUMIF(DATA!$A:$A,PPL!$A51,DATA!J:J)</f>
        <v>0</v>
      </c>
      <c r="M51">
        <f t="shared" si="0"/>
        <v>264</v>
      </c>
      <c r="N51" s="3">
        <f t="shared" si="1"/>
        <v>41.444270015698585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213</v>
      </c>
      <c r="G52">
        <f>SUMIF(DATA!$A:$A,PPL!$A52,DATA!E:E)</f>
        <v>1</v>
      </c>
      <c r="H52">
        <f>SUMIF(DATA!$A:$A,PPL!$A52,DATA!F:F)</f>
        <v>344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44</v>
      </c>
      <c r="L52">
        <f>SUMIF(DATA!$A:$A,PPL!$A52,DATA!J:J)</f>
        <v>0</v>
      </c>
      <c r="M52">
        <f t="shared" si="0"/>
        <v>257</v>
      </c>
      <c r="N52" s="3">
        <f t="shared" si="1"/>
        <v>42.691029900332225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222</v>
      </c>
      <c r="G53">
        <f>SUMIF(DATA!$A:$A,PPL!$A53,DATA!E:E)</f>
        <v>40</v>
      </c>
      <c r="H53">
        <f>SUMIF(DATA!$A:$A,PPL!$A53,DATA!F:F)</f>
        <v>415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</v>
      </c>
      <c r="L53">
        <f>SUMIF(DATA!$A:$A,PPL!$A53,DATA!J:J)</f>
        <v>0</v>
      </c>
      <c r="M53">
        <f t="shared" si="0"/>
        <v>224</v>
      </c>
      <c r="N53" s="3">
        <f t="shared" si="1"/>
        <v>32.989690721649481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668</v>
      </c>
      <c r="F54">
        <f>SUMIF(DATA!$A:$A,PPL!$A54,DATA!D:D)</f>
        <v>290</v>
      </c>
      <c r="G54">
        <f>SUMIF(DATA!$A:$A,PPL!$A54,DATA!E:E)</f>
        <v>15</v>
      </c>
      <c r="H54">
        <f>SUMIF(DATA!$A:$A,PPL!$A54,DATA!F:F)</f>
        <v>363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0"/>
        <v>290</v>
      </c>
      <c r="N54" s="3">
        <f t="shared" si="1"/>
        <v>43.41317365269461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618</v>
      </c>
      <c r="F55">
        <f>SUMIF(DATA!$A:$A,PPL!$A55,DATA!D:D)</f>
        <v>245</v>
      </c>
      <c r="G55">
        <f>SUMIF(DATA!$A:$A,PPL!$A55,DATA!E:E)</f>
        <v>6</v>
      </c>
      <c r="H55">
        <f>SUMIF(DATA!$A:$A,PPL!$A55,DATA!F:F)</f>
        <v>367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245</v>
      </c>
      <c r="N55" s="3">
        <f t="shared" si="1"/>
        <v>39.644012944983821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664</v>
      </c>
      <c r="F56">
        <f>SUMIF(DATA!$A:$A,PPL!$A56,DATA!D:D)</f>
        <v>271</v>
      </c>
      <c r="G56">
        <f>SUMIF(DATA!$A:$A,PPL!$A56,DATA!E:E)</f>
        <v>22</v>
      </c>
      <c r="H56">
        <f>SUMIF(DATA!$A:$A,PPL!$A56,DATA!F:F)</f>
        <v>302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69</v>
      </c>
      <c r="L56">
        <f>SUMIF(DATA!$A:$A,PPL!$A56,DATA!J:J)</f>
        <v>0</v>
      </c>
      <c r="M56">
        <f t="shared" si="0"/>
        <v>340</v>
      </c>
      <c r="N56" s="3">
        <f t="shared" si="1"/>
        <v>51.204819277108435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246</v>
      </c>
      <c r="G57">
        <f>SUMIF(DATA!$A:$A,PPL!$A57,DATA!E:E)</f>
        <v>6</v>
      </c>
      <c r="H57">
        <f>SUMIF(DATA!$A:$A,PPL!$A57,DATA!F:F)</f>
        <v>362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696</v>
      </c>
      <c r="F58">
        <f>SUMIF(DATA!$A:$A,PPL!$A58,DATA!D:D)</f>
        <v>271</v>
      </c>
      <c r="G58">
        <f>SUMIF(DATA!$A:$A,PPL!$A58,DATA!E:E)</f>
        <v>5</v>
      </c>
      <c r="H58">
        <f>SUMIF(DATA!$A:$A,PPL!$A58,DATA!F:F)</f>
        <v>420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271</v>
      </c>
      <c r="N58" s="3">
        <f t="shared" si="1"/>
        <v>38.936781609195407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609</v>
      </c>
      <c r="F59">
        <f>SUMIF(DATA!$A:$A,PPL!$A59,DATA!D:D)</f>
        <v>138</v>
      </c>
      <c r="G59">
        <f>SUMIF(DATA!$A:$A,PPL!$A59,DATA!E:E)</f>
        <v>46</v>
      </c>
      <c r="H59">
        <f>SUMIF(DATA!$A:$A,PPL!$A59,DATA!F:F)</f>
        <v>412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8</v>
      </c>
      <c r="L59">
        <f>SUMIF(DATA!$A:$A,PPL!$A59,DATA!J:J)</f>
        <v>0</v>
      </c>
      <c r="M59">
        <f t="shared" si="0"/>
        <v>151</v>
      </c>
      <c r="N59" s="3">
        <f t="shared" si="1"/>
        <v>24.794745484400657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646</v>
      </c>
      <c r="F60">
        <f>SUMIF(DATA!$A:$A,PPL!$A60,DATA!D:D)</f>
        <v>253</v>
      </c>
      <c r="G60">
        <f>SUMIF(DATA!$A:$A,PPL!$A60,DATA!E:E)</f>
        <v>19</v>
      </c>
      <c r="H60">
        <f>SUMIF(DATA!$A:$A,PPL!$A60,DATA!F:F)</f>
        <v>313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58</v>
      </c>
      <c r="L60">
        <f>SUMIF(DATA!$A:$A,PPL!$A60,DATA!J:J)</f>
        <v>0</v>
      </c>
      <c r="M60">
        <f t="shared" si="0"/>
        <v>314</v>
      </c>
      <c r="N60" s="3">
        <f t="shared" si="1"/>
        <v>48.606811145510839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632</v>
      </c>
      <c r="F61">
        <f>SUMIF(DATA!$A:$A,PPL!$A61,DATA!D:D)</f>
        <v>160</v>
      </c>
      <c r="G61">
        <f>SUMIF(DATA!$A:$A,PPL!$A61,DATA!E:E)</f>
        <v>17</v>
      </c>
      <c r="H61">
        <f>SUMIF(DATA!$A:$A,PPL!$A61,DATA!F:F)</f>
        <v>399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56</v>
      </c>
      <c r="L61">
        <f>SUMIF(DATA!$A:$A,PPL!$A61,DATA!J:J)</f>
        <v>0</v>
      </c>
      <c r="M61">
        <f t="shared" si="0"/>
        <v>216</v>
      </c>
      <c r="N61" s="3">
        <f t="shared" si="1"/>
        <v>34.177215189873415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646</v>
      </c>
      <c r="F62">
        <f>SUMIF(DATA!$A:$A,PPL!$A62,DATA!D:D)</f>
        <v>112</v>
      </c>
      <c r="G62">
        <f>SUMIF(DATA!$A:$A,PPL!$A62,DATA!E:E)</f>
        <v>31</v>
      </c>
      <c r="H62">
        <f>SUMIF(DATA!$A:$A,PPL!$A62,DATA!F:F)</f>
        <v>381</v>
      </c>
      <c r="I62">
        <f>SUMIF(DATA!$A:$A,PPL!$A62,DATA!G:G)</f>
        <v>35</v>
      </c>
      <c r="J62">
        <f>SUMIF(DATA!$A:$A,PPL!$A62,DATA!H:H)</f>
        <v>1</v>
      </c>
      <c r="K62">
        <f>SUMIF(DATA!$A:$A,PPL!$A62,DATA!I:I)</f>
        <v>86</v>
      </c>
      <c r="L62">
        <f>SUMIF(DATA!$A:$A,PPL!$A62,DATA!J:J)</f>
        <v>0</v>
      </c>
      <c r="M62">
        <f t="shared" si="0"/>
        <v>234</v>
      </c>
      <c r="N62" s="3">
        <f t="shared" si="1"/>
        <v>36.222910216718269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635</v>
      </c>
      <c r="F63">
        <f>SUMIF(DATA!$A:$A,PPL!$A63,DATA!D:D)</f>
        <v>270</v>
      </c>
      <c r="G63">
        <f>SUMIF(DATA!$A:$A,PPL!$A63,DATA!E:E)</f>
        <v>28</v>
      </c>
      <c r="H63">
        <f>SUMIF(DATA!$A:$A,PPL!$A63,DATA!F:F)</f>
        <v>332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0</v>
      </c>
      <c r="L63">
        <f>SUMIF(DATA!$A:$A,PPL!$A63,DATA!J:J)</f>
        <v>0</v>
      </c>
      <c r="M63">
        <f t="shared" si="0"/>
        <v>275</v>
      </c>
      <c r="N63" s="3">
        <f t="shared" si="1"/>
        <v>43.30708661417323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699</v>
      </c>
      <c r="F64">
        <f>SUMIF(DATA!$A:$A,PPL!$A64,DATA!D:D)</f>
        <v>121</v>
      </c>
      <c r="G64">
        <f>SUMIF(DATA!$A:$A,PPL!$A64,DATA!E:E)</f>
        <v>27</v>
      </c>
      <c r="H64">
        <f>SUMIF(DATA!$A:$A,PPL!$A64,DATA!F:F)</f>
        <v>428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122</v>
      </c>
      <c r="L64">
        <f>SUMIF(DATA!$A:$A,PPL!$A64,DATA!J:J)</f>
        <v>0</v>
      </c>
      <c r="M64">
        <f t="shared" si="0"/>
        <v>244</v>
      </c>
      <c r="N64" s="3">
        <f t="shared" si="1"/>
        <v>34.907010014306152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125</v>
      </c>
      <c r="G65">
        <f>SUMIF(DATA!$A:$A,PPL!$A65,DATA!E:E)</f>
        <v>31</v>
      </c>
      <c r="H65">
        <f>SUMIF(DATA!$A:$A,PPL!$A65,DATA!F:F)</f>
        <v>416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125</v>
      </c>
      <c r="L65">
        <f>SUMIF(DATA!$A:$A,PPL!$A65,DATA!J:J)</f>
        <v>0</v>
      </c>
      <c r="M65">
        <f t="shared" si="0"/>
        <v>250</v>
      </c>
      <c r="N65" s="3">
        <f t="shared" si="1"/>
        <v>35.868005738880917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665</v>
      </c>
      <c r="F66">
        <f>SUMIF(DATA!$A:$A,PPL!$A66,DATA!D:D)</f>
        <v>62</v>
      </c>
      <c r="G66">
        <f>SUMIF(DATA!$A:$A,PPL!$A66,DATA!E:E)</f>
        <v>63</v>
      </c>
      <c r="H66">
        <f>SUMIF(DATA!$A:$A,PPL!$A66,DATA!F:F)</f>
        <v>423</v>
      </c>
      <c r="I66">
        <f>SUMIF(DATA!$A:$A,PPL!$A66,DATA!G:G)</f>
        <v>1</v>
      </c>
      <c r="J66">
        <f>SUMIF(DATA!$A:$A,PPL!$A66,DATA!H:H)</f>
        <v>1</v>
      </c>
      <c r="K66">
        <f>SUMIF(DATA!$A:$A,PPL!$A66,DATA!I:I)</f>
        <v>115</v>
      </c>
      <c r="L66">
        <f>SUMIF(DATA!$A:$A,PPL!$A66,DATA!J:J)</f>
        <v>0</v>
      </c>
      <c r="M66">
        <f t="shared" si="0"/>
        <v>179</v>
      </c>
      <c r="N66" s="3">
        <f t="shared" si="1"/>
        <v>26.917293233082706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705</v>
      </c>
      <c r="F67">
        <f>SUMIF(DATA!$A:$A,PPL!$A67,DATA!D:D)</f>
        <v>104</v>
      </c>
      <c r="G67">
        <f>SUMIF(DATA!$A:$A,PPL!$A67,DATA!E:E)</f>
        <v>83</v>
      </c>
      <c r="H67">
        <f>SUMIF(DATA!$A:$A,PPL!$A67,DATA!F:F)</f>
        <v>428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90</v>
      </c>
      <c r="L67">
        <f>SUMIF(DATA!$A:$A,PPL!$A67,DATA!J:J)</f>
        <v>0</v>
      </c>
      <c r="M67">
        <f t="shared" ref="M67:M130" si="2">F67+I67+J67+K67+L67</f>
        <v>194</v>
      </c>
      <c r="N67" s="3">
        <f t="shared" ref="N67:N130" si="3">(M67/E67)*100</f>
        <v>27.5177304964539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622</v>
      </c>
      <c r="F68">
        <f>SUMIF(DATA!$A:$A,PPL!$A68,DATA!D:D)</f>
        <v>84</v>
      </c>
      <c r="G68">
        <f>SUMIF(DATA!$A:$A,PPL!$A68,DATA!E:E)</f>
        <v>52</v>
      </c>
      <c r="H68">
        <f>SUMIF(DATA!$A:$A,PPL!$A68,DATA!F:F)</f>
        <v>373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197</v>
      </c>
      <c r="N68" s="3">
        <f t="shared" si="3"/>
        <v>31.672025723472668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163</v>
      </c>
      <c r="G69">
        <f>SUMIF(DATA!$A:$A,PPL!$A69,DATA!E:E)</f>
        <v>43</v>
      </c>
      <c r="H69">
        <f>SUMIF(DATA!$A:$A,PPL!$A69,DATA!F:F)</f>
        <v>418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</v>
      </c>
      <c r="L69">
        <f>SUMIF(DATA!$A:$A,PPL!$A69,DATA!J:J)</f>
        <v>0</v>
      </c>
      <c r="M69">
        <f t="shared" si="2"/>
        <v>166</v>
      </c>
      <c r="N69" s="3">
        <f t="shared" si="3"/>
        <v>26.475279106858054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192</v>
      </c>
      <c r="G70">
        <f>SUMIF(DATA!$A:$A,PPL!$A70,DATA!E:E)</f>
        <v>19</v>
      </c>
      <c r="H70">
        <f>SUMIF(DATA!$A:$A,PPL!$A70,DATA!F:F)</f>
        <v>276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0</v>
      </c>
      <c r="L70">
        <f>SUMIF(DATA!$A:$A,PPL!$A70,DATA!J:J)</f>
        <v>0</v>
      </c>
      <c r="M70">
        <f t="shared" si="2"/>
        <v>193</v>
      </c>
      <c r="N70" s="3">
        <f t="shared" si="3"/>
        <v>39.549180327868854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120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2"/>
        <v>125</v>
      </c>
      <c r="N71" s="3">
        <f t="shared" si="3"/>
        <v>26.881720430107524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492</v>
      </c>
      <c r="F72">
        <f>SUMIF(DATA!$A:$A,PPL!$A72,DATA!D:D)</f>
        <v>199</v>
      </c>
      <c r="G72">
        <f>SUMIF(DATA!$A:$A,PPL!$A72,DATA!E:E)</f>
        <v>8</v>
      </c>
      <c r="H72">
        <f>SUMIF(DATA!$A:$A,PPL!$A72,DATA!F:F)</f>
        <v>285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2"/>
        <v>199</v>
      </c>
      <c r="N72" s="3">
        <f t="shared" si="3"/>
        <v>40.447154471544714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177</v>
      </c>
      <c r="G73">
        <f>SUMIF(DATA!$A:$A,PPL!$A73,DATA!E:E)</f>
        <v>8</v>
      </c>
      <c r="H73">
        <f>SUMIF(DATA!$A:$A,PPL!$A73,DATA!F:F)</f>
        <v>257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2"/>
        <v>179</v>
      </c>
      <c r="N73" s="3">
        <f t="shared" si="3"/>
        <v>40.315315315315317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223</v>
      </c>
      <c r="G74">
        <f>SUMIF(DATA!$A:$A,PPL!$A74,DATA!E:E)</f>
        <v>5</v>
      </c>
      <c r="H74">
        <f>SUMIF(DATA!$A:$A,PPL!$A74,DATA!F:F)</f>
        <v>320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2"/>
        <v>223</v>
      </c>
      <c r="N74" s="3">
        <f t="shared" si="3"/>
        <v>40.693430656934304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200</v>
      </c>
      <c r="G75">
        <f>SUMIF(DATA!$A:$A,PPL!$A75,DATA!E:E)</f>
        <v>27</v>
      </c>
      <c r="H75">
        <f>SUMIF(DATA!$A:$A,PPL!$A75,DATA!F:F)</f>
        <v>271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200</v>
      </c>
      <c r="N75" s="3">
        <f t="shared" si="3"/>
        <v>40.160642570281126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489</v>
      </c>
      <c r="F76">
        <f>SUMIF(DATA!$A:$A,PPL!$A76,DATA!D:D)</f>
        <v>132</v>
      </c>
      <c r="G76">
        <f>SUMIF(DATA!$A:$A,PPL!$A76,DATA!E:E)</f>
        <v>22</v>
      </c>
      <c r="H76">
        <f>SUMIF(DATA!$A:$A,PPL!$A76,DATA!F:F)</f>
        <v>291</v>
      </c>
      <c r="I76">
        <f>SUMIF(DATA!$A:$A,PPL!$A76,DATA!G:G)</f>
        <v>43</v>
      </c>
      <c r="J76">
        <f>SUMIF(DATA!$A:$A,PPL!$A76,DATA!H:H)</f>
        <v>0</v>
      </c>
      <c r="K76">
        <f>SUMIF(DATA!$A:$A,PPL!$A76,DATA!I:I)</f>
        <v>1</v>
      </c>
      <c r="L76">
        <f>SUMIF(DATA!$A:$A,PPL!$A76,DATA!J:J)</f>
        <v>0</v>
      </c>
      <c r="M76">
        <f t="shared" si="2"/>
        <v>176</v>
      </c>
      <c r="N76" s="3">
        <f t="shared" si="3"/>
        <v>35.991820040899796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514</v>
      </c>
      <c r="F77">
        <f>SUMIF(DATA!$A:$A,PPL!$A77,DATA!D:D)</f>
        <v>194</v>
      </c>
      <c r="G77">
        <f>SUMIF(DATA!$A:$A,PPL!$A77,DATA!E:E)</f>
        <v>45</v>
      </c>
      <c r="H77">
        <f>SUMIF(DATA!$A:$A,PPL!$A77,DATA!F:F)</f>
        <v>264</v>
      </c>
      <c r="I77">
        <f>SUMIF(DATA!$A:$A,PPL!$A77,DATA!G:G)</f>
        <v>10</v>
      </c>
      <c r="J77">
        <f>SUMIF(DATA!$A:$A,PPL!$A77,DATA!H:H)</f>
        <v>1</v>
      </c>
      <c r="K77">
        <f>SUMIF(DATA!$A:$A,PPL!$A77,DATA!I:I)</f>
        <v>0</v>
      </c>
      <c r="L77">
        <f>SUMIF(DATA!$A:$A,PPL!$A77,DATA!J:J)</f>
        <v>0</v>
      </c>
      <c r="M77">
        <f t="shared" si="2"/>
        <v>205</v>
      </c>
      <c r="N77" s="3">
        <f t="shared" si="3"/>
        <v>39.883268482490273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457</v>
      </c>
      <c r="F78">
        <f>SUMIF(DATA!$A:$A,PPL!$A78,DATA!D:D)</f>
        <v>176</v>
      </c>
      <c r="G78">
        <f>SUMIF(DATA!$A:$A,PPL!$A78,DATA!E:E)</f>
        <v>40</v>
      </c>
      <c r="H78">
        <f>SUMIF(DATA!$A:$A,PPL!$A78,DATA!F:F)</f>
        <v>240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</v>
      </c>
      <c r="L78">
        <f>SUMIF(DATA!$A:$A,PPL!$A78,DATA!J:J)</f>
        <v>0</v>
      </c>
      <c r="M78">
        <f t="shared" si="2"/>
        <v>177</v>
      </c>
      <c r="N78" s="3">
        <f t="shared" si="3"/>
        <v>38.730853391684903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40</v>
      </c>
      <c r="G79">
        <f>SUMIF(DATA!$A:$A,PPL!$A79,DATA!E:E)</f>
        <v>24</v>
      </c>
      <c r="H79">
        <f>SUMIF(DATA!$A:$A,PPL!$A79,DATA!F:F)</f>
        <v>306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34</v>
      </c>
      <c r="L79">
        <f>SUMIF(DATA!$A:$A,PPL!$A79,DATA!J:J)</f>
        <v>0</v>
      </c>
      <c r="M79">
        <f t="shared" si="2"/>
        <v>92</v>
      </c>
      <c r="N79" s="3">
        <f t="shared" si="3"/>
        <v>21.800947867298579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27</v>
      </c>
      <c r="G80">
        <f>SUMIF(DATA!$A:$A,PPL!$A80,DATA!E:E)</f>
        <v>27</v>
      </c>
      <c r="H80">
        <f>SUMIF(DATA!$A:$A,PPL!$A80,DATA!F:F)</f>
        <v>347</v>
      </c>
      <c r="I80">
        <f>SUMIF(DATA!$A:$A,PPL!$A80,DATA!G:G)</f>
        <v>7</v>
      </c>
      <c r="J80">
        <f>SUMIF(DATA!$A:$A,PPL!$A80,DATA!H:H)</f>
        <v>1</v>
      </c>
      <c r="K80">
        <f>SUMIF(DATA!$A:$A,PPL!$A80,DATA!I:I)</f>
        <v>53</v>
      </c>
      <c r="L80">
        <f>SUMIF(DATA!$A:$A,PPL!$A80,DATA!J:J)</f>
        <v>0</v>
      </c>
      <c r="M80">
        <f t="shared" si="2"/>
        <v>88</v>
      </c>
      <c r="N80" s="3">
        <f t="shared" si="3"/>
        <v>19.047619047619047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148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30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88</v>
      </c>
      <c r="G82">
        <f>SUMIF(DATA!$A:$A,PPL!$A82,DATA!E:E)</f>
        <v>5</v>
      </c>
      <c r="H82">
        <f>SUMIF(DATA!$A:$A,PPL!$A82,DATA!F:F)</f>
        <v>269</v>
      </c>
      <c r="I82">
        <f>SUMIF(DATA!$A:$A,PPL!$A82,DATA!G:G)</f>
        <v>2</v>
      </c>
      <c r="J82">
        <f>SUMIF(DATA!$A:$A,PPL!$A82,DATA!H:H)</f>
        <v>0</v>
      </c>
      <c r="K82">
        <f>SUMIF(DATA!$A:$A,PPL!$A82,DATA!I:I)</f>
        <v>64</v>
      </c>
      <c r="L82">
        <f>SUMIF(DATA!$A:$A,PPL!$A82,DATA!J:J)</f>
        <v>0</v>
      </c>
      <c r="M82">
        <f t="shared" si="2"/>
        <v>154</v>
      </c>
      <c r="N82" s="3">
        <f t="shared" si="3"/>
        <v>35.981308411214954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131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429</v>
      </c>
      <c r="F84">
        <f>SUMIF(DATA!$A:$A,PPL!$A84,DATA!D:D)</f>
        <v>62</v>
      </c>
      <c r="G84">
        <f>SUMIF(DATA!$A:$A,PPL!$A84,DATA!E:E)</f>
        <v>5</v>
      </c>
      <c r="H84">
        <f>SUMIF(DATA!$A:$A,PPL!$A84,DATA!F:F)</f>
        <v>252</v>
      </c>
      <c r="I84">
        <f>SUMIF(DATA!$A:$A,PPL!$A84,DATA!G:G)</f>
        <v>6</v>
      </c>
      <c r="J84">
        <f>SUMIF(DATA!$A:$A,PPL!$A84,DATA!H:H)</f>
        <v>0</v>
      </c>
      <c r="K84">
        <f>SUMIF(DATA!$A:$A,PPL!$A84,DATA!I:I)</f>
        <v>104</v>
      </c>
      <c r="L84">
        <f>SUMIF(DATA!$A:$A,PPL!$A84,DATA!J:J)</f>
        <v>0</v>
      </c>
      <c r="M84">
        <f t="shared" si="2"/>
        <v>172</v>
      </c>
      <c r="N84" s="3">
        <f t="shared" si="3"/>
        <v>40.093240093240098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89</v>
      </c>
      <c r="G85">
        <f>SUMIF(DATA!$A:$A,PPL!$A85,DATA!E:E)</f>
        <v>20</v>
      </c>
      <c r="H85">
        <f>SUMIF(DATA!$A:$A,PPL!$A85,DATA!F:F)</f>
        <v>237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83</v>
      </c>
      <c r="L85">
        <f>SUMIF(DATA!$A:$A,PPL!$A85,DATA!J:J)</f>
        <v>0</v>
      </c>
      <c r="M85">
        <f t="shared" si="2"/>
        <v>173</v>
      </c>
      <c r="N85" s="3">
        <f t="shared" si="3"/>
        <v>40.232558139534888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202</v>
      </c>
      <c r="G86">
        <f>SUMIF(DATA!$A:$A,PPL!$A86,DATA!E:E)</f>
        <v>14</v>
      </c>
      <c r="H86">
        <f>SUMIF(DATA!$A:$A,PPL!$A86,DATA!F:F)</f>
        <v>422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54</v>
      </c>
      <c r="L86">
        <f>SUMIF(DATA!$A:$A,PPL!$A86,DATA!J:J)</f>
        <v>0</v>
      </c>
      <c r="M86">
        <f t="shared" si="2"/>
        <v>256</v>
      </c>
      <c r="N86" s="3">
        <f t="shared" si="3"/>
        <v>36.994219653179186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272</v>
      </c>
      <c r="G87">
        <f>SUMIF(DATA!$A:$A,PPL!$A87,DATA!E:E)</f>
        <v>14</v>
      </c>
      <c r="H87">
        <f>SUMIF(DATA!$A:$A,PPL!$A87,DATA!F:F)</f>
        <v>366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272</v>
      </c>
      <c r="N87" s="3">
        <f t="shared" si="3"/>
        <v>41.717791411042946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604</v>
      </c>
      <c r="F88">
        <f>SUMIF(DATA!$A:$A,PPL!$A88,DATA!D:D)</f>
        <v>264</v>
      </c>
      <c r="G88">
        <f>SUMIF(DATA!$A:$A,PPL!$A88,DATA!E:E)</f>
        <v>9</v>
      </c>
      <c r="H88">
        <f>SUMIF(DATA!$A:$A,PPL!$A88,DATA!F:F)</f>
        <v>331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2"/>
        <v>264</v>
      </c>
      <c r="N88" s="3">
        <f t="shared" si="3"/>
        <v>43.70860927152318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613</v>
      </c>
      <c r="F89">
        <f>SUMIF(DATA!$A:$A,PPL!$A89,DATA!D:D)</f>
        <v>130</v>
      </c>
      <c r="G89">
        <f>SUMIF(DATA!$A:$A,PPL!$A89,DATA!E:E)</f>
        <v>15</v>
      </c>
      <c r="H89">
        <f>SUMIF(DATA!$A:$A,PPL!$A89,DATA!F:F)</f>
        <v>368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100</v>
      </c>
      <c r="L89">
        <f>SUMIF(DATA!$A:$A,PPL!$A89,DATA!J:J)</f>
        <v>0</v>
      </c>
      <c r="M89">
        <f t="shared" si="2"/>
        <v>230</v>
      </c>
      <c r="N89" s="3">
        <f t="shared" si="3"/>
        <v>37.520391517128878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136</v>
      </c>
      <c r="G90">
        <f>SUMIF(DATA!$A:$A,PPL!$A90,DATA!E:E)</f>
        <v>78</v>
      </c>
      <c r="H90">
        <f>SUMIF(DATA!$A:$A,PPL!$A90,DATA!F:F)</f>
        <v>343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11</v>
      </c>
      <c r="L90">
        <f>SUMIF(DATA!$A:$A,PPL!$A90,DATA!J:J)</f>
        <v>0</v>
      </c>
      <c r="M90">
        <f t="shared" si="2"/>
        <v>147</v>
      </c>
      <c r="N90" s="3">
        <f t="shared" si="3"/>
        <v>25.880281690140844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618</v>
      </c>
      <c r="F91">
        <f>SUMIF(DATA!$A:$A,PPL!$A91,DATA!D:D)</f>
        <v>263</v>
      </c>
      <c r="G91">
        <f>SUMIF(DATA!$A:$A,PPL!$A91,DATA!E:E)</f>
        <v>3</v>
      </c>
      <c r="H91">
        <f>SUMIF(DATA!$A:$A,PPL!$A91,DATA!F:F)</f>
        <v>335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15</v>
      </c>
      <c r="L91">
        <f>SUMIF(DATA!$A:$A,PPL!$A91,DATA!J:J)</f>
        <v>0</v>
      </c>
      <c r="M91">
        <f t="shared" si="2"/>
        <v>280</v>
      </c>
      <c r="N91" s="3">
        <f t="shared" si="3"/>
        <v>45.307443365695796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217</v>
      </c>
      <c r="G92">
        <f>SUMIF(DATA!$A:$A,PPL!$A92,DATA!E:E)</f>
        <v>72</v>
      </c>
      <c r="H92">
        <f>SUMIF(DATA!$A:$A,PPL!$A92,DATA!F:F)</f>
        <v>273</v>
      </c>
      <c r="I92">
        <f>SUMIF(DATA!$A:$A,PPL!$A92,DATA!G:G)</f>
        <v>9</v>
      </c>
      <c r="J92">
        <f>SUMIF(DATA!$A:$A,PPL!$A92,DATA!H:H)</f>
        <v>0</v>
      </c>
      <c r="K92">
        <f>SUMIF(DATA!$A:$A,PPL!$A92,DATA!I:I)</f>
        <v>57</v>
      </c>
      <c r="L92">
        <f>SUMIF(DATA!$A:$A,PPL!$A92,DATA!J:J)</f>
        <v>0</v>
      </c>
      <c r="M92">
        <f t="shared" si="2"/>
        <v>283</v>
      </c>
      <c r="N92" s="3">
        <f t="shared" si="3"/>
        <v>45.063694267515928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159</v>
      </c>
      <c r="G93">
        <f>SUMIF(DATA!$A:$A,PPL!$A93,DATA!E:E)</f>
        <v>25</v>
      </c>
      <c r="H93">
        <f>SUMIF(DATA!$A:$A,PPL!$A93,DATA!F:F)</f>
        <v>344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93</v>
      </c>
      <c r="L93">
        <f>SUMIF(DATA!$A:$A,PPL!$A93,DATA!J:J)</f>
        <v>0</v>
      </c>
      <c r="M93">
        <f t="shared" si="2"/>
        <v>254</v>
      </c>
      <c r="N93" s="3">
        <f t="shared" si="3"/>
        <v>40.770465489566618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190</v>
      </c>
      <c r="G94">
        <f>SUMIF(DATA!$A:$A,PPL!$A94,DATA!E:E)</f>
        <v>77</v>
      </c>
      <c r="H94">
        <f>SUMIF(DATA!$A:$A,PPL!$A94,DATA!F:F)</f>
        <v>343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1</v>
      </c>
      <c r="L94">
        <f>SUMIF(DATA!$A:$A,PPL!$A94,DATA!J:J)</f>
        <v>0</v>
      </c>
      <c r="M94">
        <f t="shared" si="2"/>
        <v>191</v>
      </c>
      <c r="N94" s="3">
        <f t="shared" si="3"/>
        <v>31.260229132569556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264</v>
      </c>
      <c r="G95">
        <f>SUMIF(DATA!$A:$A,PPL!$A95,DATA!E:E)</f>
        <v>21</v>
      </c>
      <c r="H95">
        <f>SUMIF(DATA!$A:$A,PPL!$A95,DATA!F:F)</f>
        <v>351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266</v>
      </c>
      <c r="N95" s="3">
        <f t="shared" si="3"/>
        <v>41.692789968652036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209</v>
      </c>
      <c r="G96">
        <f>SUMIF(DATA!$A:$A,PPL!$A96,DATA!E:E)</f>
        <v>0</v>
      </c>
      <c r="H96">
        <f>SUMIF(DATA!$A:$A,PPL!$A96,DATA!F:F)</f>
        <v>312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56</v>
      </c>
      <c r="L96">
        <f>SUMIF(DATA!$A:$A,PPL!$A96,DATA!J:J)</f>
        <v>0</v>
      </c>
      <c r="M96">
        <f t="shared" si="2"/>
        <v>265</v>
      </c>
      <c r="N96" s="3">
        <f t="shared" si="3"/>
        <v>45.927209705372618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220</v>
      </c>
      <c r="G98">
        <f>SUMIF(DATA!$A:$A,PPL!$A98,DATA!E:E)</f>
        <v>21</v>
      </c>
      <c r="H98">
        <f>SUMIF(DATA!$A:$A,PPL!$A98,DATA!F:F)</f>
        <v>355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25</v>
      </c>
      <c r="L98">
        <f>SUMIF(DATA!$A:$A,PPL!$A98,DATA!J:J)</f>
        <v>0</v>
      </c>
      <c r="M98">
        <f t="shared" si="2"/>
        <v>245</v>
      </c>
      <c r="N98" s="3">
        <f t="shared" si="3"/>
        <v>39.452495974235106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631</v>
      </c>
      <c r="F99">
        <f>SUMIF(DATA!$A:$A,PPL!$A99,DATA!D:D)</f>
        <v>207</v>
      </c>
      <c r="G99">
        <f>SUMIF(DATA!$A:$A,PPL!$A99,DATA!E:E)</f>
        <v>3</v>
      </c>
      <c r="H99">
        <f>SUMIF(DATA!$A:$A,PPL!$A99,DATA!F:F)</f>
        <v>285</v>
      </c>
      <c r="I99">
        <f>SUMIF(DATA!$A:$A,PPL!$A99,DATA!G:G)</f>
        <v>12</v>
      </c>
      <c r="J99">
        <f>SUMIF(DATA!$A:$A,PPL!$A99,DATA!H:H)</f>
        <v>0</v>
      </c>
      <c r="K99">
        <f>SUMIF(DATA!$A:$A,PPL!$A99,DATA!I:I)</f>
        <v>124</v>
      </c>
      <c r="L99">
        <f>SUMIF(DATA!$A:$A,PPL!$A99,DATA!J:J)</f>
        <v>0</v>
      </c>
      <c r="M99">
        <f t="shared" si="2"/>
        <v>343</v>
      </c>
      <c r="N99" s="3">
        <f t="shared" si="3"/>
        <v>54.358161648177493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671</v>
      </c>
      <c r="F100">
        <f>SUMIF(DATA!$A:$A,PPL!$A100,DATA!D:D)</f>
        <v>276</v>
      </c>
      <c r="G100">
        <f>SUMIF(DATA!$A:$A,PPL!$A100,DATA!E:E)</f>
        <v>22</v>
      </c>
      <c r="H100">
        <f>SUMIF(DATA!$A:$A,PPL!$A100,DATA!F:F)</f>
        <v>368</v>
      </c>
      <c r="I100">
        <f>SUMIF(DATA!$A:$A,PPL!$A100,DATA!G:G)</f>
        <v>1</v>
      </c>
      <c r="J100">
        <f>SUMIF(DATA!$A:$A,PPL!$A100,DATA!H:H)</f>
        <v>1</v>
      </c>
      <c r="K100">
        <f>SUMIF(DATA!$A:$A,PPL!$A100,DATA!I:I)</f>
        <v>3</v>
      </c>
      <c r="L100">
        <f>SUMIF(DATA!$A:$A,PPL!$A100,DATA!J:J)</f>
        <v>0</v>
      </c>
      <c r="M100">
        <f t="shared" si="2"/>
        <v>281</v>
      </c>
      <c r="N100" s="3">
        <f t="shared" si="3"/>
        <v>41.87779433681073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440</v>
      </c>
      <c r="F101">
        <f>SUMIF(DATA!$A:$A,PPL!$A101,DATA!D:D)</f>
        <v>206</v>
      </c>
      <c r="G101">
        <f>SUMIF(DATA!$A:$A,PPL!$A101,DATA!E:E)</f>
        <v>23</v>
      </c>
      <c r="H101">
        <f>SUMIF(DATA!$A:$A,PPL!$A101,DATA!F:F)</f>
        <v>198</v>
      </c>
      <c r="I101">
        <f>SUMIF(DATA!$A:$A,PPL!$A101,DATA!G:G)</f>
        <v>3</v>
      </c>
      <c r="J101">
        <f>SUMIF(DATA!$A:$A,PPL!$A101,DATA!H:H)</f>
        <v>0</v>
      </c>
      <c r="K101">
        <f>SUMIF(DATA!$A:$A,PPL!$A101,DATA!I:I)</f>
        <v>10</v>
      </c>
      <c r="L101">
        <f>SUMIF(DATA!$A:$A,PPL!$A101,DATA!J:J)</f>
        <v>0</v>
      </c>
      <c r="M101">
        <f t="shared" si="2"/>
        <v>219</v>
      </c>
      <c r="N101" s="3">
        <f t="shared" si="3"/>
        <v>49.772727272727273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564</v>
      </c>
      <c r="F102">
        <f>SUMIF(DATA!$A:$A,PPL!$A102,DATA!D:D)</f>
        <v>269</v>
      </c>
      <c r="G102">
        <f>SUMIF(DATA!$A:$A,PPL!$A102,DATA!E:E)</f>
        <v>1</v>
      </c>
      <c r="H102">
        <f>SUMIF(DATA!$A:$A,PPL!$A102,DATA!F:F)</f>
        <v>294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2"/>
        <v>269</v>
      </c>
      <c r="N102" s="3">
        <f t="shared" si="3"/>
        <v>47.695035460992905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136</v>
      </c>
      <c r="G103">
        <f>SUMIF(DATA!$A:$A,PPL!$A103,DATA!E:E)</f>
        <v>46</v>
      </c>
      <c r="H103">
        <f>SUMIF(DATA!$A:$A,PPL!$A103,DATA!F:F)</f>
        <v>363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75</v>
      </c>
      <c r="L103">
        <f>SUMIF(DATA!$A:$A,PPL!$A103,DATA!J:J)</f>
        <v>0</v>
      </c>
      <c r="M103">
        <f t="shared" si="2"/>
        <v>228</v>
      </c>
      <c r="N103" s="3">
        <f t="shared" si="3"/>
        <v>35.792778649921509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656</v>
      </c>
      <c r="F104">
        <f>SUMIF(DATA!$A:$A,PPL!$A104,DATA!D:D)</f>
        <v>104</v>
      </c>
      <c r="G104">
        <f>SUMIF(DATA!$A:$A,PPL!$A104,DATA!E:E)</f>
        <v>49</v>
      </c>
      <c r="H104">
        <f>SUMIF(DATA!$A:$A,PPL!$A104,DATA!F:F)</f>
        <v>380</v>
      </c>
      <c r="I104">
        <f>SUMIF(DATA!$A:$A,PPL!$A104,DATA!G:G)</f>
        <v>2</v>
      </c>
      <c r="J104">
        <f>SUMIF(DATA!$A:$A,PPL!$A104,DATA!H:H)</f>
        <v>0</v>
      </c>
      <c r="K104">
        <f>SUMIF(DATA!$A:$A,PPL!$A104,DATA!I:I)</f>
        <v>121</v>
      </c>
      <c r="L104">
        <f>SUMIF(DATA!$A:$A,PPL!$A104,DATA!J:J)</f>
        <v>0</v>
      </c>
      <c r="M104">
        <f t="shared" si="2"/>
        <v>227</v>
      </c>
      <c r="N104" s="3">
        <f t="shared" si="3"/>
        <v>34.603658536585364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653</v>
      </c>
      <c r="F105">
        <f>SUMIF(DATA!$A:$A,PPL!$A105,DATA!D:D)</f>
        <v>233</v>
      </c>
      <c r="G105">
        <f>SUMIF(DATA!$A:$A,PPL!$A105,DATA!E:E)</f>
        <v>38</v>
      </c>
      <c r="H105">
        <f>SUMIF(DATA!$A:$A,PPL!$A105,DATA!F:F)</f>
        <v>350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31</v>
      </c>
      <c r="L105">
        <f>SUMIF(DATA!$A:$A,PPL!$A105,DATA!J:J)</f>
        <v>0</v>
      </c>
      <c r="M105">
        <f t="shared" si="2"/>
        <v>265</v>
      </c>
      <c r="N105" s="3">
        <f t="shared" si="3"/>
        <v>40.581929555895861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639</v>
      </c>
      <c r="F106">
        <f>SUMIF(DATA!$A:$A,PPL!$A106,DATA!D:D)</f>
        <v>409</v>
      </c>
      <c r="G106">
        <f>SUMIF(DATA!$A:$A,PPL!$A106,DATA!E:E)</f>
        <v>23</v>
      </c>
      <c r="H106">
        <f>SUMIF(DATA!$A:$A,PPL!$A106,DATA!F:F)</f>
        <v>140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63</v>
      </c>
      <c r="L106">
        <f>SUMIF(DATA!$A:$A,PPL!$A106,DATA!J:J)</f>
        <v>0</v>
      </c>
      <c r="M106">
        <f t="shared" si="2"/>
        <v>476</v>
      </c>
      <c r="N106" s="3">
        <f t="shared" si="3"/>
        <v>74.491392801251948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622</v>
      </c>
      <c r="F107">
        <f>SUMIF(DATA!$A:$A,PPL!$A107,DATA!D:D)</f>
        <v>248</v>
      </c>
      <c r="G107">
        <f>SUMIF(DATA!$A:$A,PPL!$A107,DATA!E:E)</f>
        <v>23</v>
      </c>
      <c r="H107">
        <f>SUMIF(DATA!$A:$A,PPL!$A107,DATA!F:F)</f>
        <v>339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260</v>
      </c>
      <c r="N107" s="3">
        <f t="shared" si="3"/>
        <v>41.80064308681672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673</v>
      </c>
      <c r="F108">
        <f>SUMIF(DATA!$A:$A,PPL!$A108,DATA!D:D)</f>
        <v>275</v>
      </c>
      <c r="G108">
        <f>SUMIF(DATA!$A:$A,PPL!$A108,DATA!E:E)</f>
        <v>109</v>
      </c>
      <c r="H108">
        <f>SUMIF(DATA!$A:$A,PPL!$A108,DATA!F:F)</f>
        <v>289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275</v>
      </c>
      <c r="N108" s="3">
        <f t="shared" si="3"/>
        <v>40.861812778603266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646</v>
      </c>
      <c r="F109">
        <f>SUMIF(DATA!$A:$A,PPL!$A109,DATA!D:D)</f>
        <v>239</v>
      </c>
      <c r="G109">
        <f>SUMIF(DATA!$A:$A,PPL!$A109,DATA!E:E)</f>
        <v>27</v>
      </c>
      <c r="H109">
        <f>SUMIF(DATA!$A:$A,PPL!$A109,DATA!F:F)</f>
        <v>370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2"/>
        <v>249</v>
      </c>
      <c r="N109" s="3">
        <f t="shared" si="3"/>
        <v>38.544891640866872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663</v>
      </c>
      <c r="F110">
        <f>SUMIF(DATA!$A:$A,PPL!$A110,DATA!D:D)</f>
        <v>270</v>
      </c>
      <c r="G110">
        <f>SUMIF(DATA!$A:$A,PPL!$A110,DATA!E:E)</f>
        <v>10</v>
      </c>
      <c r="H110">
        <f>SUMIF(DATA!$A:$A,PPL!$A110,DATA!F:F)</f>
        <v>381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272</v>
      </c>
      <c r="N110" s="3">
        <f t="shared" si="3"/>
        <v>41.025641025641022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594</v>
      </c>
      <c r="F111">
        <f>SUMIF(DATA!$A:$A,PPL!$A111,DATA!D:D)</f>
        <v>287</v>
      </c>
      <c r="G111">
        <f>SUMIF(DATA!$A:$A,PPL!$A111,DATA!E:E)</f>
        <v>13</v>
      </c>
      <c r="H111">
        <f>SUMIF(DATA!$A:$A,PPL!$A111,DATA!F:F)</f>
        <v>290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291</v>
      </c>
      <c r="N111" s="3">
        <f t="shared" si="3"/>
        <v>48.98989898989899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623</v>
      </c>
      <c r="F112">
        <f>SUMIF(DATA!$A:$A,PPL!$A112,DATA!D:D)</f>
        <v>310</v>
      </c>
      <c r="G112">
        <f>SUMIF(DATA!$A:$A,PPL!$A112,DATA!E:E)</f>
        <v>2</v>
      </c>
      <c r="H112">
        <f>SUMIF(DATA!$A:$A,PPL!$A112,DATA!F:F)</f>
        <v>311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310</v>
      </c>
      <c r="N112" s="3">
        <f t="shared" si="3"/>
        <v>49.759229534510432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622</v>
      </c>
      <c r="F113">
        <f>SUMIF(DATA!$A:$A,PPL!$A113,DATA!D:D)</f>
        <v>226</v>
      </c>
      <c r="G113">
        <f>SUMIF(DATA!$A:$A,PPL!$A113,DATA!E:E)</f>
        <v>94</v>
      </c>
      <c r="H113">
        <f>SUMIF(DATA!$A:$A,PPL!$A113,DATA!F:F)</f>
        <v>300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228</v>
      </c>
      <c r="N113" s="3">
        <f t="shared" si="3"/>
        <v>36.655948553054664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573</v>
      </c>
      <c r="F114">
        <f>SUMIF(DATA!$A:$A,PPL!$A114,DATA!D:D)</f>
        <v>234</v>
      </c>
      <c r="G114">
        <f>SUMIF(DATA!$A:$A,PPL!$A114,DATA!E:E)</f>
        <v>10</v>
      </c>
      <c r="H114">
        <f>SUMIF(DATA!$A:$A,PPL!$A114,DATA!F:F)</f>
        <v>329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234</v>
      </c>
      <c r="N114" s="3">
        <f t="shared" si="3"/>
        <v>40.837696335078533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639</v>
      </c>
      <c r="F115">
        <f>SUMIF(DATA!$A:$A,PPL!$A115,DATA!D:D)</f>
        <v>248</v>
      </c>
      <c r="G115">
        <f>SUMIF(DATA!$A:$A,PPL!$A115,DATA!E:E)</f>
        <v>31</v>
      </c>
      <c r="H115">
        <f>SUMIF(DATA!$A:$A,PPL!$A115,DATA!F:F)</f>
        <v>352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8</v>
      </c>
      <c r="L115">
        <f>SUMIF(DATA!$A:$A,PPL!$A115,DATA!J:J)</f>
        <v>0</v>
      </c>
      <c r="M115">
        <f t="shared" si="2"/>
        <v>256</v>
      </c>
      <c r="N115" s="3">
        <f t="shared" si="3"/>
        <v>40.062597809076685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680</v>
      </c>
      <c r="F116">
        <f>SUMIF(DATA!$A:$A,PPL!$A116,DATA!D:D)</f>
        <v>266</v>
      </c>
      <c r="G116">
        <f>SUMIF(DATA!$A:$A,PPL!$A116,DATA!E:E)</f>
        <v>35</v>
      </c>
      <c r="H116">
        <f>SUMIF(DATA!$A:$A,PPL!$A116,DATA!F:F)</f>
        <v>378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267</v>
      </c>
      <c r="N116" s="3">
        <f t="shared" si="3"/>
        <v>39.264705882352942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655</v>
      </c>
      <c r="F117">
        <f>SUMIF(DATA!$A:$A,PPL!$A117,DATA!D:D)</f>
        <v>277</v>
      </c>
      <c r="G117">
        <f>SUMIF(DATA!$A:$A,PPL!$A117,DATA!E:E)</f>
        <v>24</v>
      </c>
      <c r="H117">
        <f>SUMIF(DATA!$A:$A,PPL!$A117,DATA!F:F)</f>
        <v>332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2"/>
        <v>299</v>
      </c>
      <c r="N117" s="3">
        <f t="shared" si="3"/>
        <v>45.648854961832065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621</v>
      </c>
      <c r="F118">
        <f>SUMIF(DATA!$A:$A,PPL!$A118,DATA!D:D)</f>
        <v>236</v>
      </c>
      <c r="G118">
        <f>SUMIF(DATA!$A:$A,PPL!$A118,DATA!E:E)</f>
        <v>24</v>
      </c>
      <c r="H118">
        <f>SUMIF(DATA!$A:$A,PPL!$A118,DATA!F:F)</f>
        <v>359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238</v>
      </c>
      <c r="N118" s="3">
        <f t="shared" si="3"/>
        <v>38.325281803542673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270</v>
      </c>
      <c r="G119">
        <f>SUMIF(DATA!$A:$A,PPL!$A119,DATA!E:E)</f>
        <v>9</v>
      </c>
      <c r="H119">
        <f>SUMIF(DATA!$A:$A,PPL!$A119,DATA!F:F)</f>
        <v>354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270</v>
      </c>
      <c r="N119" s="3">
        <f t="shared" si="3"/>
        <v>42.654028436018962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641</v>
      </c>
      <c r="F120">
        <f>SUMIF(DATA!$A:$A,PPL!$A120,DATA!D:D)</f>
        <v>328</v>
      </c>
      <c r="G120">
        <f>SUMIF(DATA!$A:$A,PPL!$A120,DATA!E:E)</f>
        <v>37</v>
      </c>
      <c r="H120">
        <f>SUMIF(DATA!$A:$A,PPL!$A120,DATA!F:F)</f>
        <v>261</v>
      </c>
      <c r="I120">
        <f>SUMIF(DATA!$A:$A,PPL!$A120,DATA!G:G)</f>
        <v>9</v>
      </c>
      <c r="J120">
        <f>SUMIF(DATA!$A:$A,PPL!$A120,DATA!H:H)</f>
        <v>0</v>
      </c>
      <c r="K120">
        <f>SUMIF(DATA!$A:$A,PPL!$A120,DATA!I:I)</f>
        <v>6</v>
      </c>
      <c r="L120">
        <f>SUMIF(DATA!$A:$A,PPL!$A120,DATA!J:J)</f>
        <v>0</v>
      </c>
      <c r="M120">
        <f t="shared" si="2"/>
        <v>343</v>
      </c>
      <c r="N120" s="3">
        <f t="shared" si="3"/>
        <v>53.510140405616227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671</v>
      </c>
      <c r="F121">
        <f>SUMIF(DATA!$A:$A,PPL!$A121,DATA!D:D)</f>
        <v>320</v>
      </c>
      <c r="G121">
        <f>SUMIF(DATA!$A:$A,PPL!$A121,DATA!E:E)</f>
        <v>27</v>
      </c>
      <c r="H121">
        <f>SUMIF(DATA!$A:$A,PPL!$A121,DATA!F:F)</f>
        <v>322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2"/>
        <v>322</v>
      </c>
      <c r="N121" s="3">
        <f t="shared" si="3"/>
        <v>47.988077496274215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651</v>
      </c>
      <c r="F122">
        <f>SUMIF(DATA!$A:$A,PPL!$A122,DATA!D:D)</f>
        <v>252</v>
      </c>
      <c r="G122">
        <f>SUMIF(DATA!$A:$A,PPL!$A122,DATA!E:E)</f>
        <v>16</v>
      </c>
      <c r="H122">
        <f>SUMIF(DATA!$A:$A,PPL!$A122,DATA!F:F)</f>
        <v>372</v>
      </c>
      <c r="I122">
        <f>SUMIF(DATA!$A:$A,PPL!$A122,DATA!G:G)</f>
        <v>4</v>
      </c>
      <c r="J122">
        <f>SUMIF(DATA!$A:$A,PPL!$A122,DATA!H:H)</f>
        <v>1</v>
      </c>
      <c r="K122">
        <f>SUMIF(DATA!$A:$A,PPL!$A122,DATA!I:I)</f>
        <v>6</v>
      </c>
      <c r="L122">
        <f>SUMIF(DATA!$A:$A,PPL!$A122,DATA!J:J)</f>
        <v>0</v>
      </c>
      <c r="M122">
        <f t="shared" si="2"/>
        <v>263</v>
      </c>
      <c r="N122" s="3">
        <f t="shared" si="3"/>
        <v>40.399385560675881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282</v>
      </c>
      <c r="G123">
        <f>SUMIF(DATA!$A:$A,PPL!$A123,DATA!E:E)</f>
        <v>11</v>
      </c>
      <c r="H123">
        <f>SUMIF(DATA!$A:$A,PPL!$A123,DATA!F:F)</f>
        <v>315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288</v>
      </c>
      <c r="N123" s="3">
        <f t="shared" si="3"/>
        <v>46.905537459283387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621</v>
      </c>
      <c r="F124">
        <f>SUMIF(DATA!$A:$A,PPL!$A124,DATA!D:D)</f>
        <v>132</v>
      </c>
      <c r="G124">
        <f>SUMIF(DATA!$A:$A,PPL!$A124,DATA!E:E)</f>
        <v>79</v>
      </c>
      <c r="H124">
        <f>SUMIF(DATA!$A:$A,PPL!$A124,DATA!F:F)</f>
        <v>392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18</v>
      </c>
      <c r="L124">
        <f>SUMIF(DATA!$A:$A,PPL!$A124,DATA!J:J)</f>
        <v>0</v>
      </c>
      <c r="M124">
        <f t="shared" si="2"/>
        <v>150</v>
      </c>
      <c r="N124" s="3">
        <f t="shared" si="3"/>
        <v>24.154589371980677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622</v>
      </c>
      <c r="F125">
        <f>SUMIF(DATA!$A:$A,PPL!$A125,DATA!D:D)</f>
        <v>230</v>
      </c>
      <c r="G125">
        <f>SUMIF(DATA!$A:$A,PPL!$A125,DATA!E:E)</f>
        <v>26</v>
      </c>
      <c r="H125">
        <f>SUMIF(DATA!$A:$A,PPL!$A125,DATA!F:F)</f>
        <v>357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239</v>
      </c>
      <c r="N125" s="3">
        <f t="shared" si="3"/>
        <v>38.424437299035368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621</v>
      </c>
      <c r="F126">
        <f>SUMIF(DATA!$A:$A,PPL!$A126,DATA!D:D)</f>
        <v>42</v>
      </c>
      <c r="G126">
        <f>SUMIF(DATA!$A:$A,PPL!$A126,DATA!E:E)</f>
        <v>38</v>
      </c>
      <c r="H126">
        <f>SUMIF(DATA!$A:$A,PPL!$A126,DATA!F:F)</f>
        <v>483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51</v>
      </c>
      <c r="L126">
        <f>SUMIF(DATA!$A:$A,PPL!$A126,DATA!J:J)</f>
        <v>0</v>
      </c>
      <c r="M126">
        <f t="shared" si="2"/>
        <v>100</v>
      </c>
      <c r="N126" s="3">
        <f t="shared" si="3"/>
        <v>16.103059581320451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640</v>
      </c>
      <c r="F127">
        <f>SUMIF(DATA!$A:$A,PPL!$A127,DATA!D:D)</f>
        <v>189</v>
      </c>
      <c r="G127">
        <f>SUMIF(DATA!$A:$A,PPL!$A127,DATA!E:E)</f>
        <v>2</v>
      </c>
      <c r="H127">
        <f>SUMIF(DATA!$A:$A,PPL!$A127,DATA!F:F)</f>
        <v>448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190</v>
      </c>
      <c r="N127" s="3">
        <f t="shared" si="3"/>
        <v>29.6875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241</v>
      </c>
      <c r="G128">
        <f>SUMIF(DATA!$A:$A,PPL!$A128,DATA!E:E)</f>
        <v>36</v>
      </c>
      <c r="H128">
        <f>SUMIF(DATA!$A:$A,PPL!$A128,DATA!F:F)</f>
        <v>348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242</v>
      </c>
      <c r="N128" s="3">
        <f t="shared" si="3"/>
        <v>38.658146964856229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624</v>
      </c>
      <c r="F129">
        <f>SUMIF(DATA!$A:$A,PPL!$A129,DATA!D:D)</f>
        <v>239</v>
      </c>
      <c r="G129">
        <f>SUMIF(DATA!$A:$A,PPL!$A129,DATA!E:E)</f>
        <v>2</v>
      </c>
      <c r="H129">
        <f>SUMIF(DATA!$A:$A,PPL!$A129,DATA!F:F)</f>
        <v>378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</v>
      </c>
      <c r="L129">
        <f>SUMIF(DATA!$A:$A,PPL!$A129,DATA!J:J)</f>
        <v>1</v>
      </c>
      <c r="M129">
        <f t="shared" si="2"/>
        <v>244</v>
      </c>
      <c r="N129" s="3">
        <f t="shared" si="3"/>
        <v>39.102564102564102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646</v>
      </c>
      <c r="F130">
        <f>SUMIF(DATA!$A:$A,PPL!$A130,DATA!D:D)</f>
        <v>251</v>
      </c>
      <c r="G130">
        <f>SUMIF(DATA!$A:$A,PPL!$A130,DATA!E:E)</f>
        <v>3</v>
      </c>
      <c r="H130">
        <f>SUMIF(DATA!$A:$A,PPL!$A130,DATA!F:F)</f>
        <v>391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1</v>
      </c>
      <c r="L130">
        <f>SUMIF(DATA!$A:$A,PPL!$A130,DATA!J:J)</f>
        <v>0</v>
      </c>
      <c r="M130">
        <f t="shared" si="2"/>
        <v>252</v>
      </c>
      <c r="N130" s="3">
        <f t="shared" si="3"/>
        <v>39.009287925696597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184</v>
      </c>
      <c r="G131">
        <f>SUMIF(DATA!$A:$A,PPL!$A131,DATA!E:E)</f>
        <v>23</v>
      </c>
      <c r="H131">
        <f>SUMIF(DATA!$A:$A,PPL!$A131,DATA!F:F)</f>
        <v>412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1</v>
      </c>
      <c r="L131">
        <f>SUMIF(DATA!$A:$A,PPL!$A131,DATA!J:J)</f>
        <v>0</v>
      </c>
      <c r="M131">
        <f t="shared" ref="M131:M139" si="4">F131+I131+J131+K131+L131</f>
        <v>185</v>
      </c>
      <c r="N131" s="3">
        <f t="shared" ref="N131:N139" si="5">(M131/E131)*100</f>
        <v>29.838709677419356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659</v>
      </c>
      <c r="F132">
        <f>SUMIF(DATA!$A:$A,PPL!$A132,DATA!D:D)</f>
        <v>164</v>
      </c>
      <c r="G132">
        <f>SUMIF(DATA!$A:$A,PPL!$A132,DATA!E:E)</f>
        <v>54</v>
      </c>
      <c r="H132">
        <f>SUMIF(DATA!$A:$A,PPL!$A132,DATA!F:F)</f>
        <v>387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52</v>
      </c>
      <c r="L132">
        <f>SUMIF(DATA!$A:$A,PPL!$A132,DATA!J:J)</f>
        <v>0</v>
      </c>
      <c r="M132">
        <f t="shared" si="4"/>
        <v>218</v>
      </c>
      <c r="N132" s="3">
        <f t="shared" si="5"/>
        <v>33.080424886191203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610</v>
      </c>
      <c r="F133">
        <f>SUMIF(DATA!$A:$A,PPL!$A133,DATA!D:D)</f>
        <v>103</v>
      </c>
      <c r="G133">
        <f>SUMIF(DATA!$A:$A,PPL!$A133,DATA!E:E)</f>
        <v>48</v>
      </c>
      <c r="H133">
        <f>SUMIF(DATA!$A:$A,PPL!$A133,DATA!F:F)</f>
        <v>455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107</v>
      </c>
      <c r="N133" s="3">
        <f t="shared" si="5"/>
        <v>17.540983606557379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528</v>
      </c>
      <c r="F134">
        <f>SUMIF(DATA!$A:$A,PPL!$A134,DATA!D:D)</f>
        <v>121</v>
      </c>
      <c r="G134">
        <f>SUMIF(DATA!$A:$A,PPL!$A134,DATA!E:E)</f>
        <v>40</v>
      </c>
      <c r="H134">
        <f>SUMIF(DATA!$A:$A,PPL!$A134,DATA!F:F)</f>
        <v>356</v>
      </c>
      <c r="I134">
        <f>SUMIF(DATA!$A:$A,PPL!$A134,DATA!G:G)</f>
        <v>5</v>
      </c>
      <c r="J134">
        <f>SUMIF(DATA!$A:$A,PPL!$A134,DATA!H:H)</f>
        <v>0</v>
      </c>
      <c r="K134">
        <f>SUMIF(DATA!$A:$A,PPL!$A134,DATA!I:I)</f>
        <v>6</v>
      </c>
      <c r="L134">
        <f>SUMIF(DATA!$A:$A,PPL!$A134,DATA!J:J)</f>
        <v>0</v>
      </c>
      <c r="M134">
        <f t="shared" si="4"/>
        <v>132</v>
      </c>
      <c r="N134" s="3">
        <f t="shared" si="5"/>
        <v>25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630</v>
      </c>
      <c r="F135">
        <f>SUMIF(DATA!$A:$A,PPL!$A135,DATA!D:D)</f>
        <v>101</v>
      </c>
      <c r="G135">
        <f>SUMIF(DATA!$A:$A,PPL!$A135,DATA!E:E)</f>
        <v>33</v>
      </c>
      <c r="H135">
        <f>SUMIF(DATA!$A:$A,PPL!$A135,DATA!F:F)</f>
        <v>321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175</v>
      </c>
      <c r="L135">
        <f>SUMIF(DATA!$A:$A,PPL!$A135,DATA!J:J)</f>
        <v>0</v>
      </c>
      <c r="M135">
        <f t="shared" si="4"/>
        <v>276</v>
      </c>
      <c r="N135" s="3">
        <f t="shared" si="5"/>
        <v>43.80952380952381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623</v>
      </c>
      <c r="F136">
        <f>SUMIF(DATA!$A:$A,PPL!$A136,DATA!D:D)</f>
        <v>210</v>
      </c>
      <c r="G136">
        <f>SUMIF(DATA!$A:$A,PPL!$A136,DATA!E:E)</f>
        <v>89</v>
      </c>
      <c r="H136">
        <f>SUMIF(DATA!$A:$A,PPL!$A136,DATA!F:F)</f>
        <v>238</v>
      </c>
      <c r="I136">
        <f>SUMIF(DATA!$A:$A,PPL!$A136,DATA!G:G)</f>
        <v>25</v>
      </c>
      <c r="J136">
        <f>SUMIF(DATA!$A:$A,PPL!$A136,DATA!H:H)</f>
        <v>0</v>
      </c>
      <c r="K136">
        <f>SUMIF(DATA!$A:$A,PPL!$A136,DATA!I:I)</f>
        <v>61</v>
      </c>
      <c r="L136">
        <f>SUMIF(DATA!$A:$A,PPL!$A136,DATA!J:J)</f>
        <v>0</v>
      </c>
      <c r="M136">
        <f t="shared" si="4"/>
        <v>296</v>
      </c>
      <c r="N136" s="3">
        <f t="shared" si="5"/>
        <v>47.512038523274484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711</v>
      </c>
      <c r="F137">
        <f>SUMIF(DATA!$A:$A,PPL!$A137,DATA!D:D)</f>
        <v>175</v>
      </c>
      <c r="G137">
        <f>SUMIF(DATA!$A:$A,PPL!$A137,DATA!E:E)</f>
        <v>20</v>
      </c>
      <c r="H137">
        <f>SUMIF(DATA!$A:$A,PPL!$A137,DATA!F:F)</f>
        <v>407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103</v>
      </c>
      <c r="L137">
        <f>SUMIF(DATA!$A:$A,PPL!$A137,DATA!J:J)</f>
        <v>0</v>
      </c>
      <c r="M137">
        <f t="shared" si="4"/>
        <v>284</v>
      </c>
      <c r="N137" s="3">
        <f t="shared" si="5"/>
        <v>39.943741209563996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731</v>
      </c>
      <c r="F138">
        <f>SUMIF(DATA!$A:$A,PPL!$A138,DATA!D:D)</f>
        <v>218</v>
      </c>
      <c r="G138">
        <f>SUMIF(DATA!$A:$A,PPL!$A138,DATA!E:E)</f>
        <v>21</v>
      </c>
      <c r="H138">
        <f>SUMIF(DATA!$A:$A,PPL!$A138,DATA!F:F)</f>
        <v>489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3</v>
      </c>
      <c r="L138">
        <f>SUMIF(DATA!$A:$A,PPL!$A138,DATA!J:J)</f>
        <v>0</v>
      </c>
      <c r="M138">
        <f t="shared" si="4"/>
        <v>221</v>
      </c>
      <c r="N138" s="3">
        <f t="shared" si="5"/>
        <v>30.232558139534881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819</v>
      </c>
      <c r="F139">
        <f>SUMIF(DATA!$A:$A,PPL!$A139,DATA!D:D)</f>
        <v>340</v>
      </c>
      <c r="G139">
        <f>SUMIF(DATA!$A:$A,PPL!$A139,DATA!E:E)</f>
        <v>27</v>
      </c>
      <c r="H139">
        <f>SUMIF(DATA!$A:$A,PPL!$A139,DATA!F:F)</f>
        <v>445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6</v>
      </c>
      <c r="L139">
        <f>SUMIF(DATA!$A:$A,PPL!$A139,DATA!J:J)</f>
        <v>0</v>
      </c>
      <c r="M139">
        <f t="shared" si="4"/>
        <v>347</v>
      </c>
      <c r="N139" s="3">
        <f t="shared" si="5"/>
        <v>42.368742368742367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J15" sqref="J1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4521</v>
      </c>
      <c r="D2">
        <f>SUMIF(PPL!$C:$C,PML!$A2,PPL!F:F)</f>
        <v>1995</v>
      </c>
      <c r="E2">
        <f>SUMIF(PPL!$C:$C,PML!$A2,PPL!G:G)</f>
        <v>30</v>
      </c>
      <c r="F2">
        <f>SUMIF(PPL!$C:$C,PML!$A2,PPL!H:H)</f>
        <v>2454</v>
      </c>
      <c r="G2">
        <f>SUMIF(PPL!$C:$C,PML!$A2,PPL!I:I)</f>
        <v>2</v>
      </c>
      <c r="H2">
        <f>SUMIF(PPL!$C:$C,PML!$A2,PPL!J:J)</f>
        <v>0</v>
      </c>
      <c r="I2">
        <f>SUMIF(PPL!$C:$C,PML!$A2,PPL!K:K)</f>
        <v>40</v>
      </c>
      <c r="J2">
        <f>SUMIF(PPL!$C:$C,PML!$A2,PPL!L:L)</f>
        <v>0</v>
      </c>
      <c r="K2">
        <f>D2</f>
        <v>1995</v>
      </c>
      <c r="L2" s="3">
        <f>(SUM(D2)/C2)*100</f>
        <v>44.127405441274057</v>
      </c>
    </row>
    <row r="3" spans="1:12" x14ac:dyDescent="0.25">
      <c r="A3" t="s">
        <v>163</v>
      </c>
      <c r="B3" t="s">
        <v>187</v>
      </c>
      <c r="C3">
        <f>SUMIF(PPL!$C:$C,PML!$A3,PPL!E:E)</f>
        <v>4457</v>
      </c>
      <c r="D3">
        <f>SUMIF(PPL!$C:$C,PML!$A3,PPL!F:F)</f>
        <v>2079</v>
      </c>
      <c r="E3">
        <f>SUMIF(PPL!$C:$C,PML!$A3,PPL!G:G)</f>
        <v>42</v>
      </c>
      <c r="F3">
        <f>SUMIF(PPL!$C:$C,PML!$A3,PPL!H:H)</f>
        <v>2329</v>
      </c>
      <c r="G3">
        <f>SUMIF(PPL!$C:$C,PML!$A3,PPL!I:I)</f>
        <v>0</v>
      </c>
      <c r="H3">
        <f>SUMIF(PPL!$C:$C,PML!$A3,PPL!J:J)</f>
        <v>1</v>
      </c>
      <c r="I3">
        <f>SUMIF(PPL!$C:$C,PML!$A3,PPL!K:K)</f>
        <v>6</v>
      </c>
      <c r="J3">
        <f>SUMIF(PPL!$C:$C,PML!$A3,PPL!L:L)</f>
        <v>0</v>
      </c>
      <c r="K3">
        <f t="shared" ref="K3:K20" si="0">D3</f>
        <v>2079</v>
      </c>
      <c r="L3" s="3">
        <f t="shared" ref="L3:L20" si="1">(SUM(D3)/C3)*100</f>
        <v>46.645725824545657</v>
      </c>
    </row>
    <row r="4" spans="1:12" x14ac:dyDescent="0.25">
      <c r="A4" t="s">
        <v>164</v>
      </c>
      <c r="B4" t="s">
        <v>190</v>
      </c>
      <c r="C4">
        <f>SUMIF(PPL!$C:$C,PML!$A4,PPL!E:E)</f>
        <v>4649</v>
      </c>
      <c r="D4">
        <f>SUMIF(PPL!$C:$C,PML!$A4,PPL!F:F)</f>
        <v>1945</v>
      </c>
      <c r="E4">
        <f>SUMIF(PPL!$C:$C,PML!$A4,PPL!G:G)</f>
        <v>108</v>
      </c>
      <c r="F4">
        <f>SUMIF(PPL!$C:$C,PML!$A4,PPL!H:H)</f>
        <v>2554</v>
      </c>
      <c r="G4">
        <f>SUMIF(PPL!$C:$C,PML!$A4,PPL!I:I)</f>
        <v>36</v>
      </c>
      <c r="H4">
        <f>SUMIF(PPL!$C:$C,PML!$A4,PPL!J:J)</f>
        <v>0</v>
      </c>
      <c r="I4">
        <f>SUMIF(PPL!$C:$C,PML!$A4,PPL!K:K)</f>
        <v>5</v>
      </c>
      <c r="J4">
        <f>SUMIF(PPL!$C:$C,PML!$A4,PPL!L:L)</f>
        <v>1</v>
      </c>
      <c r="K4">
        <f t="shared" si="0"/>
        <v>1945</v>
      </c>
      <c r="L4" s="3">
        <f t="shared" si="1"/>
        <v>41.836954183695418</v>
      </c>
    </row>
    <row r="5" spans="1:12" x14ac:dyDescent="0.25">
      <c r="A5" t="s">
        <v>165</v>
      </c>
      <c r="B5" t="s">
        <v>181</v>
      </c>
      <c r="C5">
        <f>SUMIF(PPL!$C:$C,PML!$A5,PPL!E:E)</f>
        <v>5534</v>
      </c>
      <c r="D5">
        <f>SUMIF(PPL!$C:$C,PML!$A5,PPL!F:F)</f>
        <v>1005</v>
      </c>
      <c r="E5">
        <f>SUMIF(PPL!$C:$C,PML!$A5,PPL!G:G)</f>
        <v>603</v>
      </c>
      <c r="F5">
        <f>SUMIF(PPL!$C:$C,PML!$A5,PPL!H:H)</f>
        <v>3301</v>
      </c>
      <c r="G5">
        <f>SUMIF(PPL!$C:$C,PML!$A5,PPL!I:I)</f>
        <v>155</v>
      </c>
      <c r="H5">
        <f>SUMIF(PPL!$C:$C,PML!$A5,PPL!J:J)</f>
        <v>4</v>
      </c>
      <c r="I5">
        <f>SUMIF(PPL!$C:$C,PML!$A5,PPL!K:K)</f>
        <v>466</v>
      </c>
      <c r="J5">
        <f>SUMIF(PPL!$C:$C,PML!$A5,PPL!L:L)</f>
        <v>0</v>
      </c>
      <c r="K5">
        <f t="shared" si="0"/>
        <v>1005</v>
      </c>
      <c r="L5" s="3">
        <f t="shared" si="1"/>
        <v>18.160462594868086</v>
      </c>
    </row>
    <row r="6" spans="1:12" x14ac:dyDescent="0.25">
      <c r="A6" t="s">
        <v>166</v>
      </c>
      <c r="B6" t="s">
        <v>189</v>
      </c>
      <c r="C6">
        <f>SUMIF(PPL!$C:$C,PML!$A6,PPL!E:E)</f>
        <v>4932</v>
      </c>
      <c r="D6">
        <f>SUMIF(PPL!$C:$C,PML!$A6,PPL!F:F)</f>
        <v>1909</v>
      </c>
      <c r="E6">
        <f>SUMIF(PPL!$C:$C,PML!$A6,PPL!G:G)</f>
        <v>166</v>
      </c>
      <c r="F6">
        <f>SUMIF(PPL!$C:$C,PML!$A6,PPL!H:H)</f>
        <v>2848</v>
      </c>
      <c r="G6">
        <f>SUMIF(PPL!$C:$C,PML!$A6,PPL!I:I)</f>
        <v>7</v>
      </c>
      <c r="H6">
        <f>SUMIF(PPL!$C:$C,PML!$A6,PPL!J:J)</f>
        <v>2</v>
      </c>
      <c r="I6">
        <f>SUMIF(PPL!$C:$C,PML!$A6,PPL!K:K)</f>
        <v>0</v>
      </c>
      <c r="J6">
        <f>SUMIF(PPL!$C:$C,PML!$A6,PPL!L:L)</f>
        <v>0</v>
      </c>
      <c r="K6">
        <f t="shared" si="0"/>
        <v>1909</v>
      </c>
      <c r="L6" s="3">
        <f t="shared" si="1"/>
        <v>38.706407137064069</v>
      </c>
    </row>
    <row r="7" spans="1:12" x14ac:dyDescent="0.25">
      <c r="A7" t="s">
        <v>167</v>
      </c>
      <c r="B7" t="s">
        <v>182</v>
      </c>
      <c r="C7">
        <f>SUMIF(PPL!$C:$C,PML!$A7,PPL!E:E)</f>
        <v>5375</v>
      </c>
      <c r="D7">
        <f>SUMIF(PPL!$C:$C,PML!$A7,PPL!F:F)</f>
        <v>1321</v>
      </c>
      <c r="E7">
        <f>SUMIF(PPL!$C:$C,PML!$A7,PPL!G:G)</f>
        <v>150</v>
      </c>
      <c r="F7">
        <f>SUMIF(PPL!$C:$C,PML!$A7,PPL!H:H)</f>
        <v>2984</v>
      </c>
      <c r="G7">
        <f>SUMIF(PPL!$C:$C,PML!$A7,PPL!I:I)</f>
        <v>54</v>
      </c>
      <c r="H7">
        <f>SUMIF(PPL!$C:$C,PML!$A7,PPL!J:J)</f>
        <v>0</v>
      </c>
      <c r="I7">
        <f>SUMIF(PPL!$C:$C,PML!$A7,PPL!K:K)</f>
        <v>865</v>
      </c>
      <c r="J7">
        <f>SUMIF(PPL!$C:$C,PML!$A7,PPL!L:L)</f>
        <v>1</v>
      </c>
      <c r="K7">
        <f t="shared" si="0"/>
        <v>1321</v>
      </c>
      <c r="L7" s="3">
        <f t="shared" si="1"/>
        <v>24.576744186046511</v>
      </c>
    </row>
    <row r="8" spans="1:12" x14ac:dyDescent="0.25">
      <c r="A8" t="s">
        <v>168</v>
      </c>
      <c r="B8" t="s">
        <v>197</v>
      </c>
      <c r="C8">
        <f>SUMIF(PPL!$C:$C,PML!$A8,PPL!E:E)</f>
        <v>5131</v>
      </c>
      <c r="D8">
        <f>SUMIF(PPL!$C:$C,PML!$A8,PPL!F:F)</f>
        <v>1556</v>
      </c>
      <c r="E8">
        <f>SUMIF(PPL!$C:$C,PML!$A8,PPL!G:G)</f>
        <v>202</v>
      </c>
      <c r="F8">
        <f>SUMIF(PPL!$C:$C,PML!$A8,PPL!H:H)</f>
        <v>3171</v>
      </c>
      <c r="G8">
        <f>SUMIF(PPL!$C:$C,PML!$A8,PPL!I:I)</f>
        <v>5</v>
      </c>
      <c r="H8">
        <f>SUMIF(PPL!$C:$C,PML!$A8,PPL!J:J)</f>
        <v>0</v>
      </c>
      <c r="I8">
        <f>SUMIF(PPL!$C:$C,PML!$A8,PPL!K:K)</f>
        <v>197</v>
      </c>
      <c r="J8">
        <f>SUMIF(PPL!$C:$C,PML!$A8,PPL!L:L)</f>
        <v>0</v>
      </c>
      <c r="K8">
        <f t="shared" si="0"/>
        <v>1556</v>
      </c>
      <c r="L8" s="3">
        <f t="shared" si="1"/>
        <v>30.325472617423504</v>
      </c>
    </row>
    <row r="9" spans="1:12" x14ac:dyDescent="0.25">
      <c r="A9" t="s">
        <v>169</v>
      </c>
      <c r="B9" t="s">
        <v>199</v>
      </c>
      <c r="C9">
        <f>SUMIF(PPL!$C:$C,PML!$A9,PPL!E:E)</f>
        <v>5156</v>
      </c>
      <c r="D9">
        <f>SUMIF(PPL!$C:$C,PML!$A9,PPL!F:F)</f>
        <v>995</v>
      </c>
      <c r="E9">
        <f>SUMIF(PPL!$C:$C,PML!$A9,PPL!G:G)</f>
        <v>332</v>
      </c>
      <c r="F9">
        <f>SUMIF(PPL!$C:$C,PML!$A9,PPL!H:H)</f>
        <v>3005</v>
      </c>
      <c r="G9">
        <f>SUMIF(PPL!$C:$C,PML!$A9,PPL!I:I)</f>
        <v>50</v>
      </c>
      <c r="H9">
        <f>SUMIF(PPL!$C:$C,PML!$A9,PPL!J:J)</f>
        <v>3</v>
      </c>
      <c r="I9">
        <f>SUMIF(PPL!$C:$C,PML!$A9,PPL!K:K)</f>
        <v>771</v>
      </c>
      <c r="J9">
        <f>SUMIF(PPL!$C:$C,PML!$A9,PPL!L:L)</f>
        <v>0</v>
      </c>
      <c r="K9">
        <f t="shared" si="0"/>
        <v>995</v>
      </c>
      <c r="L9" s="3">
        <f t="shared" si="1"/>
        <v>19.29790535298681</v>
      </c>
    </row>
    <row r="10" spans="1:12" x14ac:dyDescent="0.25">
      <c r="A10" t="s">
        <v>170</v>
      </c>
      <c r="B10" t="s">
        <v>196</v>
      </c>
      <c r="C10">
        <f>SUMIF(PPL!$C:$C,PML!$A10,PPL!E:E)</f>
        <v>5127</v>
      </c>
      <c r="D10">
        <f>SUMIF(PPL!$C:$C,PML!$A10,PPL!F:F)</f>
        <v>1985</v>
      </c>
      <c r="E10">
        <f>SUMIF(PPL!$C:$C,PML!$A10,PPL!G:G)</f>
        <v>100</v>
      </c>
      <c r="F10">
        <f>SUMIF(PPL!$C:$C,PML!$A10,PPL!H:H)</f>
        <v>2861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178</v>
      </c>
      <c r="J10">
        <f>SUMIF(PPL!$C:$C,PML!$A10,PPL!L:L)</f>
        <v>0</v>
      </c>
      <c r="K10">
        <f t="shared" si="0"/>
        <v>1985</v>
      </c>
      <c r="L10" s="3">
        <f t="shared" si="1"/>
        <v>38.71659840062415</v>
      </c>
    </row>
    <row r="11" spans="1:12" x14ac:dyDescent="0.25">
      <c r="A11" t="s">
        <v>171</v>
      </c>
      <c r="B11" t="s">
        <v>195</v>
      </c>
      <c r="C11">
        <f>SUMIF(PPL!$C:$C,PML!$A11,PPL!E:E)</f>
        <v>3938</v>
      </c>
      <c r="D11">
        <f>SUMIF(PPL!$C:$C,PML!$A11,PPL!F:F)</f>
        <v>1437</v>
      </c>
      <c r="E11">
        <f>SUMIF(PPL!$C:$C,PML!$A11,PPL!G:G)</f>
        <v>193</v>
      </c>
      <c r="F11">
        <f>SUMIF(PPL!$C:$C,PML!$A11,PPL!H:H)</f>
        <v>2245</v>
      </c>
      <c r="G11">
        <f>SUMIF(PPL!$C:$C,PML!$A11,PPL!I:I)</f>
        <v>60</v>
      </c>
      <c r="H11">
        <f>SUMIF(PPL!$C:$C,PML!$A11,PPL!J:J)</f>
        <v>2</v>
      </c>
      <c r="I11">
        <f>SUMIF(PPL!$C:$C,PML!$A11,PPL!K:K)</f>
        <v>1</v>
      </c>
      <c r="J11">
        <f>SUMIF(PPL!$C:$C,PML!$A11,PPL!L:L)</f>
        <v>0</v>
      </c>
      <c r="K11">
        <f t="shared" si="0"/>
        <v>1437</v>
      </c>
      <c r="L11" s="3">
        <f t="shared" si="1"/>
        <v>36.490604367699341</v>
      </c>
    </row>
    <row r="12" spans="1:12" x14ac:dyDescent="0.25">
      <c r="A12" t="s">
        <v>172</v>
      </c>
      <c r="B12" t="s">
        <v>193</v>
      </c>
      <c r="C12">
        <f>SUMIF(PPL!$C:$C,PML!$A12,PPL!E:E)</f>
        <v>3481</v>
      </c>
      <c r="D12">
        <f>SUMIF(PPL!$C:$C,PML!$A12,PPL!F:F)</f>
        <v>761</v>
      </c>
      <c r="E12">
        <f>SUMIF(PPL!$C:$C,PML!$A12,PPL!G:G)</f>
        <v>124</v>
      </c>
      <c r="F12">
        <f>SUMIF(PPL!$C:$C,PML!$A12,PPL!H:H)</f>
        <v>2153</v>
      </c>
      <c r="G12">
        <f>SUMIF(PPL!$C:$C,PML!$A12,PPL!I:I)</f>
        <v>36</v>
      </c>
      <c r="H12">
        <f>SUMIF(PPL!$C:$C,PML!$A12,PPL!J:J)</f>
        <v>1</v>
      </c>
      <c r="I12">
        <f>SUMIF(PPL!$C:$C,PML!$A12,PPL!K:K)</f>
        <v>406</v>
      </c>
      <c r="J12">
        <f>SUMIF(PPL!$C:$C,PML!$A12,PPL!L:L)</f>
        <v>0</v>
      </c>
      <c r="K12">
        <f t="shared" si="0"/>
        <v>761</v>
      </c>
      <c r="L12" s="3">
        <f t="shared" si="1"/>
        <v>21.861534041941972</v>
      </c>
    </row>
    <row r="13" spans="1:12" x14ac:dyDescent="0.25">
      <c r="A13" t="s">
        <v>173</v>
      </c>
      <c r="B13" t="s">
        <v>186</v>
      </c>
      <c r="C13">
        <f>SUMIF(PPL!$C:$C,PML!$A13,PPL!E:E)</f>
        <v>3862</v>
      </c>
      <c r="D13">
        <f>SUMIF(PPL!$C:$C,PML!$A13,PPL!F:F)</f>
        <v>1214</v>
      </c>
      <c r="E13">
        <f>SUMIF(PPL!$C:$C,PML!$A13,PPL!G:G)</f>
        <v>103</v>
      </c>
      <c r="F13">
        <f>SUMIF(PPL!$C:$C,PML!$A13,PPL!H:H)</f>
        <v>2141</v>
      </c>
      <c r="G13">
        <f>SUMIF(PPL!$C:$C,PML!$A13,PPL!I:I)</f>
        <v>31</v>
      </c>
      <c r="H13">
        <f>SUMIF(PPL!$C:$C,PML!$A13,PPL!J:J)</f>
        <v>2</v>
      </c>
      <c r="I13">
        <f>SUMIF(PPL!$C:$C,PML!$A13,PPL!K:K)</f>
        <v>371</v>
      </c>
      <c r="J13">
        <f>SUMIF(PPL!$C:$C,PML!$A13,PPL!L:L)</f>
        <v>0</v>
      </c>
      <c r="K13">
        <f t="shared" si="0"/>
        <v>1214</v>
      </c>
      <c r="L13" s="3">
        <f t="shared" si="1"/>
        <v>31.434489901605385</v>
      </c>
    </row>
    <row r="14" spans="1:12" x14ac:dyDescent="0.25">
      <c r="A14" t="s">
        <v>174</v>
      </c>
      <c r="B14" t="s">
        <v>185</v>
      </c>
      <c r="C14">
        <f>SUMIF(PPL!$C:$C,PML!$A14,PPL!E:E)</f>
        <v>3689</v>
      </c>
      <c r="D14">
        <f>SUMIF(PPL!$C:$C,PML!$A14,PPL!F:F)</f>
        <v>1235</v>
      </c>
      <c r="E14">
        <f>SUMIF(PPL!$C:$C,PML!$A14,PPL!G:G)</f>
        <v>240</v>
      </c>
      <c r="F14">
        <f>SUMIF(PPL!$C:$C,PML!$A14,PPL!H:H)</f>
        <v>2077</v>
      </c>
      <c r="G14">
        <f>SUMIF(PPL!$C:$C,PML!$A14,PPL!I:I)</f>
        <v>3</v>
      </c>
      <c r="H14">
        <f>SUMIF(PPL!$C:$C,PML!$A14,PPL!J:J)</f>
        <v>1</v>
      </c>
      <c r="I14">
        <f>SUMIF(PPL!$C:$C,PML!$A14,PPL!K:K)</f>
        <v>133</v>
      </c>
      <c r="J14">
        <f>SUMIF(PPL!$C:$C,PML!$A14,PPL!L:L)</f>
        <v>0</v>
      </c>
      <c r="K14">
        <f t="shared" si="0"/>
        <v>1235</v>
      </c>
      <c r="L14" s="3">
        <f t="shared" si="1"/>
        <v>33.477907291949037</v>
      </c>
    </row>
    <row r="15" spans="1:12" x14ac:dyDescent="0.25">
      <c r="A15" t="s">
        <v>175</v>
      </c>
      <c r="B15" t="s">
        <v>188</v>
      </c>
      <c r="C15">
        <f>SUMIF(PPL!$C:$C,PML!$A15,PPL!E:E)</f>
        <v>4111</v>
      </c>
      <c r="D15">
        <f>SUMIF(PPL!$C:$C,PML!$A15,PPL!F:F)</f>
        <v>1537</v>
      </c>
      <c r="E15">
        <f>SUMIF(PPL!$C:$C,PML!$A15,PPL!G:G)</f>
        <v>150</v>
      </c>
      <c r="F15">
        <f>SUMIF(PPL!$C:$C,PML!$A15,PPL!H:H)</f>
        <v>2167</v>
      </c>
      <c r="G15">
        <f>SUMIF(PPL!$C:$C,PML!$A15,PPL!I:I)</f>
        <v>15</v>
      </c>
      <c r="H15">
        <f>SUMIF(PPL!$C:$C,PML!$A15,PPL!J:J)</f>
        <v>0</v>
      </c>
      <c r="I15">
        <f>SUMIF(PPL!$C:$C,PML!$A15,PPL!K:K)</f>
        <v>241</v>
      </c>
      <c r="J15">
        <f>SUMIF(PPL!$C:$C,PML!$A15,PPL!L:L)</f>
        <v>0</v>
      </c>
      <c r="K15">
        <f t="shared" si="0"/>
        <v>1537</v>
      </c>
      <c r="L15" s="3">
        <f t="shared" si="1"/>
        <v>37.38749695937728</v>
      </c>
    </row>
    <row r="16" spans="1:12" x14ac:dyDescent="0.25">
      <c r="A16" t="s">
        <v>176</v>
      </c>
      <c r="B16" t="s">
        <v>194</v>
      </c>
      <c r="C16">
        <f>SUMIF(PPL!$C:$C,PML!$A16,PPL!E:E)</f>
        <v>4543</v>
      </c>
      <c r="D16">
        <f>SUMIF(PPL!$C:$C,PML!$A16,PPL!F:F)</f>
        <v>1944</v>
      </c>
      <c r="E16">
        <f>SUMIF(PPL!$C:$C,PML!$A16,PPL!G:G)</f>
        <v>276</v>
      </c>
      <c r="F16">
        <f>SUMIF(PPL!$C:$C,PML!$A16,PPL!H:H)</f>
        <v>2187</v>
      </c>
      <c r="G16">
        <f>SUMIF(PPL!$C:$C,PML!$A16,PPL!I:I)</f>
        <v>7</v>
      </c>
      <c r="H16">
        <f>SUMIF(PPL!$C:$C,PML!$A16,PPL!J:J)</f>
        <v>0</v>
      </c>
      <c r="I16">
        <f>SUMIF(PPL!$C:$C,PML!$A16,PPL!K:K)</f>
        <v>129</v>
      </c>
      <c r="J16">
        <f>SUMIF(PPL!$C:$C,PML!$A16,PPL!L:L)</f>
        <v>0</v>
      </c>
      <c r="K16">
        <f t="shared" si="0"/>
        <v>1944</v>
      </c>
      <c r="L16" s="3">
        <f t="shared" si="1"/>
        <v>42.791107197886859</v>
      </c>
    </row>
    <row r="17" spans="1:12" x14ac:dyDescent="0.25">
      <c r="A17" t="s">
        <v>177</v>
      </c>
      <c r="B17" t="s">
        <v>192</v>
      </c>
      <c r="C17">
        <f>SUMIF(PPL!$C:$C,PML!$A17,PPL!E:E)</f>
        <v>4466</v>
      </c>
      <c r="D17">
        <f>SUMIF(PPL!$C:$C,PML!$A17,PPL!F:F)</f>
        <v>1783</v>
      </c>
      <c r="E17">
        <f>SUMIF(PPL!$C:$C,PML!$A17,PPL!G:G)</f>
        <v>223</v>
      </c>
      <c r="F17">
        <f>SUMIF(PPL!$C:$C,PML!$A17,PPL!H:H)</f>
        <v>2389</v>
      </c>
      <c r="G17">
        <f>SUMIF(PPL!$C:$C,PML!$A17,PPL!I:I)</f>
        <v>27</v>
      </c>
      <c r="H17">
        <f>SUMIF(PPL!$C:$C,PML!$A17,PPL!J:J)</f>
        <v>4</v>
      </c>
      <c r="I17">
        <f>SUMIF(PPL!$C:$C,PML!$A17,PPL!K:K)</f>
        <v>40</v>
      </c>
      <c r="J17">
        <f>SUMIF(PPL!$C:$C,PML!$A17,PPL!L:L)</f>
        <v>0</v>
      </c>
      <c r="K17">
        <f t="shared" si="0"/>
        <v>1783</v>
      </c>
      <c r="L17" s="3">
        <f t="shared" si="1"/>
        <v>39.92386923421406</v>
      </c>
    </row>
    <row r="18" spans="1:12" x14ac:dyDescent="0.25">
      <c r="A18" t="s">
        <v>178</v>
      </c>
      <c r="B18" t="s">
        <v>191</v>
      </c>
      <c r="C18">
        <f>SUMIF(PPL!$C:$C,PML!$A18,PPL!E:E)</f>
        <v>4347</v>
      </c>
      <c r="D18">
        <f>SUMIF(PPL!$C:$C,PML!$A18,PPL!F:F)</f>
        <v>1845</v>
      </c>
      <c r="E18">
        <f>SUMIF(PPL!$C:$C,PML!$A18,PPL!G:G)</f>
        <v>169</v>
      </c>
      <c r="F18">
        <f>SUMIF(PPL!$C:$C,PML!$A18,PPL!H:H)</f>
        <v>2317</v>
      </c>
      <c r="G18">
        <f>SUMIF(PPL!$C:$C,PML!$A18,PPL!I:I)</f>
        <v>4</v>
      </c>
      <c r="H18">
        <f>SUMIF(PPL!$C:$C,PML!$A18,PPL!J:J)</f>
        <v>1</v>
      </c>
      <c r="I18">
        <f>SUMIF(PPL!$C:$C,PML!$A18,PPL!K:K)</f>
        <v>11</v>
      </c>
      <c r="J18">
        <f>SUMIF(PPL!$C:$C,PML!$A18,PPL!L:L)</f>
        <v>0</v>
      </c>
      <c r="K18">
        <f t="shared" si="0"/>
        <v>1845</v>
      </c>
      <c r="L18" s="3">
        <f t="shared" si="1"/>
        <v>42.443064182194618</v>
      </c>
    </row>
    <row r="19" spans="1:12" x14ac:dyDescent="0.25">
      <c r="A19" t="s">
        <v>179</v>
      </c>
      <c r="B19" t="s">
        <v>184</v>
      </c>
      <c r="C19">
        <f>SUMIF(PPL!$C:$C,PML!$A19,PPL!E:E)</f>
        <v>3772</v>
      </c>
      <c r="D19">
        <f>SUMIF(PPL!$C:$C,PML!$A19,PPL!F:F)</f>
        <v>813</v>
      </c>
      <c r="E19">
        <f>SUMIF(PPL!$C:$C,PML!$A19,PPL!G:G)</f>
        <v>274</v>
      </c>
      <c r="F19">
        <f>SUMIF(PPL!$C:$C,PML!$A19,PPL!H:H)</f>
        <v>2192</v>
      </c>
      <c r="G19">
        <f>SUMIF(PPL!$C:$C,PML!$A19,PPL!I:I)</f>
        <v>43</v>
      </c>
      <c r="H19">
        <f>SUMIF(PPL!$C:$C,PML!$A19,PPL!J:J)</f>
        <v>2</v>
      </c>
      <c r="I19">
        <f>SUMIF(PPL!$C:$C,PML!$A19,PPL!K:K)</f>
        <v>448</v>
      </c>
      <c r="J19">
        <f>SUMIF(PPL!$C:$C,PML!$A19,PPL!L:L)</f>
        <v>0</v>
      </c>
      <c r="K19">
        <f t="shared" si="0"/>
        <v>813</v>
      </c>
      <c r="L19" s="3">
        <f t="shared" si="1"/>
        <v>21.553552492046659</v>
      </c>
    </row>
    <row r="20" spans="1:12" x14ac:dyDescent="0.25">
      <c r="A20" t="s">
        <v>180</v>
      </c>
      <c r="B20" t="s">
        <v>183</v>
      </c>
      <c r="C20">
        <f>SUMIF(PPL!$C:$C,PML!$A20,PPL!E:E)</f>
        <v>5217</v>
      </c>
      <c r="D20">
        <f>SUMIF(PPL!$C:$C,PML!$A20,PPL!F:F)</f>
        <v>1707</v>
      </c>
      <c r="E20">
        <f>SUMIF(PPL!$C:$C,PML!$A20,PPL!G:G)</f>
        <v>158</v>
      </c>
      <c r="F20">
        <f>SUMIF(PPL!$C:$C,PML!$A20,PPL!H:H)</f>
        <v>3276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67</v>
      </c>
      <c r="J20">
        <f>SUMIF(PPL!$C:$C,PML!$A20,PPL!L:L)</f>
        <v>1</v>
      </c>
      <c r="K20">
        <f t="shared" si="0"/>
        <v>1707</v>
      </c>
      <c r="L20" s="3">
        <f t="shared" si="1"/>
        <v>32.719953996549741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50E6C-9ECB-47AA-AB6F-F0F6A46A6208}">
  <dimension ref="A1:M1058"/>
  <sheetViews>
    <sheetView topLeftCell="B1027" workbookViewId="0">
      <selection activeCell="M2" sqref="M2:M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401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t="s">
        <v>10</v>
      </c>
      <c r="B2">
        <v>7172010009002700</v>
      </c>
      <c r="C2">
        <v>104</v>
      </c>
      <c r="D2">
        <v>92</v>
      </c>
      <c r="E2">
        <v>4</v>
      </c>
      <c r="F2">
        <v>0</v>
      </c>
      <c r="G2">
        <v>5</v>
      </c>
      <c r="H2">
        <v>0</v>
      </c>
      <c r="I2">
        <v>0</v>
      </c>
      <c r="J2">
        <v>0</v>
      </c>
      <c r="K2">
        <v>3</v>
      </c>
      <c r="L2">
        <v>0</v>
      </c>
      <c r="M2">
        <f>region_summary__37[[#This Row],[APPROVED BY Pengawas]]+region_summary__37[[#This Row],[EDITED BY Admin Kabupaten]]</f>
        <v>92</v>
      </c>
    </row>
    <row r="3" spans="1:13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0</v>
      </c>
      <c r="G3">
        <v>2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region_summary__37[[#This Row],[APPROVED BY Pengawas]]+region_summary__37[[#This Row],[EDITED BY Admin Kabupaten]]</f>
        <v>98</v>
      </c>
    </row>
    <row r="4" spans="1:13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0</v>
      </c>
      <c r="G4">
        <v>7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region_summary__37[[#This Row],[APPROVED BY Pengawas]]+region_summary__37[[#This Row],[EDITED BY Admin Kabupaten]]</f>
        <v>86</v>
      </c>
    </row>
    <row r="5" spans="1:13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  <c r="L5">
        <v>0</v>
      </c>
      <c r="M5">
        <f>region_summary__37[[#This Row],[APPROVED BY Pengawas]]+region_summary__37[[#This Row],[EDITED BY Admin Kabupaten]]</f>
        <v>0</v>
      </c>
    </row>
    <row r="6" spans="1:13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region_summary__37[[#This Row],[APPROVED BY Pengawas]]+region_summary__37[[#This Row],[EDITED BY Admin Kabupaten]]</f>
        <v>0</v>
      </c>
    </row>
    <row r="7" spans="1:13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region_summary__37[[#This Row],[APPROVED BY Pengawas]]+region_summary__37[[#This Row],[EDITED BY Admin Kabupaten]]</f>
        <v>0</v>
      </c>
    </row>
    <row r="8" spans="1:13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region_summary__37[[#This Row],[APPROVED BY Pengawas]]+region_summary__37[[#This Row],[EDITED BY Admin Kabupaten]]</f>
        <v>0</v>
      </c>
    </row>
    <row r="9" spans="1:13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region_summary__37[[#This Row],[APPROVED BY Pengawas]]+region_summary__37[[#This Row],[EDITED BY Admin Kabupaten]]</f>
        <v>0</v>
      </c>
    </row>
    <row r="10" spans="1:13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region_summary__37[[#This Row],[APPROVED BY Pengawas]]+region_summary__37[[#This Row],[EDITED BY Admin Kabupaten]]</f>
        <v>0</v>
      </c>
    </row>
    <row r="11" spans="1:13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region_summary__37[[#This Row],[APPROVED BY Pengawas]]+region_summary__37[[#This Row],[EDITED BY Admin Kabupaten]]</f>
        <v>0</v>
      </c>
    </row>
    <row r="12" spans="1:13" x14ac:dyDescent="0.25">
      <c r="A12" t="s">
        <v>6</v>
      </c>
      <c r="B12">
        <v>7172010008000500</v>
      </c>
      <c r="C12">
        <v>84</v>
      </c>
      <c r="D12">
        <v>64</v>
      </c>
      <c r="E12">
        <v>14</v>
      </c>
      <c r="F12">
        <v>0</v>
      </c>
      <c r="G12">
        <v>6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region_summary__37[[#This Row],[APPROVED BY Pengawas]]+region_summary__37[[#This Row],[EDITED BY Admin Kabupaten]]</f>
        <v>64</v>
      </c>
    </row>
    <row r="13" spans="1:13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region_summary__37[[#This Row],[APPROVED BY Pengawas]]+region_summary__37[[#This Row],[EDITED BY Admin Kabupaten]]</f>
        <v>72</v>
      </c>
    </row>
    <row r="14" spans="1:13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region_summary__37[[#This Row],[APPROVED BY Pengawas]]+region_summary__37[[#This Row],[EDITED BY Admin Kabupaten]]</f>
        <v>71</v>
      </c>
    </row>
    <row r="15" spans="1:13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region_summary__37[[#This Row],[APPROVED BY Pengawas]]+region_summary__37[[#This Row],[EDITED BY Admin Kabupaten]]</f>
        <v>0</v>
      </c>
    </row>
    <row r="16" spans="1:13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region_summary__37[[#This Row],[APPROVED BY Pengawas]]+region_summary__37[[#This Row],[EDITED BY Admin Kabupaten]]</f>
        <v>43</v>
      </c>
    </row>
    <row r="17" spans="1:13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region_summary__37[[#This Row],[APPROVED BY Pengawas]]+region_summary__37[[#This Row],[EDITED BY Admin Kabupaten]]</f>
        <v>83</v>
      </c>
    </row>
    <row r="18" spans="1:13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region_summary__37[[#This Row],[APPROVED BY Pengawas]]+region_summary__37[[#This Row],[EDITED BY Admin Kabupaten]]</f>
        <v>64</v>
      </c>
    </row>
    <row r="19" spans="1:13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region_summary__37[[#This Row],[APPROVED BY Pengawas]]+region_summary__37[[#This Row],[EDITED BY Admin Kabupaten]]</f>
        <v>55</v>
      </c>
    </row>
    <row r="20" spans="1:13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region_summary__37[[#This Row],[APPROVED BY Pengawas]]+region_summary__37[[#This Row],[EDITED BY Admin Kabupaten]]</f>
        <v>0</v>
      </c>
    </row>
    <row r="21" spans="1:13" x14ac:dyDescent="0.25">
      <c r="A21" t="s">
        <v>13</v>
      </c>
      <c r="B21">
        <v>7172010010002000</v>
      </c>
      <c r="C21">
        <v>59</v>
      </c>
      <c r="D21">
        <v>0</v>
      </c>
      <c r="E21">
        <v>1</v>
      </c>
      <c r="F21">
        <v>0</v>
      </c>
      <c r="G21">
        <v>45</v>
      </c>
      <c r="H21">
        <v>0</v>
      </c>
      <c r="I21">
        <v>0</v>
      </c>
      <c r="J21">
        <v>0</v>
      </c>
      <c r="K21">
        <v>13</v>
      </c>
      <c r="L21">
        <v>0</v>
      </c>
      <c r="M21">
        <f>region_summary__37[[#This Row],[APPROVED BY Pengawas]]+region_summary__37[[#This Row],[EDITED BY Admin Kabupaten]]</f>
        <v>0</v>
      </c>
    </row>
    <row r="22" spans="1:13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region_summary__37[[#This Row],[APPROVED BY Pengawas]]+region_summary__37[[#This Row],[EDITED BY Admin Kabupaten]]</f>
        <v>42</v>
      </c>
    </row>
    <row r="23" spans="1:13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region_summary__37[[#This Row],[APPROVED BY Pengawas]]+region_summary__37[[#This Row],[EDITED BY Admin Kabupaten]]</f>
        <v>0</v>
      </c>
    </row>
    <row r="24" spans="1:13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region_summary__37[[#This Row],[APPROVED BY Pengawas]]+region_summary__37[[#This Row],[EDITED BY Admin Kabupaten]]</f>
        <v>0</v>
      </c>
    </row>
    <row r="25" spans="1:13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region_summary__37[[#This Row],[APPROVED BY Pengawas]]+region_summary__37[[#This Row],[EDITED BY Admin Kabupaten]]</f>
        <v>0</v>
      </c>
    </row>
    <row r="26" spans="1:13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0</v>
      </c>
      <c r="G26">
        <v>13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region_summary__37[[#This Row],[APPROVED BY Pengawas]]+region_summary__37[[#This Row],[EDITED BY Admin Kabupaten]]</f>
        <v>26</v>
      </c>
    </row>
    <row r="27" spans="1:13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region_summary__37[[#This Row],[APPROVED BY Pengawas]]+region_summary__37[[#This Row],[EDITED BY Admin Kabupaten]]</f>
        <v>0</v>
      </c>
    </row>
    <row r="28" spans="1:13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region_summary__37[[#This Row],[APPROVED BY Pengawas]]+region_summary__37[[#This Row],[EDITED BY Admin Kabupaten]]</f>
        <v>0</v>
      </c>
    </row>
    <row r="29" spans="1:13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region_summary__37[[#This Row],[APPROVED BY Pengawas]]+region_summary__37[[#This Row],[EDITED BY Admin Kabupaten]]</f>
        <v>0</v>
      </c>
    </row>
    <row r="30" spans="1:13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region_summary__37[[#This Row],[APPROVED BY Pengawas]]+region_summary__37[[#This Row],[EDITED BY Admin Kabupaten]]</f>
        <v>0</v>
      </c>
    </row>
    <row r="31" spans="1:13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region_summary__37[[#This Row],[APPROVED BY Pengawas]]+region_summary__37[[#This Row],[EDITED BY Admin Kabupaten]]</f>
        <v>71</v>
      </c>
    </row>
    <row r="32" spans="1:13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region_summary__37[[#This Row],[APPROVED BY Pengawas]]+region_summary__37[[#This Row],[EDITED BY Admin Kabupaten]]</f>
        <v>60</v>
      </c>
    </row>
    <row r="33" spans="1:13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0</v>
      </c>
      <c r="G33">
        <v>61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region_summary__37[[#This Row],[APPROVED BY Pengawas]]+region_summary__37[[#This Row],[EDITED BY Admin Kabupaten]]</f>
        <v>0</v>
      </c>
    </row>
    <row r="34" spans="1:13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0</v>
      </c>
      <c r="G34">
        <v>59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region_summary__37[[#This Row],[APPROVED BY Pengawas]]+region_summary__37[[#This Row],[EDITED BY Admin Kabupaten]]</f>
        <v>0</v>
      </c>
    </row>
    <row r="35" spans="1:13" x14ac:dyDescent="0.25">
      <c r="A35" t="s">
        <v>16</v>
      </c>
      <c r="B35">
        <v>7172010012002100</v>
      </c>
      <c r="C35">
        <v>55</v>
      </c>
      <c r="D35">
        <v>25</v>
      </c>
      <c r="E35">
        <v>0</v>
      </c>
      <c r="F35">
        <v>0</v>
      </c>
      <c r="G35">
        <v>30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region_summary__37[[#This Row],[APPROVED BY Pengawas]]+region_summary__37[[#This Row],[EDITED BY Admin Kabupaten]]</f>
        <v>25</v>
      </c>
    </row>
    <row r="36" spans="1:13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region_summary__37[[#This Row],[APPROVED BY Pengawas]]+region_summary__37[[#This Row],[EDITED BY Admin Kabupaten]]</f>
        <v>53</v>
      </c>
    </row>
    <row r="37" spans="1:13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region_summary__37[[#This Row],[APPROVED BY Pengawas]]+region_summary__37[[#This Row],[EDITED BY Admin Kabupaten]]</f>
        <v>0</v>
      </c>
    </row>
    <row r="38" spans="1:13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region_summary__37[[#This Row],[APPROVED BY Pengawas]]+region_summary__37[[#This Row],[EDITED BY Admin Kabupaten]]</f>
        <v>0</v>
      </c>
    </row>
    <row r="39" spans="1:13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region_summary__37[[#This Row],[APPROVED BY Pengawas]]+region_summary__37[[#This Row],[EDITED BY Admin Kabupaten]]</f>
        <v>30</v>
      </c>
    </row>
    <row r="40" spans="1:13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region_summary__37[[#This Row],[APPROVED BY Pengawas]]+region_summary__37[[#This Row],[EDITED BY Admin Kabupaten]]</f>
        <v>30</v>
      </c>
    </row>
    <row r="41" spans="1:13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region_summary__37[[#This Row],[APPROVED BY Pengawas]]+region_summary__37[[#This Row],[EDITED BY Admin Kabupaten]]</f>
        <v>0</v>
      </c>
    </row>
    <row r="42" spans="1:13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region_summary__37[[#This Row],[APPROVED BY Pengawas]]+region_summary__37[[#This Row],[EDITED BY Admin Kabupaten]]</f>
        <v>222</v>
      </c>
    </row>
    <row r="43" spans="1:13" x14ac:dyDescent="0.25">
      <c r="A43" t="s">
        <v>17</v>
      </c>
      <c r="B43">
        <v>7172010015003300</v>
      </c>
      <c r="C43">
        <v>201</v>
      </c>
      <c r="D43">
        <v>58</v>
      </c>
      <c r="E43">
        <v>2</v>
      </c>
      <c r="F43">
        <v>0</v>
      </c>
      <c r="G43">
        <v>141</v>
      </c>
      <c r="H43">
        <v>0</v>
      </c>
      <c r="I43">
        <v>0</v>
      </c>
      <c r="J43">
        <v>0</v>
      </c>
      <c r="K43">
        <v>0</v>
      </c>
      <c r="L43">
        <v>0</v>
      </c>
      <c r="M43">
        <f>region_summary__37[[#This Row],[APPROVED BY Pengawas]]+region_summary__37[[#This Row],[EDITED BY Admin Kabupaten]]</f>
        <v>58</v>
      </c>
    </row>
    <row r="44" spans="1:13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region_summary__37[[#This Row],[APPROVED BY Pengawas]]+region_summary__37[[#This Row],[EDITED BY Admin Kabupaten]]</f>
        <v>0</v>
      </c>
    </row>
    <row r="45" spans="1:13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region_summary__37[[#This Row],[APPROVED BY Pengawas]]+region_summary__37[[#This Row],[EDITED BY Admin Kabupaten]]</f>
        <v>0</v>
      </c>
    </row>
    <row r="46" spans="1:13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region_summary__37[[#This Row],[APPROVED BY Pengawas]]+region_summary__37[[#This Row],[EDITED BY Admin Kabupaten]]</f>
        <v>0</v>
      </c>
    </row>
    <row r="47" spans="1:13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region_summary__37[[#This Row],[APPROVED BY Pengawas]]+region_summary__37[[#This Row],[EDITED BY Admin Kabupaten]]</f>
        <v>0</v>
      </c>
    </row>
    <row r="48" spans="1:13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region_summary__37[[#This Row],[APPROVED BY Pengawas]]+region_summary__37[[#This Row],[EDITED BY Admin Kabupaten]]</f>
        <v>0</v>
      </c>
    </row>
    <row r="49" spans="1:13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region_summary__37[[#This Row],[APPROVED BY Pengawas]]+region_summary__37[[#This Row],[EDITED BY Admin Kabupaten]]</f>
        <v>95</v>
      </c>
    </row>
    <row r="50" spans="1:13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region_summary__37[[#This Row],[APPROVED BY Pengawas]]+region_summary__37[[#This Row],[EDITED BY Admin Kabupaten]]</f>
        <v>0</v>
      </c>
    </row>
    <row r="51" spans="1:13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region_summary__37[[#This Row],[APPROVED BY Pengawas]]+region_summary__37[[#This Row],[EDITED BY Admin Kabupaten]]</f>
        <v>51</v>
      </c>
    </row>
    <row r="52" spans="1:13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region_summary__37[[#This Row],[APPROVED BY Pengawas]]+region_summary__37[[#This Row],[EDITED BY Admin Kabupaten]]</f>
        <v>56</v>
      </c>
    </row>
    <row r="53" spans="1:13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region_summary__37[[#This Row],[APPROVED BY Pengawas]]+region_summary__37[[#This Row],[EDITED BY Admin Kabupaten]]</f>
        <v>0</v>
      </c>
    </row>
    <row r="54" spans="1:13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region_summary__37[[#This Row],[APPROVED BY Pengawas]]+region_summary__37[[#This Row],[EDITED BY Admin Kabupaten]]</f>
        <v>0</v>
      </c>
    </row>
    <row r="55" spans="1:13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0</v>
      </c>
      <c r="G55">
        <v>31</v>
      </c>
      <c r="H55">
        <v>0</v>
      </c>
      <c r="I55">
        <v>0</v>
      </c>
      <c r="J55">
        <v>0</v>
      </c>
      <c r="K55">
        <v>19</v>
      </c>
      <c r="L55">
        <v>0</v>
      </c>
      <c r="M55">
        <f>region_summary__37[[#This Row],[APPROVED BY Pengawas]]+region_summary__37[[#This Row],[EDITED BY Admin Kabupaten]]</f>
        <v>7</v>
      </c>
    </row>
    <row r="56" spans="1:13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region_summary__37[[#This Row],[APPROVED BY Pengawas]]+region_summary__37[[#This Row],[EDITED BY Admin Kabupaten]]</f>
        <v>0</v>
      </c>
    </row>
    <row r="57" spans="1:13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region_summary__37[[#This Row],[APPROVED BY Pengawas]]+region_summary__37[[#This Row],[EDITED BY Admin Kabupaten]]</f>
        <v>0</v>
      </c>
    </row>
    <row r="58" spans="1:13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region_summary__37[[#This Row],[APPROVED BY Pengawas]]+region_summary__37[[#This Row],[EDITED BY Admin Kabupaten]]</f>
        <v>38</v>
      </c>
    </row>
    <row r="59" spans="1:13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0</v>
      </c>
      <c r="L59">
        <v>0</v>
      </c>
      <c r="M59">
        <f>region_summary__37[[#This Row],[APPROVED BY Pengawas]]+region_summary__37[[#This Row],[EDITED BY Admin Kabupaten]]</f>
        <v>125</v>
      </c>
    </row>
    <row r="60" spans="1:13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region_summary__37[[#This Row],[APPROVED BY Pengawas]]+region_summary__37[[#This Row],[EDITED BY Admin Kabupaten]]</f>
        <v>94</v>
      </c>
    </row>
    <row r="61" spans="1:13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region_summary__37[[#This Row],[APPROVED BY Pengawas]]+region_summary__37[[#This Row],[EDITED BY Admin Kabupaten]]</f>
        <v>13</v>
      </c>
    </row>
    <row r="62" spans="1:13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region_summary__37[[#This Row],[APPROVED BY Pengawas]]+region_summary__37[[#This Row],[EDITED BY Admin Kabupaten]]</f>
        <v>0</v>
      </c>
    </row>
    <row r="63" spans="1:13" x14ac:dyDescent="0.25">
      <c r="A63" t="s">
        <v>18</v>
      </c>
      <c r="B63">
        <v>7172010017001900</v>
      </c>
      <c r="C63">
        <v>71</v>
      </c>
      <c r="D63">
        <v>27</v>
      </c>
      <c r="E63">
        <v>12</v>
      </c>
      <c r="F63">
        <v>0</v>
      </c>
      <c r="G63">
        <v>32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region_summary__37[[#This Row],[APPROVED BY Pengawas]]+region_summary__37[[#This Row],[EDITED BY Admin Kabupaten]]</f>
        <v>27</v>
      </c>
    </row>
    <row r="64" spans="1:13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region_summary__37[[#This Row],[APPROVED BY Pengawas]]+region_summary__37[[#This Row],[EDITED BY Admin Kabupaten]]</f>
        <v>0</v>
      </c>
    </row>
    <row r="65" spans="1:13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region_summary__37[[#This Row],[APPROVED BY Pengawas]]+region_summary__37[[#This Row],[EDITED BY Admin Kabupaten]]</f>
        <v>0</v>
      </c>
    </row>
    <row r="66" spans="1:13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region_summary__37[[#This Row],[APPROVED BY Pengawas]]+region_summary__37[[#This Row],[EDITED BY Admin Kabupaten]]</f>
        <v>0</v>
      </c>
    </row>
    <row r="67" spans="1:13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region_summary__37[[#This Row],[APPROVED BY Pengawas]]+region_summary__37[[#This Row],[EDITED BY Admin Kabupaten]]</f>
        <v>0</v>
      </c>
    </row>
    <row r="68" spans="1:13" x14ac:dyDescent="0.25">
      <c r="A68" t="s">
        <v>22</v>
      </c>
      <c r="B68">
        <v>7172010015002100</v>
      </c>
      <c r="C68">
        <v>149</v>
      </c>
      <c r="D68">
        <v>117</v>
      </c>
      <c r="E68">
        <v>10</v>
      </c>
      <c r="F68">
        <v>0</v>
      </c>
      <c r="G68">
        <v>21</v>
      </c>
      <c r="H68">
        <v>0</v>
      </c>
      <c r="I68">
        <v>1</v>
      </c>
      <c r="J68">
        <v>0</v>
      </c>
      <c r="K68">
        <v>0</v>
      </c>
      <c r="L68">
        <v>0</v>
      </c>
      <c r="M68">
        <f>region_summary__37[[#This Row],[APPROVED BY Pengawas]]+region_summary__37[[#This Row],[EDITED BY Admin Kabupaten]]</f>
        <v>117</v>
      </c>
    </row>
    <row r="69" spans="1:13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0</v>
      </c>
      <c r="G69">
        <v>41</v>
      </c>
      <c r="H69">
        <v>0</v>
      </c>
      <c r="I69">
        <v>3</v>
      </c>
      <c r="J69">
        <v>0</v>
      </c>
      <c r="K69">
        <v>0</v>
      </c>
      <c r="L69">
        <v>0</v>
      </c>
      <c r="M69">
        <f>region_summary__37[[#This Row],[APPROVED BY Pengawas]]+region_summary__37[[#This Row],[EDITED BY Admin Kabupaten]]</f>
        <v>94</v>
      </c>
    </row>
    <row r="70" spans="1:13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0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region_summary__37[[#This Row],[APPROVED BY Pengawas]]+region_summary__37[[#This Row],[EDITED BY Admin Kabupaten]]</f>
        <v>96</v>
      </c>
    </row>
    <row r="71" spans="1:13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region_summary__37[[#This Row],[APPROVED BY Pengawas]]+region_summary__37[[#This Row],[EDITED BY Admin Kabupaten]]</f>
        <v>0</v>
      </c>
    </row>
    <row r="72" spans="1:13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0</v>
      </c>
      <c r="G72">
        <v>77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region_summary__37[[#This Row],[APPROVED BY Pengawas]]+region_summary__37[[#This Row],[EDITED BY Admin Kabupaten]]</f>
        <v>2</v>
      </c>
    </row>
    <row r="73" spans="1:13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region_summary__37[[#This Row],[APPROVED BY Pengawas]]+region_summary__37[[#This Row],[EDITED BY Admin Kabupaten]]</f>
        <v>0</v>
      </c>
    </row>
    <row r="74" spans="1:13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region_summary__37[[#This Row],[APPROVED BY Pengawas]]+region_summary__37[[#This Row],[EDITED BY Admin Kabupaten]]</f>
        <v>0</v>
      </c>
    </row>
    <row r="75" spans="1:13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region_summary__37[[#This Row],[APPROVED BY Pengawas]]+region_summary__37[[#This Row],[EDITED BY Admin Kabupaten]]</f>
        <v>0</v>
      </c>
    </row>
    <row r="76" spans="1:13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region_summary__37[[#This Row],[APPROVED BY Pengawas]]+region_summary__37[[#This Row],[EDITED BY Admin Kabupaten]]</f>
        <v>99</v>
      </c>
    </row>
    <row r="77" spans="1:13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region_summary__37[[#This Row],[APPROVED BY Pengawas]]+region_summary__37[[#This Row],[EDITED BY Admin Kabupaten]]</f>
        <v>69</v>
      </c>
    </row>
    <row r="78" spans="1:13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region_summary__37[[#This Row],[APPROVED BY Pengawas]]+region_summary__37[[#This Row],[EDITED BY Admin Kabupaten]]</f>
        <v>0</v>
      </c>
    </row>
    <row r="79" spans="1:13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0</v>
      </c>
      <c r="G79">
        <v>6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region_summary__37[[#This Row],[APPROVED BY Pengawas]]+region_summary__37[[#This Row],[EDITED BY Admin Kabupaten]]</f>
        <v>59</v>
      </c>
    </row>
    <row r="80" spans="1:13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region_summary__37[[#This Row],[APPROVED BY Pengawas]]+region_summary__37[[#This Row],[EDITED BY Admin Kabupaten]]</f>
        <v>0</v>
      </c>
    </row>
    <row r="81" spans="1:13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region_summary__37[[#This Row],[APPROVED BY Pengawas]]+region_summary__37[[#This Row],[EDITED BY Admin Kabupaten]]</f>
        <v>0</v>
      </c>
    </row>
    <row r="82" spans="1:13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region_summary__37[[#This Row],[APPROVED BY Pengawas]]+region_summary__37[[#This Row],[EDITED BY Admin Kabupaten]]</f>
        <v>46</v>
      </c>
    </row>
    <row r="83" spans="1:13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region_summary__37[[#This Row],[APPROVED BY Pengawas]]+region_summary__37[[#This Row],[EDITED BY Admin Kabupaten]]</f>
        <v>0</v>
      </c>
    </row>
    <row r="84" spans="1:13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region_summary__37[[#This Row],[APPROVED BY Pengawas]]+region_summary__37[[#This Row],[EDITED BY Admin Kabupaten]]</f>
        <v>0</v>
      </c>
    </row>
    <row r="85" spans="1:13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region_summary__37[[#This Row],[APPROVED BY Pengawas]]+region_summary__37[[#This Row],[EDITED BY Admin Kabupaten]]</f>
        <v>0</v>
      </c>
    </row>
    <row r="86" spans="1:13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region_summary__37[[#This Row],[APPROVED BY Pengawas]]+region_summary__37[[#This Row],[EDITED BY Admin Kabupaten]]</f>
        <v>0</v>
      </c>
    </row>
    <row r="87" spans="1:13" x14ac:dyDescent="0.25">
      <c r="A87" t="s">
        <v>26</v>
      </c>
      <c r="B87">
        <v>7172011001000100</v>
      </c>
      <c r="C87">
        <v>154</v>
      </c>
      <c r="D87">
        <v>97</v>
      </c>
      <c r="E87">
        <v>37</v>
      </c>
      <c r="F87">
        <v>0</v>
      </c>
      <c r="G87">
        <v>20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region_summary__37[[#This Row],[APPROVED BY Pengawas]]+region_summary__37[[#This Row],[EDITED BY Admin Kabupaten]]</f>
        <v>97</v>
      </c>
    </row>
    <row r="88" spans="1:13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region_summary__37[[#This Row],[APPROVED BY Pengawas]]+region_summary__37[[#This Row],[EDITED BY Admin Kabupaten]]</f>
        <v>0</v>
      </c>
    </row>
    <row r="89" spans="1:13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0</v>
      </c>
      <c r="G89">
        <v>20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region_summary__37[[#This Row],[APPROVED BY Pengawas]]+region_summary__37[[#This Row],[EDITED BY Admin Kabupaten]]</f>
        <v>24</v>
      </c>
    </row>
    <row r="90" spans="1:13" x14ac:dyDescent="0.25">
      <c r="A90" t="s">
        <v>26</v>
      </c>
      <c r="B90">
        <v>7172011001000300</v>
      </c>
      <c r="C90">
        <v>76</v>
      </c>
      <c r="D90">
        <v>3</v>
      </c>
      <c r="E90">
        <v>5</v>
      </c>
      <c r="F90">
        <v>0</v>
      </c>
      <c r="G90">
        <v>68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region_summary__37[[#This Row],[APPROVED BY Pengawas]]+region_summary__37[[#This Row],[EDITED BY Admin Kabupaten]]</f>
        <v>3</v>
      </c>
    </row>
    <row r="91" spans="1:13" x14ac:dyDescent="0.25">
      <c r="A91" t="s">
        <v>26</v>
      </c>
      <c r="B91">
        <v>7172011004002100</v>
      </c>
      <c r="C91">
        <v>76</v>
      </c>
      <c r="D91">
        <v>0</v>
      </c>
      <c r="E91">
        <v>5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region_summary__37[[#This Row],[APPROVED BY Pengawas]]+region_summary__37[[#This Row],[EDITED BY Admin Kabupaten]]</f>
        <v>0</v>
      </c>
    </row>
    <row r="92" spans="1:13" x14ac:dyDescent="0.25">
      <c r="A92" t="s">
        <v>26</v>
      </c>
      <c r="B92">
        <v>7172011001000200</v>
      </c>
      <c r="C92">
        <v>74</v>
      </c>
      <c r="D92">
        <v>4</v>
      </c>
      <c r="E92">
        <v>10</v>
      </c>
      <c r="F92">
        <v>0</v>
      </c>
      <c r="G92">
        <v>60</v>
      </c>
      <c r="H92">
        <v>0</v>
      </c>
      <c r="I92">
        <v>0</v>
      </c>
      <c r="J92">
        <v>0</v>
      </c>
      <c r="K92">
        <v>0</v>
      </c>
      <c r="L92">
        <v>0</v>
      </c>
      <c r="M92">
        <f>region_summary__37[[#This Row],[APPROVED BY Pengawas]]+region_summary__37[[#This Row],[EDITED BY Admin Kabupaten]]</f>
        <v>4</v>
      </c>
    </row>
    <row r="93" spans="1:13" x14ac:dyDescent="0.25">
      <c r="A93" t="s">
        <v>26</v>
      </c>
      <c r="B93">
        <v>7172011001000500</v>
      </c>
      <c r="C93">
        <v>70</v>
      </c>
      <c r="D93">
        <v>47</v>
      </c>
      <c r="E93">
        <v>10</v>
      </c>
      <c r="F93">
        <v>0</v>
      </c>
      <c r="G93">
        <v>8</v>
      </c>
      <c r="H93">
        <v>0</v>
      </c>
      <c r="I93">
        <v>4</v>
      </c>
      <c r="J93">
        <v>0</v>
      </c>
      <c r="K93">
        <v>1</v>
      </c>
      <c r="L93">
        <v>0</v>
      </c>
      <c r="M93">
        <f>region_summary__37[[#This Row],[APPROVED BY Pengawas]]+region_summary__37[[#This Row],[EDITED BY Admin Kabupaten]]</f>
        <v>47</v>
      </c>
    </row>
    <row r="94" spans="1:13" x14ac:dyDescent="0.25">
      <c r="A94" t="s">
        <v>26</v>
      </c>
      <c r="B94">
        <v>7172011001000400</v>
      </c>
      <c r="C94">
        <v>58</v>
      </c>
      <c r="D94">
        <v>3</v>
      </c>
      <c r="E94">
        <v>2</v>
      </c>
      <c r="F94">
        <v>0</v>
      </c>
      <c r="G94">
        <v>48</v>
      </c>
      <c r="H94">
        <v>0</v>
      </c>
      <c r="I94">
        <v>0</v>
      </c>
      <c r="J94">
        <v>0</v>
      </c>
      <c r="K94">
        <v>5</v>
      </c>
      <c r="L94">
        <v>0</v>
      </c>
      <c r="M94">
        <f>region_summary__37[[#This Row],[APPROVED BY Pengawas]]+region_summary__37[[#This Row],[EDITED BY Admin Kabupaten]]</f>
        <v>3</v>
      </c>
    </row>
    <row r="95" spans="1:13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region_summary__37[[#This Row],[APPROVED BY Pengawas]]+region_summary__37[[#This Row],[EDITED BY Admin Kabupaten]]</f>
        <v>20</v>
      </c>
    </row>
    <row r="96" spans="1:13" x14ac:dyDescent="0.25">
      <c r="A96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0</v>
      </c>
      <c r="H96">
        <v>0</v>
      </c>
      <c r="I96">
        <v>11</v>
      </c>
      <c r="J96">
        <v>0</v>
      </c>
      <c r="K96">
        <v>3</v>
      </c>
      <c r="L96">
        <v>0</v>
      </c>
      <c r="M96">
        <f>region_summary__37[[#This Row],[APPROVED BY Pengawas]]+region_summary__37[[#This Row],[EDITED BY Admin Kabupaten]]</f>
        <v>93</v>
      </c>
    </row>
    <row r="97" spans="1:13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0</v>
      </c>
      <c r="G97">
        <v>64</v>
      </c>
      <c r="H97">
        <v>0</v>
      </c>
      <c r="I97">
        <v>0</v>
      </c>
      <c r="J97">
        <v>0</v>
      </c>
      <c r="K97">
        <v>0</v>
      </c>
      <c r="L97">
        <v>1</v>
      </c>
      <c r="M97">
        <f>region_summary__37[[#This Row],[APPROVED BY Pengawas]]+region_summary__37[[#This Row],[EDITED BY Admin Kabupaten]]</f>
        <v>17</v>
      </c>
    </row>
    <row r="98" spans="1:13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0</v>
      </c>
      <c r="G98">
        <v>80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region_summary__37[[#This Row],[APPROVED BY Pengawas]]+region_summary__37[[#This Row],[EDITED BY Admin Kabupaten]]</f>
        <v>0</v>
      </c>
    </row>
    <row r="99" spans="1:13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region_summary__37[[#This Row],[APPROVED BY Pengawas]]+region_summary__37[[#This Row],[EDITED BY Admin Kabupaten]]</f>
        <v>61</v>
      </c>
    </row>
    <row r="100" spans="1:13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region_summary__37[[#This Row],[APPROVED BY Pengawas]]+region_summary__37[[#This Row],[EDITED BY Admin Kabupaten]]</f>
        <v>53</v>
      </c>
    </row>
    <row r="101" spans="1:13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2</v>
      </c>
      <c r="L101">
        <v>0</v>
      </c>
      <c r="M101">
        <f>region_summary__37[[#This Row],[APPROVED BY Pengawas]]+region_summary__37[[#This Row],[EDITED BY Admin Kabupaten]]</f>
        <v>0</v>
      </c>
    </row>
    <row r="102" spans="1:13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region_summary__37[[#This Row],[APPROVED BY Pengawas]]+region_summary__37[[#This Row],[EDITED BY Admin Kabupaten]]</f>
        <v>20</v>
      </c>
    </row>
    <row r="103" spans="1:13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region_summary__37[[#This Row],[APPROVED BY Pengawas]]+region_summary__37[[#This Row],[EDITED BY Admin Kabupaten]]</f>
        <v>0</v>
      </c>
    </row>
    <row r="104" spans="1:13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0</v>
      </c>
      <c r="G104">
        <v>140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region_summary__37[[#This Row],[APPROVED BY Pengawas]]+region_summary__37[[#This Row],[EDITED BY Admin Kabupaten]]</f>
        <v>24</v>
      </c>
    </row>
    <row r="105" spans="1:13" x14ac:dyDescent="0.25">
      <c r="A105" t="s">
        <v>28</v>
      </c>
      <c r="B105">
        <v>7172011002000700</v>
      </c>
      <c r="C105">
        <v>116</v>
      </c>
      <c r="D105">
        <v>99</v>
      </c>
      <c r="E105">
        <v>6</v>
      </c>
      <c r="F105">
        <v>0</v>
      </c>
      <c r="G105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region_summary__37[[#This Row],[APPROVED BY Pengawas]]+region_summary__37[[#This Row],[EDITED BY Admin Kabupaten]]</f>
        <v>99</v>
      </c>
    </row>
    <row r="106" spans="1:13" x14ac:dyDescent="0.25">
      <c r="A106" t="s">
        <v>28</v>
      </c>
      <c r="B106">
        <v>7172011002000500</v>
      </c>
      <c r="C106">
        <v>109</v>
      </c>
      <c r="D106">
        <v>89</v>
      </c>
      <c r="E106">
        <v>10</v>
      </c>
      <c r="F106">
        <v>2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>
        <f>region_summary__37[[#This Row],[APPROVED BY Pengawas]]+region_summary__37[[#This Row],[EDITED BY Admin Kabupaten]]</f>
        <v>91</v>
      </c>
    </row>
    <row r="107" spans="1:13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region_summary__37[[#This Row],[APPROVED BY Pengawas]]+region_summary__37[[#This Row],[EDITED BY Admin Kabupaten]]</f>
        <v>0</v>
      </c>
    </row>
    <row r="108" spans="1:13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0</v>
      </c>
      <c r="G108">
        <v>84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region_summary__37[[#This Row],[APPROVED BY Pengawas]]+region_summary__37[[#This Row],[EDITED BY Admin Kabupaten]]</f>
        <v>1</v>
      </c>
    </row>
    <row r="109" spans="1:13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0</v>
      </c>
      <c r="G109">
        <v>66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region_summary__37[[#This Row],[APPROVED BY Pengawas]]+region_summary__37[[#This Row],[EDITED BY Admin Kabupaten]]</f>
        <v>14</v>
      </c>
    </row>
    <row r="110" spans="1:13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region_summary__37[[#This Row],[APPROVED BY Pengawas]]+region_summary__37[[#This Row],[EDITED BY Admin Kabupaten]]</f>
        <v>1</v>
      </c>
    </row>
    <row r="111" spans="1:13" x14ac:dyDescent="0.25">
      <c r="A111" t="s">
        <v>42</v>
      </c>
      <c r="B111">
        <v>7172011014001300</v>
      </c>
      <c r="C111">
        <v>175</v>
      </c>
      <c r="D111">
        <v>9</v>
      </c>
      <c r="E111">
        <v>4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3</v>
      </c>
      <c r="L111">
        <v>0</v>
      </c>
      <c r="M111">
        <f>region_summary__37[[#This Row],[APPROVED BY Pengawas]]+region_summary__37[[#This Row],[EDITED BY Admin Kabupaten]]</f>
        <v>9</v>
      </c>
    </row>
    <row r="112" spans="1:13" x14ac:dyDescent="0.25">
      <c r="A112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2</v>
      </c>
      <c r="L112">
        <v>0</v>
      </c>
      <c r="M112">
        <f>region_summary__37[[#This Row],[APPROVED BY Pengawas]]+region_summary__37[[#This Row],[EDITED BY Admin Kabupaten]]</f>
        <v>84</v>
      </c>
    </row>
    <row r="113" spans="1:13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region_summary__37[[#This Row],[APPROVED BY Pengawas]]+region_summary__37[[#This Row],[EDITED BY Admin Kabupaten]]</f>
        <v>0</v>
      </c>
    </row>
    <row r="114" spans="1:13" x14ac:dyDescent="0.25">
      <c r="A11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5</v>
      </c>
      <c r="L114">
        <v>0</v>
      </c>
      <c r="M114">
        <f>region_summary__37[[#This Row],[APPROVED BY Pengawas]]+region_summary__37[[#This Row],[EDITED BY Admin Kabupaten]]</f>
        <v>37</v>
      </c>
    </row>
    <row r="115" spans="1:13" x14ac:dyDescent="0.25">
      <c r="A115" t="s">
        <v>42</v>
      </c>
      <c r="B115">
        <v>7172011014001500</v>
      </c>
      <c r="C115">
        <v>78</v>
      </c>
      <c r="D115">
        <v>3</v>
      </c>
      <c r="E115">
        <v>24</v>
      </c>
      <c r="F115">
        <v>0</v>
      </c>
      <c r="G115">
        <v>45</v>
      </c>
      <c r="H115">
        <v>0</v>
      </c>
      <c r="I115">
        <v>0</v>
      </c>
      <c r="J115">
        <v>0</v>
      </c>
      <c r="K115">
        <v>6</v>
      </c>
      <c r="L115">
        <v>0</v>
      </c>
      <c r="M115">
        <f>region_summary__37[[#This Row],[APPROVED BY Pengawas]]+region_summary__37[[#This Row],[EDITED BY Admin Kabupaten]]</f>
        <v>3</v>
      </c>
    </row>
    <row r="116" spans="1:13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57</v>
      </c>
      <c r="H116">
        <v>0</v>
      </c>
      <c r="I116">
        <v>0</v>
      </c>
      <c r="J116">
        <v>0</v>
      </c>
      <c r="K116">
        <v>7</v>
      </c>
      <c r="L116">
        <v>0</v>
      </c>
      <c r="M116">
        <f>region_summary__37[[#This Row],[APPROVED BY Pengawas]]+region_summary__37[[#This Row],[EDITED BY Admin Kabupaten]]</f>
        <v>0</v>
      </c>
    </row>
    <row r="117" spans="1:13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41</v>
      </c>
      <c r="H117">
        <v>0</v>
      </c>
      <c r="I117">
        <v>0</v>
      </c>
      <c r="J117">
        <v>0</v>
      </c>
      <c r="K117">
        <v>1</v>
      </c>
      <c r="L117">
        <v>0</v>
      </c>
      <c r="M117">
        <f>region_summary__37[[#This Row],[APPROVED BY Pengawas]]+region_summary__37[[#This Row],[EDITED BY Admin Kabupaten]]</f>
        <v>3</v>
      </c>
    </row>
    <row r="118" spans="1:13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region_summary__37[[#This Row],[APPROVED BY Pengawas]]+region_summary__37[[#This Row],[EDITED BY Admin Kabupaten]]</f>
        <v>29</v>
      </c>
    </row>
    <row r="119" spans="1:13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0</v>
      </c>
      <c r="G119">
        <v>95</v>
      </c>
      <c r="H119">
        <v>0</v>
      </c>
      <c r="I119">
        <v>0</v>
      </c>
      <c r="J119">
        <v>0</v>
      </c>
      <c r="K119">
        <v>0</v>
      </c>
      <c r="L119">
        <v>0</v>
      </c>
      <c r="M119">
        <f>region_summary__37[[#This Row],[APPROVED BY Pengawas]]+region_summary__37[[#This Row],[EDITED BY Admin Kabupaten]]</f>
        <v>33</v>
      </c>
    </row>
    <row r="120" spans="1:13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f>region_summary__37[[#This Row],[APPROVED BY Pengawas]]+region_summary__37[[#This Row],[EDITED BY Admin Kabupaten]]</f>
        <v>94</v>
      </c>
    </row>
    <row r="121" spans="1:13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region_summary__37[[#This Row],[APPROVED BY Pengawas]]+region_summary__37[[#This Row],[EDITED BY Admin Kabupaten]]</f>
        <v>0</v>
      </c>
    </row>
    <row r="122" spans="1:13" x14ac:dyDescent="0.25">
      <c r="A122" t="s">
        <v>45</v>
      </c>
      <c r="B122">
        <v>7172011013000200</v>
      </c>
      <c r="C122">
        <v>60</v>
      </c>
      <c r="D122">
        <v>53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region_summary__37[[#This Row],[APPROVED BY Pengawas]]+region_summary__37[[#This Row],[EDITED BY Admin Kabupaten]]</f>
        <v>56</v>
      </c>
    </row>
    <row r="123" spans="1:13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0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region_summary__37[[#This Row],[APPROVED BY Pengawas]]+region_summary__37[[#This Row],[EDITED BY Admin Kabupaten]]</f>
        <v>57</v>
      </c>
    </row>
    <row r="124" spans="1:13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region_summary__37[[#This Row],[APPROVED BY Pengawas]]+region_summary__37[[#This Row],[EDITED BY Admin Kabupaten]]</f>
        <v>0</v>
      </c>
    </row>
    <row r="125" spans="1:13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0</v>
      </c>
      <c r="G125">
        <v>215</v>
      </c>
      <c r="H125">
        <v>0</v>
      </c>
      <c r="I125">
        <v>0</v>
      </c>
      <c r="J125">
        <v>0</v>
      </c>
      <c r="K125">
        <v>1</v>
      </c>
      <c r="L125">
        <v>0</v>
      </c>
      <c r="M125">
        <f>region_summary__37[[#This Row],[APPROVED BY Pengawas]]+region_summary__37[[#This Row],[EDITED BY Admin Kabupaten]]</f>
        <v>24</v>
      </c>
    </row>
    <row r="126" spans="1:13" x14ac:dyDescent="0.25">
      <c r="A126" t="s">
        <v>35</v>
      </c>
      <c r="B126">
        <v>7172011003001900</v>
      </c>
      <c r="C126">
        <v>132</v>
      </c>
      <c r="D126">
        <v>64</v>
      </c>
      <c r="E126">
        <v>21</v>
      </c>
      <c r="F126">
        <v>0</v>
      </c>
      <c r="G126">
        <v>1</v>
      </c>
      <c r="H126">
        <v>0</v>
      </c>
      <c r="I126">
        <v>1</v>
      </c>
      <c r="J126">
        <v>0</v>
      </c>
      <c r="K126">
        <v>45</v>
      </c>
      <c r="L126">
        <v>0</v>
      </c>
      <c r="M126">
        <f>region_summary__37[[#This Row],[APPROVED BY Pengawas]]+region_summary__37[[#This Row],[EDITED BY Admin Kabupaten]]</f>
        <v>64</v>
      </c>
    </row>
    <row r="127" spans="1:13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43</v>
      </c>
      <c r="H127">
        <v>0</v>
      </c>
      <c r="I127">
        <v>0</v>
      </c>
      <c r="J127">
        <v>0</v>
      </c>
      <c r="K127">
        <v>27</v>
      </c>
      <c r="L127">
        <v>0</v>
      </c>
      <c r="M127">
        <f>region_summary__37[[#This Row],[APPROVED BY Pengawas]]+region_summary__37[[#This Row],[EDITED BY Admin Kabupaten]]</f>
        <v>0</v>
      </c>
    </row>
    <row r="128" spans="1:13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0</v>
      </c>
      <c r="G128">
        <v>60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f>region_summary__37[[#This Row],[APPROVED BY Pengawas]]+region_summary__37[[#This Row],[EDITED BY Admin Kabupaten]]</f>
        <v>8</v>
      </c>
    </row>
    <row r="129" spans="1:13" x14ac:dyDescent="0.25">
      <c r="A129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17</v>
      </c>
      <c r="L129">
        <v>0</v>
      </c>
      <c r="M129">
        <f>region_summary__37[[#This Row],[APPROVED BY Pengawas]]+region_summary__37[[#This Row],[EDITED BY Admin Kabupaten]]</f>
        <v>43</v>
      </c>
    </row>
    <row r="130" spans="1:13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v>0</v>
      </c>
      <c r="M130">
        <f>region_summary__37[[#This Row],[APPROVED BY Pengawas]]+region_summary__37[[#This Row],[EDITED BY Admin Kabupaten]]</f>
        <v>0</v>
      </c>
    </row>
    <row r="131" spans="1:13" x14ac:dyDescent="0.25">
      <c r="A131" t="s">
        <v>37</v>
      </c>
      <c r="B131">
        <v>7172011003002602</v>
      </c>
      <c r="C131">
        <v>219</v>
      </c>
      <c r="D131">
        <v>138</v>
      </c>
      <c r="E131">
        <v>6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39</v>
      </c>
      <c r="L131">
        <v>0</v>
      </c>
      <c r="M131">
        <f>region_summary__37[[#This Row],[APPROVED BY Pengawas]]+region_summary__37[[#This Row],[EDITED BY Admin Kabupaten]]</f>
        <v>138</v>
      </c>
    </row>
    <row r="132" spans="1:13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0</v>
      </c>
      <c r="G132">
        <v>89</v>
      </c>
      <c r="H132">
        <v>0</v>
      </c>
      <c r="I132">
        <v>0</v>
      </c>
      <c r="J132">
        <v>0</v>
      </c>
      <c r="K132">
        <v>31</v>
      </c>
      <c r="L132">
        <v>0</v>
      </c>
      <c r="M132">
        <f>region_summary__37[[#This Row],[APPROVED BY Pengawas]]+region_summary__37[[#This Row],[EDITED BY Admin Kabupaten]]</f>
        <v>62</v>
      </c>
    </row>
    <row r="133" spans="1:13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region_summary__37[[#This Row],[APPROVED BY Pengawas]]+region_summary__37[[#This Row],[EDITED BY Admin Kabupaten]]</f>
        <v>0</v>
      </c>
    </row>
    <row r="134" spans="1:13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region_summary__37[[#This Row],[APPROVED BY Pengawas]]+region_summary__37[[#This Row],[EDITED BY Admin Kabupaten]]</f>
        <v>6</v>
      </c>
    </row>
    <row r="135" spans="1:13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region_summary__37[[#This Row],[APPROVED BY Pengawas]]+region_summary__37[[#This Row],[EDITED BY Admin Kabupaten]]</f>
        <v>0</v>
      </c>
    </row>
    <row r="136" spans="1:13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16</v>
      </c>
      <c r="L136">
        <v>0</v>
      </c>
      <c r="M136">
        <f>region_summary__37[[#This Row],[APPROVED BY Pengawas]]+region_summary__37[[#This Row],[EDITED BY Admin Kabupaten]]</f>
        <v>163</v>
      </c>
    </row>
    <row r="137" spans="1:13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0</v>
      </c>
      <c r="G137">
        <v>93</v>
      </c>
      <c r="H137">
        <v>0</v>
      </c>
      <c r="I137">
        <v>6</v>
      </c>
      <c r="J137">
        <v>0</v>
      </c>
      <c r="K137">
        <v>60</v>
      </c>
      <c r="L137">
        <v>0</v>
      </c>
      <c r="M137">
        <f>region_summary__37[[#This Row],[APPROVED BY Pengawas]]+region_summary__37[[#This Row],[EDITED BY Admin Kabupaten]]</f>
        <v>90</v>
      </c>
    </row>
    <row r="138" spans="1:13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  <c r="L138">
        <v>0</v>
      </c>
      <c r="M138">
        <f>region_summary__37[[#This Row],[APPROVED BY Pengawas]]+region_summary__37[[#This Row],[EDITED BY Admin Kabupaten]]</f>
        <v>0</v>
      </c>
    </row>
    <row r="139" spans="1:13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region_summary__37[[#This Row],[APPROVED BY Pengawas]]+region_summary__37[[#This Row],[EDITED BY Admin Kabupaten]]</f>
        <v>0</v>
      </c>
    </row>
    <row r="140" spans="1:13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0</v>
      </c>
      <c r="G140">
        <v>22</v>
      </c>
      <c r="H140">
        <v>0</v>
      </c>
      <c r="I140">
        <v>1</v>
      </c>
      <c r="J140">
        <v>3</v>
      </c>
      <c r="K140">
        <v>121</v>
      </c>
      <c r="L140">
        <v>0</v>
      </c>
      <c r="M140">
        <f>region_summary__37[[#This Row],[APPROVED BY Pengawas]]+region_summary__37[[#This Row],[EDITED BY Admin Kabupaten]]</f>
        <v>121</v>
      </c>
    </row>
    <row r="141" spans="1:13" x14ac:dyDescent="0.25">
      <c r="A141" t="s">
        <v>41</v>
      </c>
      <c r="B141">
        <v>7172011004001500</v>
      </c>
      <c r="C141">
        <v>153</v>
      </c>
      <c r="D141">
        <v>48</v>
      </c>
      <c r="E141">
        <v>24</v>
      </c>
      <c r="F141">
        <v>0</v>
      </c>
      <c r="G141">
        <v>28</v>
      </c>
      <c r="H141">
        <v>0</v>
      </c>
      <c r="I141">
        <v>7</v>
      </c>
      <c r="J141">
        <v>0</v>
      </c>
      <c r="K141">
        <v>46</v>
      </c>
      <c r="L141">
        <v>0</v>
      </c>
      <c r="M141">
        <f>region_summary__37[[#This Row],[APPROVED BY Pengawas]]+region_summary__37[[#This Row],[EDITED BY Admin Kabupaten]]</f>
        <v>48</v>
      </c>
    </row>
    <row r="142" spans="1:13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0</v>
      </c>
      <c r="G142">
        <v>29</v>
      </c>
      <c r="H142">
        <v>0</v>
      </c>
      <c r="I142">
        <v>5</v>
      </c>
      <c r="J142">
        <v>0</v>
      </c>
      <c r="K142">
        <v>21</v>
      </c>
      <c r="L142">
        <v>0</v>
      </c>
      <c r="M142">
        <f>region_summary__37[[#This Row],[APPROVED BY Pengawas]]+region_summary__37[[#This Row],[EDITED BY Admin Kabupaten]]</f>
        <v>28</v>
      </c>
    </row>
    <row r="143" spans="1:13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region_summary__37[[#This Row],[APPROVED BY Pengawas]]+region_summary__37[[#This Row],[EDITED BY Admin Kabupaten]]</f>
        <v>0</v>
      </c>
    </row>
    <row r="144" spans="1:13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region_summary__37[[#This Row],[APPROVED BY Pengawas]]+region_summary__37[[#This Row],[EDITED BY Admin Kabupaten]]</f>
        <v>0</v>
      </c>
    </row>
    <row r="145" spans="1:13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region_summary__37[[#This Row],[APPROVED BY Pengawas]]+region_summary__37[[#This Row],[EDITED BY Admin Kabupaten]]</f>
        <v>0</v>
      </c>
    </row>
    <row r="146" spans="1:13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region_summary__37[[#This Row],[APPROVED BY Pengawas]]+region_summary__37[[#This Row],[EDITED BY Admin Kabupaten]]</f>
        <v>0</v>
      </c>
    </row>
    <row r="147" spans="1:13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30</v>
      </c>
      <c r="H147">
        <v>0</v>
      </c>
      <c r="I147">
        <v>30</v>
      </c>
      <c r="J147">
        <v>0</v>
      </c>
      <c r="K147">
        <v>11</v>
      </c>
      <c r="L147">
        <v>0</v>
      </c>
      <c r="M147">
        <f>region_summary__37[[#This Row],[APPROVED BY Pengawas]]+region_summary__37[[#This Row],[EDITED BY Admin Kabupaten]]</f>
        <v>9</v>
      </c>
    </row>
    <row r="148" spans="1:13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13</v>
      </c>
      <c r="H148">
        <v>0</v>
      </c>
      <c r="I148">
        <v>41</v>
      </c>
      <c r="J148">
        <v>0</v>
      </c>
      <c r="K148">
        <v>18</v>
      </c>
      <c r="L148">
        <v>0</v>
      </c>
      <c r="M148">
        <f>region_summary__37[[#This Row],[APPROVED BY Pengawas]]+region_summary__37[[#This Row],[EDITED BY Admin Kabupaten]]</f>
        <v>0</v>
      </c>
    </row>
    <row r="149" spans="1:13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region_summary__37[[#This Row],[APPROVED BY Pengawas]]+region_summary__37[[#This Row],[EDITED BY Admin Kabupaten]]</f>
        <v>0</v>
      </c>
    </row>
    <row r="150" spans="1:13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region_summary__37[[#This Row],[APPROVED BY Pengawas]]+region_summary__37[[#This Row],[EDITED BY Admin Kabupaten]]</f>
        <v>0</v>
      </c>
    </row>
    <row r="151" spans="1:13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region_summary__37[[#This Row],[APPROVED BY Pengawas]]+region_summary__37[[#This Row],[EDITED BY Admin Kabupaten]]</f>
        <v>0</v>
      </c>
    </row>
    <row r="152" spans="1:13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region_summary__37[[#This Row],[APPROVED BY Pengawas]]+region_summary__37[[#This Row],[EDITED BY Admin Kabupaten]]</f>
        <v>0</v>
      </c>
    </row>
    <row r="153" spans="1:13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0</v>
      </c>
      <c r="G153">
        <v>36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region_summary__37[[#This Row],[APPROVED BY Pengawas]]+region_summary__37[[#This Row],[EDITED BY Admin Kabupaten]]</f>
        <v>10</v>
      </c>
    </row>
    <row r="154" spans="1:13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region_summary__37[[#This Row],[APPROVED BY Pengawas]]+region_summary__37[[#This Row],[EDITED BY Admin Kabupaten]]</f>
        <v>0</v>
      </c>
    </row>
    <row r="155" spans="1:13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5</v>
      </c>
      <c r="J155">
        <v>0</v>
      </c>
      <c r="K155">
        <v>12</v>
      </c>
      <c r="L155">
        <v>0</v>
      </c>
      <c r="M155">
        <f>region_summary__37[[#This Row],[APPROVED BY Pengawas]]+region_summary__37[[#This Row],[EDITED BY Admin Kabupaten]]</f>
        <v>0</v>
      </c>
    </row>
    <row r="156" spans="1:13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region_summary__37[[#This Row],[APPROVED BY Pengawas]]+region_summary__37[[#This Row],[EDITED BY Admin Kabupaten]]</f>
        <v>0</v>
      </c>
    </row>
    <row r="157" spans="1:13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region_summary__37[[#This Row],[APPROVED BY Pengawas]]+region_summary__37[[#This Row],[EDITED BY Admin Kabupaten]]</f>
        <v>0</v>
      </c>
    </row>
    <row r="158" spans="1:13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region_summary__37[[#This Row],[APPROVED BY Pengawas]]+region_summary__37[[#This Row],[EDITED BY Admin Kabupaten]]</f>
        <v>0</v>
      </c>
    </row>
    <row r="159" spans="1:13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region_summary__37[[#This Row],[APPROVED BY Pengawas]]+region_summary__37[[#This Row],[EDITED BY Admin Kabupaten]]</f>
        <v>0</v>
      </c>
    </row>
    <row r="160" spans="1:13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region_summary__37[[#This Row],[APPROVED BY Pengawas]]+region_summary__37[[#This Row],[EDITED BY Admin Kabupaten]]</f>
        <v>0</v>
      </c>
    </row>
    <row r="161" spans="1:13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1</v>
      </c>
      <c r="L161">
        <v>0</v>
      </c>
      <c r="M161">
        <f>region_summary__37[[#This Row],[APPROVED BY Pengawas]]+region_summary__37[[#This Row],[EDITED BY Admin Kabupaten]]</f>
        <v>50</v>
      </c>
    </row>
    <row r="162" spans="1:13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region_summary__37[[#This Row],[APPROVED BY Pengawas]]+region_summary__37[[#This Row],[EDITED BY Admin Kabupaten]]</f>
        <v>0</v>
      </c>
    </row>
    <row r="163" spans="1:13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region_summary__37[[#This Row],[APPROVED BY Pengawas]]+region_summary__37[[#This Row],[EDITED BY Admin Kabupaten]]</f>
        <v>0</v>
      </c>
    </row>
    <row r="164" spans="1:13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1</v>
      </c>
      <c r="H164">
        <v>0</v>
      </c>
      <c r="I164">
        <v>10</v>
      </c>
      <c r="J164">
        <v>0</v>
      </c>
      <c r="K164">
        <v>0</v>
      </c>
      <c r="L164">
        <v>0</v>
      </c>
      <c r="M164">
        <f>region_summary__37[[#This Row],[APPROVED BY Pengawas]]+region_summary__37[[#This Row],[EDITED BY Admin Kabupaten]]</f>
        <v>64</v>
      </c>
    </row>
    <row r="165" spans="1:13" x14ac:dyDescent="0.25">
      <c r="A165" t="s">
        <v>39</v>
      </c>
      <c r="B165">
        <v>7172011004000200</v>
      </c>
      <c r="C165">
        <v>97</v>
      </c>
      <c r="D165">
        <v>2</v>
      </c>
      <c r="E165">
        <v>7</v>
      </c>
      <c r="F165">
        <v>0</v>
      </c>
      <c r="G165">
        <v>86</v>
      </c>
      <c r="H165">
        <v>0</v>
      </c>
      <c r="I165">
        <v>0</v>
      </c>
      <c r="J165">
        <v>0</v>
      </c>
      <c r="K165">
        <v>2</v>
      </c>
      <c r="L165">
        <v>0</v>
      </c>
      <c r="M165">
        <f>region_summary__37[[#This Row],[APPROVED BY Pengawas]]+region_summary__37[[#This Row],[EDITED BY Admin Kabupaten]]</f>
        <v>2</v>
      </c>
    </row>
    <row r="166" spans="1:13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4</v>
      </c>
      <c r="L166">
        <v>0</v>
      </c>
      <c r="M166">
        <f>region_summary__37[[#This Row],[APPROVED BY Pengawas]]+region_summary__37[[#This Row],[EDITED BY Admin Kabupaten]]</f>
        <v>10</v>
      </c>
    </row>
    <row r="167" spans="1:13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107</v>
      </c>
      <c r="H167">
        <v>0</v>
      </c>
      <c r="I167">
        <v>2</v>
      </c>
      <c r="J167">
        <v>0</v>
      </c>
      <c r="K167">
        <v>31</v>
      </c>
      <c r="L167">
        <v>0</v>
      </c>
      <c r="M167">
        <f>region_summary__37[[#This Row],[APPROVED BY Pengawas]]+region_summary__37[[#This Row],[EDITED BY Admin Kabupaten]]</f>
        <v>3</v>
      </c>
    </row>
    <row r="168" spans="1:13" x14ac:dyDescent="0.25">
      <c r="A168" t="s">
        <v>50</v>
      </c>
      <c r="B168">
        <v>7172012001000900</v>
      </c>
      <c r="C168">
        <v>143</v>
      </c>
      <c r="D168">
        <v>37</v>
      </c>
      <c r="E168">
        <v>15</v>
      </c>
      <c r="F168">
        <v>0</v>
      </c>
      <c r="G168">
        <v>15</v>
      </c>
      <c r="H168">
        <v>0</v>
      </c>
      <c r="I168">
        <v>0</v>
      </c>
      <c r="J168">
        <v>0</v>
      </c>
      <c r="K168">
        <v>76</v>
      </c>
      <c r="L168">
        <v>0</v>
      </c>
      <c r="M168">
        <f>region_summary__37[[#This Row],[APPROVED BY Pengawas]]+region_summary__37[[#This Row],[EDITED BY Admin Kabupaten]]</f>
        <v>37</v>
      </c>
    </row>
    <row r="169" spans="1:13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region_summary__37[[#This Row],[APPROVED BY Pengawas]]+region_summary__37[[#This Row],[EDITED BY Admin Kabupaten]]</f>
        <v>0</v>
      </c>
    </row>
    <row r="170" spans="1:13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region_summary__37[[#This Row],[APPROVED BY Pengawas]]+region_summary__37[[#This Row],[EDITED BY Admin Kabupaten]]</f>
        <v>0</v>
      </c>
    </row>
    <row r="171" spans="1:13" x14ac:dyDescent="0.25">
      <c r="A171" t="s">
        <v>50</v>
      </c>
      <c r="B171">
        <v>7172012001000800</v>
      </c>
      <c r="C171">
        <v>109</v>
      </c>
      <c r="D171">
        <v>67</v>
      </c>
      <c r="E171">
        <v>13</v>
      </c>
      <c r="F171">
        <v>0</v>
      </c>
      <c r="G171">
        <v>3</v>
      </c>
      <c r="H171">
        <v>0</v>
      </c>
      <c r="I171">
        <v>0</v>
      </c>
      <c r="J171">
        <v>0</v>
      </c>
      <c r="K171">
        <v>26</v>
      </c>
      <c r="L171">
        <v>0</v>
      </c>
      <c r="M171">
        <f>region_summary__37[[#This Row],[APPROVED BY Pengawas]]+region_summary__37[[#This Row],[EDITED BY Admin Kabupaten]]</f>
        <v>67</v>
      </c>
    </row>
    <row r="172" spans="1:13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0</v>
      </c>
      <c r="G172">
        <v>34</v>
      </c>
      <c r="H172">
        <v>0</v>
      </c>
      <c r="I172">
        <v>2</v>
      </c>
      <c r="J172">
        <v>0</v>
      </c>
      <c r="K172">
        <v>0</v>
      </c>
      <c r="L172">
        <v>0</v>
      </c>
      <c r="M172">
        <f>region_summary__37[[#This Row],[APPROVED BY Pengawas]]+region_summary__37[[#This Row],[EDITED BY Admin Kabupaten]]</f>
        <v>122</v>
      </c>
    </row>
    <row r="173" spans="1:13" x14ac:dyDescent="0.25">
      <c r="A173" t="s">
        <v>44</v>
      </c>
      <c r="B173">
        <v>7172011012000200</v>
      </c>
      <c r="C173">
        <v>125</v>
      </c>
      <c r="D173">
        <v>70</v>
      </c>
      <c r="E173">
        <v>8</v>
      </c>
      <c r="F173">
        <v>0</v>
      </c>
      <c r="G173">
        <v>47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region_summary__37[[#This Row],[APPROVED BY Pengawas]]+region_summary__37[[#This Row],[EDITED BY Admin Kabupaten]]</f>
        <v>70</v>
      </c>
    </row>
    <row r="174" spans="1:13" x14ac:dyDescent="0.25">
      <c r="A174" t="s">
        <v>44</v>
      </c>
      <c r="B174">
        <v>7172011012000400</v>
      </c>
      <c r="C174">
        <v>78</v>
      </c>
      <c r="D174">
        <v>0</v>
      </c>
      <c r="E174">
        <v>15</v>
      </c>
      <c r="F174">
        <v>0</v>
      </c>
      <c r="G174">
        <v>63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region_summary__37[[#This Row],[APPROVED BY Pengawas]]+region_summary__37[[#This Row],[EDITED BY Admin Kabupaten]]</f>
        <v>0</v>
      </c>
    </row>
    <row r="175" spans="1:13" x14ac:dyDescent="0.25">
      <c r="A175" t="s">
        <v>44</v>
      </c>
      <c r="B175">
        <v>7172011012000300</v>
      </c>
      <c r="C175">
        <v>65</v>
      </c>
      <c r="D175">
        <v>26</v>
      </c>
      <c r="E175">
        <v>1</v>
      </c>
      <c r="F175">
        <v>0</v>
      </c>
      <c r="G175">
        <v>38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region_summary__37[[#This Row],[APPROVED BY Pengawas]]+region_summary__37[[#This Row],[EDITED BY Admin Kabupaten]]</f>
        <v>26</v>
      </c>
    </row>
    <row r="176" spans="1:13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region_summary__37[[#This Row],[APPROVED BY Pengawas]]+region_summary__37[[#This Row],[EDITED BY Admin Kabupaten]]</f>
        <v>0</v>
      </c>
    </row>
    <row r="177" spans="1:13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region_summary__37[[#This Row],[APPROVED BY Pengawas]]+region_summary__37[[#This Row],[EDITED BY Admin Kabupaten]]</f>
        <v>0</v>
      </c>
    </row>
    <row r="178" spans="1:13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region_summary__37[[#This Row],[APPROVED BY Pengawas]]+region_summary__37[[#This Row],[EDITED BY Admin Kabupaten]]</f>
        <v>0</v>
      </c>
    </row>
    <row r="179" spans="1:13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region_summary__37[[#This Row],[APPROVED BY Pengawas]]+region_summary__37[[#This Row],[EDITED BY Admin Kabupaten]]</f>
        <v>0</v>
      </c>
    </row>
    <row r="180" spans="1:13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region_summary__37[[#This Row],[APPROVED BY Pengawas]]+region_summary__37[[#This Row],[EDITED BY Admin Kabupaten]]</f>
        <v>0</v>
      </c>
    </row>
    <row r="181" spans="1:13" x14ac:dyDescent="0.25">
      <c r="A181" t="s">
        <v>54</v>
      </c>
      <c r="B181">
        <v>7172012002000600</v>
      </c>
      <c r="C181">
        <v>130</v>
      </c>
      <c r="D181">
        <v>125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region_summary__37[[#This Row],[APPROVED BY Pengawas]]+region_summary__37[[#This Row],[EDITED BY Admin Kabupaten]]</f>
        <v>125</v>
      </c>
    </row>
    <row r="182" spans="1:13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region_summary__37[[#This Row],[APPROVED BY Pengawas]]+region_summary__37[[#This Row],[EDITED BY Admin Kabupaten]]</f>
        <v>1</v>
      </c>
    </row>
    <row r="183" spans="1:13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region_summary__37[[#This Row],[APPROVED BY Pengawas]]+region_summary__37[[#This Row],[EDITED BY Admin Kabupaten]]</f>
        <v>86</v>
      </c>
    </row>
    <row r="184" spans="1:13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region_summary__37[[#This Row],[APPROVED BY Pengawas]]+region_summary__37[[#This Row],[EDITED BY Admin Kabupaten]]</f>
        <v>17</v>
      </c>
    </row>
    <row r="185" spans="1:13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region_summary__37[[#This Row],[APPROVED BY Pengawas]]+region_summary__37[[#This Row],[EDITED BY Admin Kabupaten]]</f>
        <v>31</v>
      </c>
    </row>
    <row r="186" spans="1:13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region_summary__37[[#This Row],[APPROVED BY Pengawas]]+region_summary__37[[#This Row],[EDITED BY Admin Kabupaten]]</f>
        <v>3</v>
      </c>
    </row>
    <row r="187" spans="1:13" x14ac:dyDescent="0.25">
      <c r="A187" t="s">
        <v>229</v>
      </c>
      <c r="B187">
        <v>7172012002001301</v>
      </c>
      <c r="C187">
        <v>154</v>
      </c>
      <c r="D187">
        <v>68</v>
      </c>
      <c r="E187">
        <v>34</v>
      </c>
      <c r="F187">
        <v>0</v>
      </c>
      <c r="G187">
        <v>52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region_summary__37[[#This Row],[APPROVED BY Pengawas]]+region_summary__37[[#This Row],[EDITED BY Admin Kabupaten]]</f>
        <v>68</v>
      </c>
    </row>
    <row r="188" spans="1:13" x14ac:dyDescent="0.25">
      <c r="A188" t="s">
        <v>229</v>
      </c>
      <c r="B188">
        <v>7172012002001302</v>
      </c>
      <c r="C188">
        <v>154</v>
      </c>
      <c r="D188">
        <v>132</v>
      </c>
      <c r="E188">
        <v>5</v>
      </c>
      <c r="F188">
        <v>0</v>
      </c>
      <c r="G188">
        <v>17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region_summary__37[[#This Row],[APPROVED BY Pengawas]]+region_summary__37[[#This Row],[EDITED BY Admin Kabupaten]]</f>
        <v>132</v>
      </c>
    </row>
    <row r="189" spans="1:13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region_summary__37[[#This Row],[APPROVED BY Pengawas]]+region_summary__37[[#This Row],[EDITED BY Admin Kabupaten]]</f>
        <v>3</v>
      </c>
    </row>
    <row r="190" spans="1:13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region_summary__37[[#This Row],[APPROVED BY Pengawas]]+region_summary__37[[#This Row],[EDITED BY Admin Kabupaten]]</f>
        <v>8</v>
      </c>
    </row>
    <row r="191" spans="1:13" x14ac:dyDescent="0.25">
      <c r="A191" t="s">
        <v>229</v>
      </c>
      <c r="B191">
        <v>7172012002001700</v>
      </c>
      <c r="C191">
        <v>90</v>
      </c>
      <c r="D191">
        <v>3</v>
      </c>
      <c r="E191">
        <v>0</v>
      </c>
      <c r="F191">
        <v>0</v>
      </c>
      <c r="G191">
        <v>85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region_summary__37[[#This Row],[APPROVED BY Pengawas]]+region_summary__37[[#This Row],[EDITED BY Admin Kabupaten]]</f>
        <v>3</v>
      </c>
    </row>
    <row r="192" spans="1:13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0</v>
      </c>
      <c r="G192">
        <v>66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region_summary__37[[#This Row],[APPROVED BY Pengawas]]+region_summary__37[[#This Row],[EDITED BY Admin Kabupaten]]</f>
        <v>8</v>
      </c>
    </row>
    <row r="193" spans="1:13" x14ac:dyDescent="0.25">
      <c r="A193" t="s">
        <v>38</v>
      </c>
      <c r="B193">
        <v>7172011003003100</v>
      </c>
      <c r="C193">
        <v>211</v>
      </c>
      <c r="D193">
        <v>84</v>
      </c>
      <c r="E193">
        <v>9</v>
      </c>
      <c r="F193">
        <v>0</v>
      </c>
      <c r="G193">
        <v>2</v>
      </c>
      <c r="H193">
        <v>0</v>
      </c>
      <c r="I193">
        <v>7</v>
      </c>
      <c r="J193">
        <v>0</v>
      </c>
      <c r="K193">
        <v>109</v>
      </c>
      <c r="L193">
        <v>0</v>
      </c>
      <c r="M193">
        <f>region_summary__37[[#This Row],[APPROVED BY Pengawas]]+region_summary__37[[#This Row],[EDITED BY Admin Kabupaten]]</f>
        <v>84</v>
      </c>
    </row>
    <row r="194" spans="1:13" x14ac:dyDescent="0.25">
      <c r="A194" t="s">
        <v>38</v>
      </c>
      <c r="B194">
        <v>7172011003003000</v>
      </c>
      <c r="C194">
        <v>132</v>
      </c>
      <c r="D194">
        <v>10</v>
      </c>
      <c r="E194">
        <v>12</v>
      </c>
      <c r="F194">
        <v>0</v>
      </c>
      <c r="G194">
        <v>39</v>
      </c>
      <c r="H194">
        <v>0</v>
      </c>
      <c r="I194">
        <v>0</v>
      </c>
      <c r="J194">
        <v>0</v>
      </c>
      <c r="K194">
        <v>71</v>
      </c>
      <c r="L194">
        <v>0</v>
      </c>
      <c r="M194">
        <f>region_summary__37[[#This Row],[APPROVED BY Pengawas]]+region_summary__37[[#This Row],[EDITED BY Admin Kabupaten]]</f>
        <v>10</v>
      </c>
    </row>
    <row r="195" spans="1:13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region_summary__37[[#This Row],[APPROVED BY Pengawas]]+region_summary__37[[#This Row],[EDITED BY Admin Kabupaten]]</f>
        <v>0</v>
      </c>
    </row>
    <row r="196" spans="1:13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region_summary__37[[#This Row],[APPROVED BY Pengawas]]+region_summary__37[[#This Row],[EDITED BY Admin Kabupaten]]</f>
        <v>0</v>
      </c>
    </row>
    <row r="197" spans="1:13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region_summary__37[[#This Row],[APPROVED BY Pengawas]]+region_summary__37[[#This Row],[EDITED BY Admin Kabupaten]]</f>
        <v>0</v>
      </c>
    </row>
    <row r="198" spans="1:13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region_summary__37[[#This Row],[APPROVED BY Pengawas]]+region_summary__37[[#This Row],[EDITED BY Admin Kabupaten]]</f>
        <v>0</v>
      </c>
    </row>
    <row r="199" spans="1:13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region_summary__37[[#This Row],[APPROVED BY Pengawas]]+region_summary__37[[#This Row],[EDITED BY Admin Kabupaten]]</f>
        <v>175</v>
      </c>
    </row>
    <row r="200" spans="1:13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region_summary__37[[#This Row],[APPROVED BY Pengawas]]+region_summary__37[[#This Row],[EDITED BY Admin Kabupaten]]</f>
        <v>1</v>
      </c>
    </row>
    <row r="201" spans="1:13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region_summary__37[[#This Row],[APPROVED BY Pengawas]]+region_summary__37[[#This Row],[EDITED BY Admin Kabupaten]]</f>
        <v>8</v>
      </c>
    </row>
    <row r="202" spans="1:13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region_summary__37[[#This Row],[APPROVED BY Pengawas]]+region_summary__37[[#This Row],[EDITED BY Admin Kabupaten]]</f>
        <v>13</v>
      </c>
    </row>
    <row r="203" spans="1:13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0</v>
      </c>
      <c r="G203">
        <v>37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region_summary__37[[#This Row],[APPROVED BY Pengawas]]+region_summary__37[[#This Row],[EDITED BY Admin Kabupaten]]</f>
        <v>49</v>
      </c>
    </row>
    <row r="204" spans="1:13" x14ac:dyDescent="0.25">
      <c r="A204" t="s">
        <v>63</v>
      </c>
      <c r="B204">
        <v>7172012004001701</v>
      </c>
      <c r="C204">
        <v>341</v>
      </c>
      <c r="D204">
        <v>106</v>
      </c>
      <c r="E204">
        <v>43</v>
      </c>
      <c r="F204">
        <v>0</v>
      </c>
      <c r="G204">
        <v>187</v>
      </c>
      <c r="H204">
        <v>0</v>
      </c>
      <c r="I204">
        <v>5</v>
      </c>
      <c r="J204">
        <v>0</v>
      </c>
      <c r="K204">
        <v>0</v>
      </c>
      <c r="L204">
        <v>0</v>
      </c>
      <c r="M204">
        <f>region_summary__37[[#This Row],[APPROVED BY Pengawas]]+region_summary__37[[#This Row],[EDITED BY Admin Kabupaten]]</f>
        <v>106</v>
      </c>
    </row>
    <row r="205" spans="1:13" x14ac:dyDescent="0.25">
      <c r="A205" t="s">
        <v>63</v>
      </c>
      <c r="B205">
        <v>7172012004002000</v>
      </c>
      <c r="C205">
        <v>170</v>
      </c>
      <c r="D205">
        <v>6</v>
      </c>
      <c r="E205">
        <v>1</v>
      </c>
      <c r="F205">
        <v>0</v>
      </c>
      <c r="G205">
        <v>163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region_summary__37[[#This Row],[APPROVED BY Pengawas]]+region_summary__37[[#This Row],[EDITED BY Admin Kabupaten]]</f>
        <v>6</v>
      </c>
    </row>
    <row r="206" spans="1:13" x14ac:dyDescent="0.25">
      <c r="A206" t="s">
        <v>63</v>
      </c>
      <c r="B206">
        <v>7172012004002102</v>
      </c>
      <c r="C206">
        <v>66</v>
      </c>
      <c r="D206">
        <v>1</v>
      </c>
      <c r="E206">
        <v>0</v>
      </c>
      <c r="F206">
        <v>0</v>
      </c>
      <c r="G206">
        <v>61</v>
      </c>
      <c r="H206">
        <v>0</v>
      </c>
      <c r="I206">
        <v>0</v>
      </c>
      <c r="J206">
        <v>0</v>
      </c>
      <c r="K206">
        <v>4</v>
      </c>
      <c r="L206">
        <v>0</v>
      </c>
      <c r="M206">
        <f>region_summary__37[[#This Row],[APPROVED BY Pengawas]]+region_summary__37[[#This Row],[EDITED BY Admin Kabupaten]]</f>
        <v>1</v>
      </c>
    </row>
    <row r="207" spans="1:13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region_summary__37[[#This Row],[APPROVED BY Pengawas]]+region_summary__37[[#This Row],[EDITED BY Admin Kabupaten]]</f>
        <v>25</v>
      </c>
    </row>
    <row r="208" spans="1:13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region_summary__37[[#This Row],[APPROVED BY Pengawas]]+region_summary__37[[#This Row],[EDITED BY Admin Kabupaten]]</f>
        <v>0</v>
      </c>
    </row>
    <row r="209" spans="1:13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region_summary__37[[#This Row],[APPROVED BY Pengawas]]+region_summary__37[[#This Row],[EDITED BY Admin Kabupaten]]</f>
        <v>119</v>
      </c>
    </row>
    <row r="210" spans="1:13" x14ac:dyDescent="0.25">
      <c r="A210" t="s">
        <v>64</v>
      </c>
      <c r="B210">
        <v>7172012004002500</v>
      </c>
      <c r="C210">
        <v>155</v>
      </c>
      <c r="D210">
        <v>24</v>
      </c>
      <c r="E210">
        <v>11</v>
      </c>
      <c r="F210">
        <v>0</v>
      </c>
      <c r="G210">
        <v>99</v>
      </c>
      <c r="H210">
        <v>0</v>
      </c>
      <c r="I210">
        <v>0</v>
      </c>
      <c r="J210">
        <v>0</v>
      </c>
      <c r="K210">
        <v>21</v>
      </c>
      <c r="L210">
        <v>0</v>
      </c>
      <c r="M210">
        <f>region_summary__37[[#This Row],[APPROVED BY Pengawas]]+region_summary__37[[#This Row],[EDITED BY Admin Kabupaten]]</f>
        <v>24</v>
      </c>
    </row>
    <row r="211" spans="1:13" x14ac:dyDescent="0.25">
      <c r="A211" t="s">
        <v>64</v>
      </c>
      <c r="B211">
        <v>7172012004002401</v>
      </c>
      <c r="C211">
        <v>143</v>
      </c>
      <c r="D211">
        <v>110</v>
      </c>
      <c r="E211">
        <v>6</v>
      </c>
      <c r="F211">
        <v>0</v>
      </c>
      <c r="G211">
        <v>23</v>
      </c>
      <c r="H211">
        <v>0</v>
      </c>
      <c r="I211">
        <v>0</v>
      </c>
      <c r="J211">
        <v>0</v>
      </c>
      <c r="K211">
        <v>4</v>
      </c>
      <c r="L211">
        <v>0</v>
      </c>
      <c r="M211">
        <f>region_summary__37[[#This Row],[APPROVED BY Pengawas]]+region_summary__37[[#This Row],[EDITED BY Admin Kabupaten]]</f>
        <v>110</v>
      </c>
    </row>
    <row r="212" spans="1:13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region_summary__37[[#This Row],[APPROVED BY Pengawas]]+region_summary__37[[#This Row],[EDITED BY Admin Kabupaten]]</f>
        <v>0</v>
      </c>
    </row>
    <row r="213" spans="1:13" x14ac:dyDescent="0.25">
      <c r="A213" t="s">
        <v>65</v>
      </c>
      <c r="B213">
        <v>7172012004002600</v>
      </c>
      <c r="C213">
        <v>129</v>
      </c>
      <c r="D213">
        <v>64</v>
      </c>
      <c r="E213">
        <v>1</v>
      </c>
      <c r="F213">
        <v>0</v>
      </c>
      <c r="G213">
        <v>11</v>
      </c>
      <c r="H213">
        <v>0</v>
      </c>
      <c r="I213">
        <v>0</v>
      </c>
      <c r="J213">
        <v>0</v>
      </c>
      <c r="K213">
        <v>53</v>
      </c>
      <c r="L213">
        <v>0</v>
      </c>
      <c r="M213">
        <f>region_summary__37[[#This Row],[APPROVED BY Pengawas]]+region_summary__37[[#This Row],[EDITED BY Admin Kabupaten]]</f>
        <v>64</v>
      </c>
    </row>
    <row r="214" spans="1:13" x14ac:dyDescent="0.25">
      <c r="A214" t="s">
        <v>65</v>
      </c>
      <c r="B214">
        <v>7172012004002403</v>
      </c>
      <c r="C214">
        <v>92</v>
      </c>
      <c r="D214">
        <v>64</v>
      </c>
      <c r="E214">
        <v>11</v>
      </c>
      <c r="F214">
        <v>0</v>
      </c>
      <c r="G214">
        <v>14</v>
      </c>
      <c r="H214">
        <v>0</v>
      </c>
      <c r="I214">
        <v>0</v>
      </c>
      <c r="J214">
        <v>0</v>
      </c>
      <c r="K214">
        <v>3</v>
      </c>
      <c r="L214">
        <v>0</v>
      </c>
      <c r="M214">
        <f>region_summary__37[[#This Row],[APPROVED BY Pengawas]]+region_summary__37[[#This Row],[EDITED BY Admin Kabupaten]]</f>
        <v>64</v>
      </c>
    </row>
    <row r="215" spans="1:13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region_summary__37[[#This Row],[APPROVED BY Pengawas]]+region_summary__37[[#This Row],[EDITED BY Admin Kabupaten]]</f>
        <v>0</v>
      </c>
    </row>
    <row r="216" spans="1:13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region_summary__37[[#This Row],[APPROVED BY Pengawas]]+region_summary__37[[#This Row],[EDITED BY Admin Kabupaten]]</f>
        <v>0</v>
      </c>
    </row>
    <row r="217" spans="1:13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region_summary__37[[#This Row],[APPROVED BY Pengawas]]+region_summary__37[[#This Row],[EDITED BY Admin Kabupaten]]</f>
        <v>0</v>
      </c>
    </row>
    <row r="218" spans="1:13" x14ac:dyDescent="0.25">
      <c r="A218" t="s">
        <v>65</v>
      </c>
      <c r="B218">
        <v>7172012005000200</v>
      </c>
      <c r="C218">
        <v>52</v>
      </c>
      <c r="D218">
        <v>32</v>
      </c>
      <c r="E218">
        <v>5</v>
      </c>
      <c r="F218">
        <v>0</v>
      </c>
      <c r="G218">
        <v>15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region_summary__37[[#This Row],[APPROVED BY Pengawas]]+region_summary__37[[#This Row],[EDITED BY Admin Kabupaten]]</f>
        <v>32</v>
      </c>
    </row>
    <row r="219" spans="1:13" x14ac:dyDescent="0.25">
      <c r="A219" t="s">
        <v>70</v>
      </c>
      <c r="B219">
        <v>7172012006001600</v>
      </c>
      <c r="C219">
        <v>117</v>
      </c>
      <c r="D219">
        <v>10</v>
      </c>
      <c r="E219">
        <v>8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63</v>
      </c>
      <c r="L219">
        <v>0</v>
      </c>
      <c r="M219">
        <f>region_summary__37[[#This Row],[APPROVED BY Pengawas]]+region_summary__37[[#This Row],[EDITED BY Admin Kabupaten]]</f>
        <v>10</v>
      </c>
    </row>
    <row r="220" spans="1:13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region_summary__37[[#This Row],[APPROVED BY Pengawas]]+region_summary__37[[#This Row],[EDITED BY Admin Kabupaten]]</f>
        <v>16</v>
      </c>
    </row>
    <row r="221" spans="1:13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23</v>
      </c>
      <c r="L221">
        <v>0</v>
      </c>
      <c r="M221">
        <f>region_summary__37[[#This Row],[APPROVED BY Pengawas]]+region_summary__37[[#This Row],[EDITED BY Admin Kabupaten]]</f>
        <v>2</v>
      </c>
    </row>
    <row r="222" spans="1:13" x14ac:dyDescent="0.25">
      <c r="A222" t="s">
        <v>70</v>
      </c>
      <c r="B222">
        <v>7172012006001200</v>
      </c>
      <c r="C222">
        <v>76</v>
      </c>
      <c r="D222">
        <v>0</v>
      </c>
      <c r="E222">
        <v>14</v>
      </c>
      <c r="F222">
        <v>0</v>
      </c>
      <c r="G222">
        <v>59</v>
      </c>
      <c r="H222">
        <v>0</v>
      </c>
      <c r="I222">
        <v>0</v>
      </c>
      <c r="J222">
        <v>0</v>
      </c>
      <c r="K222">
        <v>3</v>
      </c>
      <c r="L222">
        <v>0</v>
      </c>
      <c r="M222">
        <f>region_summary__37[[#This Row],[APPROVED BY Pengawas]]+region_summary__37[[#This Row],[EDITED BY Admin Kabupaten]]</f>
        <v>0</v>
      </c>
    </row>
    <row r="223" spans="1:13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0</v>
      </c>
      <c r="G223">
        <v>76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region_summary__37[[#This Row],[APPROVED BY Pengawas]]+region_summary__37[[#This Row],[EDITED BY Admin Kabupaten]]</f>
        <v>0</v>
      </c>
    </row>
    <row r="224" spans="1:13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region_summary__37[[#This Row],[APPROVED BY Pengawas]]+region_summary__37[[#This Row],[EDITED BY Admin Kabupaten]]</f>
        <v>0</v>
      </c>
    </row>
    <row r="225" spans="1:13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region_summary__37[[#This Row],[APPROVED BY Pengawas]]+region_summary__37[[#This Row],[EDITED BY Admin Kabupaten]]</f>
        <v>0</v>
      </c>
    </row>
    <row r="226" spans="1:13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14</v>
      </c>
      <c r="L226">
        <v>0</v>
      </c>
      <c r="M226">
        <f>region_summary__37[[#This Row],[APPROVED BY Pengawas]]+region_summary__37[[#This Row],[EDITED BY Admin Kabupaten]]</f>
        <v>34</v>
      </c>
    </row>
    <row r="227" spans="1:13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region_summary__37[[#This Row],[APPROVED BY Pengawas]]+region_summary__37[[#This Row],[EDITED BY Admin Kabupaten]]</f>
        <v>0</v>
      </c>
    </row>
    <row r="228" spans="1:13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0</v>
      </c>
      <c r="G228">
        <v>97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region_summary__37[[#This Row],[APPROVED BY Pengawas]]+region_summary__37[[#This Row],[EDITED BY Admin Kabupaten]]</f>
        <v>0</v>
      </c>
    </row>
    <row r="229" spans="1:13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0</v>
      </c>
      <c r="G229">
        <v>22</v>
      </c>
      <c r="H229">
        <v>0</v>
      </c>
      <c r="I229">
        <v>2</v>
      </c>
      <c r="J229">
        <v>0</v>
      </c>
      <c r="K229">
        <v>0</v>
      </c>
      <c r="L229">
        <v>0</v>
      </c>
      <c r="M229">
        <f>region_summary__37[[#This Row],[APPROVED BY Pengawas]]+region_summary__37[[#This Row],[EDITED BY Admin Kabupaten]]</f>
        <v>77</v>
      </c>
    </row>
    <row r="230" spans="1:13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region_summary__37[[#This Row],[APPROVED BY Pengawas]]+region_summary__37[[#This Row],[EDITED BY Admin Kabupaten]]</f>
        <v>26</v>
      </c>
    </row>
    <row r="231" spans="1:13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0</v>
      </c>
      <c r="G231">
        <v>6</v>
      </c>
      <c r="H231">
        <v>0</v>
      </c>
      <c r="I231">
        <v>1</v>
      </c>
      <c r="J231">
        <v>0</v>
      </c>
      <c r="K231">
        <v>0</v>
      </c>
      <c r="L231">
        <v>0</v>
      </c>
      <c r="M231">
        <f>region_summary__37[[#This Row],[APPROVED BY Pengawas]]+region_summary__37[[#This Row],[EDITED BY Admin Kabupaten]]</f>
        <v>46</v>
      </c>
    </row>
    <row r="232" spans="1:13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0</v>
      </c>
      <c r="G232">
        <v>39</v>
      </c>
      <c r="H232">
        <v>0</v>
      </c>
      <c r="I232">
        <v>1</v>
      </c>
      <c r="J232">
        <v>0</v>
      </c>
      <c r="K232">
        <v>0</v>
      </c>
      <c r="L232">
        <v>0</v>
      </c>
      <c r="M232">
        <f>region_summary__37[[#This Row],[APPROVED BY Pengawas]]+region_summary__37[[#This Row],[EDITED BY Admin Kabupaten]]</f>
        <v>7</v>
      </c>
    </row>
    <row r="233" spans="1:13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region_summary__37[[#This Row],[APPROVED BY Pengawas]]+region_summary__37[[#This Row],[EDITED BY Admin Kabupaten]]</f>
        <v>47</v>
      </c>
    </row>
    <row r="234" spans="1:13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region_summary__37[[#This Row],[APPROVED BY Pengawas]]+region_summary__37[[#This Row],[EDITED BY Admin Kabupaten]]</f>
        <v>30</v>
      </c>
    </row>
    <row r="235" spans="1:13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region_summary__37[[#This Row],[APPROVED BY Pengawas]]+region_summary__37[[#This Row],[EDITED BY Admin Kabupaten]]</f>
        <v>37</v>
      </c>
    </row>
    <row r="236" spans="1:13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region_summary__37[[#This Row],[APPROVED BY Pengawas]]+region_summary__37[[#This Row],[EDITED BY Admin Kabupaten]]</f>
        <v>0</v>
      </c>
    </row>
    <row r="237" spans="1:13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3</v>
      </c>
      <c r="L237">
        <v>0</v>
      </c>
      <c r="M237">
        <f>region_summary__37[[#This Row],[APPROVED BY Pengawas]]+region_summary__37[[#This Row],[EDITED BY Admin Kabupaten]]</f>
        <v>0</v>
      </c>
    </row>
    <row r="238" spans="1:13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0</v>
      </c>
      <c r="G238">
        <v>20</v>
      </c>
      <c r="H238">
        <v>0</v>
      </c>
      <c r="I238">
        <v>0</v>
      </c>
      <c r="J238">
        <v>0</v>
      </c>
      <c r="K238">
        <v>68</v>
      </c>
      <c r="L238">
        <v>0</v>
      </c>
      <c r="M238">
        <f>region_summary__37[[#This Row],[APPROVED BY Pengawas]]+region_summary__37[[#This Row],[EDITED BY Admin Kabupaten]]</f>
        <v>35</v>
      </c>
    </row>
    <row r="239" spans="1:13" x14ac:dyDescent="0.25">
      <c r="A239" t="s">
        <v>230</v>
      </c>
      <c r="B239">
        <v>7172012007000200</v>
      </c>
      <c r="C239">
        <v>125</v>
      </c>
      <c r="D239">
        <v>11</v>
      </c>
      <c r="E239">
        <v>65</v>
      </c>
      <c r="F239">
        <v>0</v>
      </c>
      <c r="G239">
        <v>40</v>
      </c>
      <c r="H239">
        <v>0</v>
      </c>
      <c r="I239">
        <v>0</v>
      </c>
      <c r="J239">
        <v>0</v>
      </c>
      <c r="K239">
        <v>9</v>
      </c>
      <c r="L239">
        <v>0</v>
      </c>
      <c r="M239">
        <f>region_summary__37[[#This Row],[APPROVED BY Pengawas]]+region_summary__37[[#This Row],[EDITED BY Admin Kabupaten]]</f>
        <v>11</v>
      </c>
    </row>
    <row r="240" spans="1:13" x14ac:dyDescent="0.25">
      <c r="A240" t="s">
        <v>230</v>
      </c>
      <c r="B240">
        <v>7172012007000400</v>
      </c>
      <c r="C240">
        <v>113</v>
      </c>
      <c r="D240">
        <v>58</v>
      </c>
      <c r="E240">
        <v>5</v>
      </c>
      <c r="F240">
        <v>0</v>
      </c>
      <c r="G240">
        <v>40</v>
      </c>
      <c r="H240">
        <v>0</v>
      </c>
      <c r="I240">
        <v>0</v>
      </c>
      <c r="J240">
        <v>0</v>
      </c>
      <c r="K240">
        <v>10</v>
      </c>
      <c r="L240">
        <v>0</v>
      </c>
      <c r="M240">
        <f>region_summary__37[[#This Row],[APPROVED BY Pengawas]]+region_summary__37[[#This Row],[EDITED BY Admin Kabupaten]]</f>
        <v>58</v>
      </c>
    </row>
    <row r="241" spans="1:13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region_summary__37[[#This Row],[APPROVED BY Pengawas]]+region_summary__37[[#This Row],[EDITED BY Admin Kabupaten]]</f>
        <v>0</v>
      </c>
    </row>
    <row r="242" spans="1:13" x14ac:dyDescent="0.25">
      <c r="A242" t="s">
        <v>72</v>
      </c>
      <c r="B242">
        <v>7172012007000800</v>
      </c>
      <c r="C242">
        <v>159</v>
      </c>
      <c r="D242">
        <v>3</v>
      </c>
      <c r="E242">
        <v>25</v>
      </c>
      <c r="F242">
        <v>0</v>
      </c>
      <c r="G242">
        <v>74</v>
      </c>
      <c r="H242">
        <v>0</v>
      </c>
      <c r="I242">
        <v>5</v>
      </c>
      <c r="J242">
        <v>0</v>
      </c>
      <c r="K242">
        <v>52</v>
      </c>
      <c r="L242">
        <v>0</v>
      </c>
      <c r="M242">
        <f>region_summary__37[[#This Row],[APPROVED BY Pengawas]]+region_summary__37[[#This Row],[EDITED BY Admin Kabupaten]]</f>
        <v>3</v>
      </c>
    </row>
    <row r="243" spans="1:13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0</v>
      </c>
      <c r="G243">
        <v>2</v>
      </c>
      <c r="H243">
        <v>0</v>
      </c>
      <c r="I243">
        <v>0</v>
      </c>
      <c r="J243">
        <v>0</v>
      </c>
      <c r="K243">
        <v>31</v>
      </c>
      <c r="L243">
        <v>0</v>
      </c>
      <c r="M243">
        <f>region_summary__37[[#This Row],[APPROVED BY Pengawas]]+region_summary__37[[#This Row],[EDITED BY Admin Kabupaten]]</f>
        <v>81</v>
      </c>
    </row>
    <row r="244" spans="1:13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0</v>
      </c>
      <c r="G244">
        <v>51</v>
      </c>
      <c r="H244">
        <v>0</v>
      </c>
      <c r="I244">
        <v>0</v>
      </c>
      <c r="J244">
        <v>0</v>
      </c>
      <c r="K244">
        <v>25</v>
      </c>
      <c r="L244">
        <v>0</v>
      </c>
      <c r="M244">
        <f>region_summary__37[[#This Row],[APPROVED BY Pengawas]]+region_summary__37[[#This Row],[EDITED BY Admin Kabupaten]]</f>
        <v>0</v>
      </c>
    </row>
    <row r="245" spans="1:13" x14ac:dyDescent="0.25">
      <c r="A245" t="s">
        <v>72</v>
      </c>
      <c r="B245">
        <v>7172012007001000</v>
      </c>
      <c r="C245">
        <v>85</v>
      </c>
      <c r="D245">
        <v>0</v>
      </c>
      <c r="E245">
        <v>5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region_summary__37[[#This Row],[APPROVED BY Pengawas]]+region_summary__37[[#This Row],[EDITED BY Admin Kabupaten]]</f>
        <v>0</v>
      </c>
    </row>
    <row r="246" spans="1:13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0</v>
      </c>
      <c r="G246">
        <v>52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region_summary__37[[#This Row],[APPROVED BY Pengawas]]+region_summary__37[[#This Row],[EDITED BY Admin Kabupaten]]</f>
        <v>26</v>
      </c>
    </row>
    <row r="247" spans="1:13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region_summary__37[[#This Row],[APPROVED BY Pengawas]]+region_summary__37[[#This Row],[EDITED BY Admin Kabupaten]]</f>
        <v>7</v>
      </c>
    </row>
    <row r="248" spans="1:13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72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region_summary__37[[#This Row],[APPROVED BY Pengawas]]+region_summary__37[[#This Row],[EDITED BY Admin Kabupaten]]</f>
        <v>18</v>
      </c>
    </row>
    <row r="249" spans="1:13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region_summary__37[[#This Row],[APPROVED BY Pengawas]]+region_summary__37[[#This Row],[EDITED BY Admin Kabupaten]]</f>
        <v>40</v>
      </c>
    </row>
    <row r="250" spans="1:13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region_summary__37[[#This Row],[APPROVED BY Pengawas]]+region_summary__37[[#This Row],[EDITED BY Admin Kabupaten]]</f>
        <v>9</v>
      </c>
    </row>
    <row r="251" spans="1:13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0</v>
      </c>
      <c r="G251">
        <v>1</v>
      </c>
      <c r="H251">
        <v>0</v>
      </c>
      <c r="I251">
        <v>5</v>
      </c>
      <c r="J251">
        <v>0</v>
      </c>
      <c r="K251">
        <v>0</v>
      </c>
      <c r="L251">
        <v>0</v>
      </c>
      <c r="M251">
        <f>region_summary__37[[#This Row],[APPROVED BY Pengawas]]+region_summary__37[[#This Row],[EDITED BY Admin Kabupaten]]</f>
        <v>19</v>
      </c>
    </row>
    <row r="252" spans="1:13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region_summary__37[[#This Row],[APPROVED BY Pengawas]]+region_summary__37[[#This Row],[EDITED BY Admin Kabupaten]]</f>
        <v>1</v>
      </c>
    </row>
    <row r="253" spans="1:13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region_summary__37[[#This Row],[APPROVED BY Pengawas]]+region_summary__37[[#This Row],[EDITED BY Admin Kabupaten]]</f>
        <v>38</v>
      </c>
    </row>
    <row r="254" spans="1:13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region_summary__37[[#This Row],[APPROVED BY Pengawas]]+region_summary__37[[#This Row],[EDITED BY Admin Kabupaten]]</f>
        <v>63</v>
      </c>
    </row>
    <row r="255" spans="1:13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region_summary__37[[#This Row],[APPROVED BY Pengawas]]+region_summary__37[[#This Row],[EDITED BY Admin Kabupaten]]</f>
        <v>12</v>
      </c>
    </row>
    <row r="256" spans="1:13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region_summary__37[[#This Row],[APPROVED BY Pengawas]]+region_summary__37[[#This Row],[EDITED BY Admin Kabupaten]]</f>
        <v>6</v>
      </c>
    </row>
    <row r="257" spans="1:13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region_summary__37[[#This Row],[APPROVED BY Pengawas]]+region_summary__37[[#This Row],[EDITED BY Admin Kabupaten]]</f>
        <v>10</v>
      </c>
    </row>
    <row r="258" spans="1:13" x14ac:dyDescent="0.25">
      <c r="A258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region_summary__37[[#This Row],[APPROVED BY Pengawas]]+region_summary__37[[#This Row],[EDITED BY Admin Kabupaten]]</f>
        <v>60</v>
      </c>
    </row>
    <row r="259" spans="1:13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region_summary__37[[#This Row],[APPROVED BY Pengawas]]+region_summary__37[[#This Row],[EDITED BY Admin Kabupaten]]</f>
        <v>10</v>
      </c>
    </row>
    <row r="260" spans="1:13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0</v>
      </c>
      <c r="G260">
        <v>58</v>
      </c>
      <c r="H260">
        <v>0</v>
      </c>
      <c r="I260">
        <v>0</v>
      </c>
      <c r="J260">
        <v>1</v>
      </c>
      <c r="K260">
        <v>0</v>
      </c>
      <c r="L260">
        <v>0</v>
      </c>
      <c r="M260">
        <f>region_summary__37[[#This Row],[APPROVED BY Pengawas]]+region_summary__37[[#This Row],[EDITED BY Admin Kabupaten]]</f>
        <v>33</v>
      </c>
    </row>
    <row r="261" spans="1:13" x14ac:dyDescent="0.25">
      <c r="A261" t="s">
        <v>74</v>
      </c>
      <c r="B261">
        <v>7172021002000200</v>
      </c>
      <c r="C261">
        <v>85</v>
      </c>
      <c r="D261">
        <v>54</v>
      </c>
      <c r="E261">
        <v>4</v>
      </c>
      <c r="F261">
        <v>0</v>
      </c>
      <c r="G261">
        <v>27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region_summary__37[[#This Row],[APPROVED BY Pengawas]]+region_summary__37[[#This Row],[EDITED BY Admin Kabupaten]]</f>
        <v>54</v>
      </c>
    </row>
    <row r="262" spans="1:13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region_summary__37[[#This Row],[APPROVED BY Pengawas]]+region_summary__37[[#This Row],[EDITED BY Admin Kabupaten]]</f>
        <v>18</v>
      </c>
    </row>
    <row r="263" spans="1:13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region_summary__37[[#This Row],[APPROVED BY Pengawas]]+region_summary__37[[#This Row],[EDITED BY Admin Kabupaten]]</f>
        <v>14</v>
      </c>
    </row>
    <row r="264" spans="1:13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region_summary__37[[#This Row],[APPROVED BY Pengawas]]+region_summary__37[[#This Row],[EDITED BY Admin Kabupaten]]</f>
        <v>14</v>
      </c>
    </row>
    <row r="265" spans="1:13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region_summary__37[[#This Row],[APPROVED BY Pengawas]]+region_summary__37[[#This Row],[EDITED BY Admin Kabupaten]]</f>
        <v>37</v>
      </c>
    </row>
    <row r="266" spans="1:13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region_summary__37[[#This Row],[APPROVED BY Pengawas]]+region_summary__37[[#This Row],[EDITED BY Admin Kabupaten]]</f>
        <v>8</v>
      </c>
    </row>
    <row r="267" spans="1:13" x14ac:dyDescent="0.25">
      <c r="A267" t="s">
        <v>74</v>
      </c>
      <c r="B267">
        <v>7172021001000100</v>
      </c>
      <c r="C267">
        <v>32</v>
      </c>
      <c r="D267">
        <v>14</v>
      </c>
      <c r="E267">
        <v>5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region_summary__37[[#This Row],[APPROVED BY Pengawas]]+region_summary__37[[#This Row],[EDITED BY Admin Kabupaten]]</f>
        <v>14</v>
      </c>
    </row>
    <row r="268" spans="1:13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region_summary__37[[#This Row],[APPROVED BY Pengawas]]+region_summary__37[[#This Row],[EDITED BY Admin Kabupaten]]</f>
        <v>88</v>
      </c>
    </row>
    <row r="269" spans="1:13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region_summary__37[[#This Row],[APPROVED BY Pengawas]]+region_summary__37[[#This Row],[EDITED BY Admin Kabupaten]]</f>
        <v>16</v>
      </c>
    </row>
    <row r="270" spans="1:13" x14ac:dyDescent="0.25">
      <c r="A270" t="s">
        <v>78</v>
      </c>
      <c r="B270">
        <v>7172021004000200</v>
      </c>
      <c r="C270">
        <v>80</v>
      </c>
      <c r="D270">
        <v>17</v>
      </c>
      <c r="E270">
        <v>0</v>
      </c>
      <c r="F270">
        <v>0</v>
      </c>
      <c r="G270">
        <v>63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region_summary__37[[#This Row],[APPROVED BY Pengawas]]+region_summary__37[[#This Row],[EDITED BY Admin Kabupaten]]</f>
        <v>17</v>
      </c>
    </row>
    <row r="271" spans="1:13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region_summary__37[[#This Row],[APPROVED BY Pengawas]]+region_summary__37[[#This Row],[EDITED BY Admin Kabupaten]]</f>
        <v>17</v>
      </c>
    </row>
    <row r="272" spans="1:13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region_summary__37[[#This Row],[APPROVED BY Pengawas]]+region_summary__37[[#This Row],[EDITED BY Admin Kabupaten]]</f>
        <v>8</v>
      </c>
    </row>
    <row r="273" spans="1:13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region_summary__37[[#This Row],[APPROVED BY Pengawas]]+region_summary__37[[#This Row],[EDITED BY Admin Kabupaten]]</f>
        <v>65</v>
      </c>
    </row>
    <row r="274" spans="1:13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region_summary__37[[#This Row],[APPROVED BY Pengawas]]+region_summary__37[[#This Row],[EDITED BY Admin Kabupaten]]</f>
        <v>12</v>
      </c>
    </row>
    <row r="275" spans="1:13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region_summary__37[[#This Row],[APPROVED BY Pengawas]]+region_summary__37[[#This Row],[EDITED BY Admin Kabupaten]]</f>
        <v>63</v>
      </c>
    </row>
    <row r="276" spans="1:13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region_summary__37[[#This Row],[APPROVED BY Pengawas]]+region_summary__37[[#This Row],[EDITED BY Admin Kabupaten]]</f>
        <v>56</v>
      </c>
    </row>
    <row r="277" spans="1:13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region_summary__37[[#This Row],[APPROVED BY Pengawas]]+region_summary__37[[#This Row],[EDITED BY Admin Kabupaten]]</f>
        <v>25</v>
      </c>
    </row>
    <row r="278" spans="1:13" x14ac:dyDescent="0.25">
      <c r="A278" t="s">
        <v>79</v>
      </c>
      <c r="B278">
        <v>7172021005000200</v>
      </c>
      <c r="C278">
        <v>79</v>
      </c>
      <c r="D278">
        <v>24</v>
      </c>
      <c r="E278">
        <v>11</v>
      </c>
      <c r="F278">
        <v>0</v>
      </c>
      <c r="G278">
        <v>44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region_summary__37[[#This Row],[APPROVED BY Pengawas]]+region_summary__37[[#This Row],[EDITED BY Admin Kabupaten]]</f>
        <v>24</v>
      </c>
    </row>
    <row r="279" spans="1:13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region_summary__37[[#This Row],[APPROVED BY Pengawas]]+region_summary__37[[#This Row],[EDITED BY Admin Kabupaten]]</f>
        <v>9</v>
      </c>
    </row>
    <row r="280" spans="1:13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region_summary__37[[#This Row],[APPROVED BY Pengawas]]+region_summary__37[[#This Row],[EDITED BY Admin Kabupaten]]</f>
        <v>10</v>
      </c>
    </row>
    <row r="281" spans="1:13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region_summary__37[[#This Row],[APPROVED BY Pengawas]]+region_summary__37[[#This Row],[EDITED BY Admin Kabupaten]]</f>
        <v>9</v>
      </c>
    </row>
    <row r="282" spans="1:13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region_summary__37[[#This Row],[APPROVED BY Pengawas]]+region_summary__37[[#This Row],[EDITED BY Admin Kabupaten]]</f>
        <v>4</v>
      </c>
    </row>
    <row r="283" spans="1:13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5</v>
      </c>
      <c r="L283">
        <v>0</v>
      </c>
      <c r="M283">
        <f>region_summary__37[[#This Row],[APPROVED BY Pengawas]]+region_summary__37[[#This Row],[EDITED BY Admin Kabupaten]]</f>
        <v>7</v>
      </c>
    </row>
    <row r="284" spans="1:13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0</v>
      </c>
      <c r="G284">
        <v>56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region_summary__37[[#This Row],[APPROVED BY Pengawas]]+region_summary__37[[#This Row],[EDITED BY Admin Kabupaten]]</f>
        <v>0</v>
      </c>
    </row>
    <row r="285" spans="1:13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region_summary__37[[#This Row],[APPROVED BY Pengawas]]+region_summary__37[[#This Row],[EDITED BY Admin Kabupaten]]</f>
        <v>5</v>
      </c>
    </row>
    <row r="286" spans="1:13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23</v>
      </c>
      <c r="L286">
        <v>0</v>
      </c>
      <c r="M286">
        <f>region_summary__37[[#This Row],[APPROVED BY Pengawas]]+region_summary__37[[#This Row],[EDITED BY Admin Kabupaten]]</f>
        <v>27</v>
      </c>
    </row>
    <row r="287" spans="1:13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region_summary__37[[#This Row],[APPROVED BY Pengawas]]+region_summary__37[[#This Row],[EDITED BY Admin Kabupaten]]</f>
        <v>0</v>
      </c>
    </row>
    <row r="288" spans="1:13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region_summary__37[[#This Row],[APPROVED BY Pengawas]]+region_summary__37[[#This Row],[EDITED BY Admin Kabupaten]]</f>
        <v>1</v>
      </c>
    </row>
    <row r="289" spans="1:13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region_summary__37[[#This Row],[APPROVED BY Pengawas]]+region_summary__37[[#This Row],[EDITED BY Admin Kabupaten]]</f>
        <v>0</v>
      </c>
    </row>
    <row r="290" spans="1:13" x14ac:dyDescent="0.25">
      <c r="A290" t="s">
        <v>89</v>
      </c>
      <c r="B290">
        <v>7172022009000100</v>
      </c>
      <c r="C290">
        <v>106</v>
      </c>
      <c r="D290">
        <v>1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5</v>
      </c>
      <c r="L290">
        <v>0</v>
      </c>
      <c r="M290">
        <f>region_summary__37[[#This Row],[APPROVED BY Pengawas]]+region_summary__37[[#This Row],[EDITED BY Admin Kabupaten]]</f>
        <v>1</v>
      </c>
    </row>
    <row r="291" spans="1:13" x14ac:dyDescent="0.25">
      <c r="A291" t="s">
        <v>89</v>
      </c>
      <c r="B291">
        <v>7172022008000400</v>
      </c>
      <c r="C291">
        <v>98</v>
      </c>
      <c r="D291">
        <v>42</v>
      </c>
      <c r="E291">
        <v>12</v>
      </c>
      <c r="F291">
        <v>0</v>
      </c>
      <c r="G291">
        <v>8</v>
      </c>
      <c r="H291">
        <v>0</v>
      </c>
      <c r="I291">
        <v>1</v>
      </c>
      <c r="J291">
        <v>0</v>
      </c>
      <c r="K291">
        <v>35</v>
      </c>
      <c r="L291">
        <v>0</v>
      </c>
      <c r="M291">
        <f>region_summary__37[[#This Row],[APPROVED BY Pengawas]]+region_summary__37[[#This Row],[EDITED BY Admin Kabupaten]]</f>
        <v>42</v>
      </c>
    </row>
    <row r="292" spans="1:13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region_summary__37[[#This Row],[APPROVED BY Pengawas]]+region_summary__37[[#This Row],[EDITED BY Admin Kabupaten]]</f>
        <v>0</v>
      </c>
    </row>
    <row r="293" spans="1:13" x14ac:dyDescent="0.25">
      <c r="A293" t="s">
        <v>89</v>
      </c>
      <c r="B293">
        <v>7172022009000400</v>
      </c>
      <c r="C293">
        <v>61</v>
      </c>
      <c r="D293">
        <v>6</v>
      </c>
      <c r="E293">
        <v>5</v>
      </c>
      <c r="F293">
        <v>0</v>
      </c>
      <c r="G293">
        <v>19</v>
      </c>
      <c r="H293">
        <v>0</v>
      </c>
      <c r="I293">
        <v>0</v>
      </c>
      <c r="J293">
        <v>0</v>
      </c>
      <c r="K293">
        <v>31</v>
      </c>
      <c r="L293">
        <v>0</v>
      </c>
      <c r="M293">
        <f>region_summary__37[[#This Row],[APPROVED BY Pengawas]]+region_summary__37[[#This Row],[EDITED BY Admin Kabupaten]]</f>
        <v>6</v>
      </c>
    </row>
    <row r="294" spans="1:13" x14ac:dyDescent="0.25">
      <c r="A294" t="s">
        <v>89</v>
      </c>
      <c r="B294">
        <v>7172022009000300</v>
      </c>
      <c r="C294">
        <v>47</v>
      </c>
      <c r="D294">
        <v>38</v>
      </c>
      <c r="E294">
        <v>1</v>
      </c>
      <c r="F294">
        <v>0</v>
      </c>
      <c r="G294">
        <v>5</v>
      </c>
      <c r="H294">
        <v>0</v>
      </c>
      <c r="I294">
        <v>0</v>
      </c>
      <c r="J294">
        <v>0</v>
      </c>
      <c r="K294">
        <v>3</v>
      </c>
      <c r="L294">
        <v>0</v>
      </c>
      <c r="M294">
        <f>region_summary__37[[#This Row],[APPROVED BY Pengawas]]+region_summary__37[[#This Row],[EDITED BY Admin Kabupaten]]</f>
        <v>38</v>
      </c>
    </row>
    <row r="295" spans="1:13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9</v>
      </c>
      <c r="L295">
        <v>0</v>
      </c>
      <c r="M295">
        <f>region_summary__37[[#This Row],[APPROVED BY Pengawas]]+region_summary__37[[#This Row],[EDITED BY Admin Kabupaten]]</f>
        <v>2</v>
      </c>
    </row>
    <row r="296" spans="1:13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region_summary__37[[#This Row],[APPROVED BY Pengawas]]+region_summary__37[[#This Row],[EDITED BY Admin Kabupaten]]</f>
        <v>0</v>
      </c>
    </row>
    <row r="297" spans="1:13" x14ac:dyDescent="0.25">
      <c r="A297" t="s">
        <v>90</v>
      </c>
      <c r="B297">
        <v>7172030006000600</v>
      </c>
      <c r="C297">
        <v>88</v>
      </c>
      <c r="D297">
        <v>7</v>
      </c>
      <c r="E297">
        <v>0</v>
      </c>
      <c r="F297">
        <v>0</v>
      </c>
      <c r="G297">
        <v>75</v>
      </c>
      <c r="H297">
        <v>0</v>
      </c>
      <c r="I297">
        <v>0</v>
      </c>
      <c r="J297">
        <v>0</v>
      </c>
      <c r="K297">
        <v>6</v>
      </c>
      <c r="L297">
        <v>0</v>
      </c>
      <c r="M297">
        <f>region_summary__37[[#This Row],[APPROVED BY Pengawas]]+region_summary__37[[#This Row],[EDITED BY Admin Kabupaten]]</f>
        <v>7</v>
      </c>
    </row>
    <row r="298" spans="1:13" x14ac:dyDescent="0.25">
      <c r="A298" t="s">
        <v>90</v>
      </c>
      <c r="B298">
        <v>7172030006000900</v>
      </c>
      <c r="C298">
        <v>88</v>
      </c>
      <c r="D298">
        <v>28</v>
      </c>
      <c r="E298">
        <v>4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region_summary__37[[#This Row],[APPROVED BY Pengawas]]+region_summary__37[[#This Row],[EDITED BY Admin Kabupaten]]</f>
        <v>28</v>
      </c>
    </row>
    <row r="299" spans="1:13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21</v>
      </c>
      <c r="L299">
        <v>0</v>
      </c>
      <c r="M299">
        <f>region_summary__37[[#This Row],[APPROVED BY Pengawas]]+region_summary__37[[#This Row],[EDITED BY Admin Kabupaten]]</f>
        <v>35</v>
      </c>
    </row>
    <row r="300" spans="1:13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0</v>
      </c>
      <c r="G300">
        <v>48</v>
      </c>
      <c r="H300">
        <v>0</v>
      </c>
      <c r="I300">
        <v>0</v>
      </c>
      <c r="J300">
        <v>0</v>
      </c>
      <c r="K300">
        <v>19</v>
      </c>
      <c r="L300">
        <v>0</v>
      </c>
      <c r="M300">
        <f>region_summary__37[[#This Row],[APPROVED BY Pengawas]]+region_summary__37[[#This Row],[EDITED BY Admin Kabupaten]]</f>
        <v>2</v>
      </c>
    </row>
    <row r="301" spans="1:13" x14ac:dyDescent="0.25">
      <c r="A301" t="s">
        <v>90</v>
      </c>
      <c r="B301">
        <v>7172030006000300</v>
      </c>
      <c r="C301">
        <v>70</v>
      </c>
      <c r="D301">
        <v>38</v>
      </c>
      <c r="E301">
        <v>5</v>
      </c>
      <c r="F301">
        <v>0</v>
      </c>
      <c r="G301">
        <v>25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region_summary__37[[#This Row],[APPROVED BY Pengawas]]+region_summary__37[[#This Row],[EDITED BY Admin Kabupaten]]</f>
        <v>38</v>
      </c>
    </row>
    <row r="302" spans="1:13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region_summary__37[[#This Row],[APPROVED BY Pengawas]]+region_summary__37[[#This Row],[EDITED BY Admin Kabupaten]]</f>
        <v>0</v>
      </c>
    </row>
    <row r="303" spans="1:13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region_summary__37[[#This Row],[APPROVED BY Pengawas]]+region_summary__37[[#This Row],[EDITED BY Admin Kabupaten]]</f>
        <v>64</v>
      </c>
    </row>
    <row r="304" spans="1:13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2</v>
      </c>
      <c r="L304">
        <v>0</v>
      </c>
      <c r="M304">
        <f>region_summary__37[[#This Row],[APPROVED BY Pengawas]]+region_summary__37[[#This Row],[EDITED BY Admin Kabupaten]]</f>
        <v>28</v>
      </c>
    </row>
    <row r="305" spans="1:13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region_summary__37[[#This Row],[APPROVED BY Pengawas]]+region_summary__37[[#This Row],[EDITED BY Admin Kabupaten]]</f>
        <v>109</v>
      </c>
    </row>
    <row r="306" spans="1:13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region_summary__37[[#This Row],[APPROVED BY Pengawas]]+region_summary__37[[#This Row],[EDITED BY Admin Kabupaten]]</f>
        <v>16</v>
      </c>
    </row>
    <row r="307" spans="1:13" x14ac:dyDescent="0.25">
      <c r="A307" t="s">
        <v>85</v>
      </c>
      <c r="B307">
        <v>7172022003000300</v>
      </c>
      <c r="C307">
        <v>58</v>
      </c>
      <c r="D307">
        <v>23</v>
      </c>
      <c r="E307">
        <v>0</v>
      </c>
      <c r="F307">
        <v>0</v>
      </c>
      <c r="G307">
        <v>3</v>
      </c>
      <c r="H307">
        <v>0</v>
      </c>
      <c r="I307">
        <v>2</v>
      </c>
      <c r="J307">
        <v>0</v>
      </c>
      <c r="K307">
        <v>30</v>
      </c>
      <c r="L307">
        <v>0</v>
      </c>
      <c r="M307">
        <f>region_summary__37[[#This Row],[APPROVED BY Pengawas]]+region_summary__37[[#This Row],[EDITED BY Admin Kabupaten]]</f>
        <v>23</v>
      </c>
    </row>
    <row r="308" spans="1:13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region_summary__37[[#This Row],[APPROVED BY Pengawas]]+region_summary__37[[#This Row],[EDITED BY Admin Kabupaten]]</f>
        <v>0</v>
      </c>
    </row>
    <row r="309" spans="1:13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region_summary__37[[#This Row],[APPROVED BY Pengawas]]+region_summary__37[[#This Row],[EDITED BY Admin Kabupaten]]</f>
        <v>0</v>
      </c>
    </row>
    <row r="310" spans="1:13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region_summary__37[[#This Row],[APPROVED BY Pengawas]]+region_summary__37[[#This Row],[EDITED BY Admin Kabupaten]]</f>
        <v>0</v>
      </c>
    </row>
    <row r="311" spans="1:13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region_summary__37[[#This Row],[APPROVED BY Pengawas]]+region_summary__37[[#This Row],[EDITED BY Admin Kabupaten]]</f>
        <v>0</v>
      </c>
    </row>
    <row r="312" spans="1:13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region_summary__37[[#This Row],[APPROVED BY Pengawas]]+region_summary__37[[#This Row],[EDITED BY Admin Kabupaten]]</f>
        <v>0</v>
      </c>
    </row>
    <row r="313" spans="1:13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region_summary__37[[#This Row],[APPROVED BY Pengawas]]+region_summary__37[[#This Row],[EDITED BY Admin Kabupaten]]</f>
        <v>89</v>
      </c>
    </row>
    <row r="314" spans="1:13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region_summary__37[[#This Row],[APPROVED BY Pengawas]]+region_summary__37[[#This Row],[EDITED BY Admin Kabupaten]]</f>
        <v>111</v>
      </c>
    </row>
    <row r="315" spans="1:13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region_summary__37[[#This Row],[APPROVED BY Pengawas]]+region_summary__37[[#This Row],[EDITED BY Admin Kabupaten]]</f>
        <v>0</v>
      </c>
    </row>
    <row r="316" spans="1:13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region_summary__37[[#This Row],[APPROVED BY Pengawas]]+region_summary__37[[#This Row],[EDITED BY Admin Kabupaten]]</f>
        <v>0</v>
      </c>
    </row>
    <row r="317" spans="1:13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region_summary__37[[#This Row],[APPROVED BY Pengawas]]+region_summary__37[[#This Row],[EDITED BY Admin Kabupaten]]</f>
        <v>61</v>
      </c>
    </row>
    <row r="318" spans="1:13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region_summary__37[[#This Row],[APPROVED BY Pengawas]]+region_summary__37[[#This Row],[EDITED BY Admin Kabupaten]]</f>
        <v>0</v>
      </c>
    </row>
    <row r="319" spans="1:13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region_summary__37[[#This Row],[APPROVED BY Pengawas]]+region_summary__37[[#This Row],[EDITED BY Admin Kabupaten]]</f>
        <v>0</v>
      </c>
    </row>
    <row r="320" spans="1:13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region_summary__37[[#This Row],[APPROVED BY Pengawas]]+region_summary__37[[#This Row],[EDITED BY Admin Kabupaten]]</f>
        <v>3</v>
      </c>
    </row>
    <row r="321" spans="1:13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region_summary__37[[#This Row],[APPROVED BY Pengawas]]+region_summary__37[[#This Row],[EDITED BY Admin Kabupaten]]</f>
        <v>0</v>
      </c>
    </row>
    <row r="322" spans="1:13" x14ac:dyDescent="0.25">
      <c r="A322" t="s">
        <v>233</v>
      </c>
      <c r="B322">
        <v>7172030007001000</v>
      </c>
      <c r="C322">
        <v>155</v>
      </c>
      <c r="D322">
        <v>74</v>
      </c>
      <c r="E322">
        <v>7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71</v>
      </c>
      <c r="L322">
        <v>0</v>
      </c>
      <c r="M322">
        <f>region_summary__37[[#This Row],[APPROVED BY Pengawas]]+region_summary__37[[#This Row],[EDITED BY Admin Kabupaten]]</f>
        <v>74</v>
      </c>
    </row>
    <row r="323" spans="1:13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20</v>
      </c>
      <c r="L323">
        <v>0</v>
      </c>
      <c r="M323">
        <f>region_summary__37[[#This Row],[APPROVED BY Pengawas]]+region_summary__37[[#This Row],[EDITED BY Admin Kabupaten]]</f>
        <v>56</v>
      </c>
    </row>
    <row r="324" spans="1:13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region_summary__37[[#This Row],[APPROVED BY Pengawas]]+region_summary__37[[#This Row],[EDITED BY Admin Kabupaten]]</f>
        <v>0</v>
      </c>
    </row>
    <row r="325" spans="1:13" x14ac:dyDescent="0.25">
      <c r="A325" t="s">
        <v>233</v>
      </c>
      <c r="B325">
        <v>7172030007000800</v>
      </c>
      <c r="C325">
        <v>76</v>
      </c>
      <c r="D325">
        <v>0</v>
      </c>
      <c r="E325">
        <v>2</v>
      </c>
      <c r="F325">
        <v>0</v>
      </c>
      <c r="G325">
        <v>65</v>
      </c>
      <c r="H325">
        <v>0</v>
      </c>
      <c r="I325">
        <v>0</v>
      </c>
      <c r="J325">
        <v>0</v>
      </c>
      <c r="K325">
        <v>9</v>
      </c>
      <c r="L325">
        <v>0</v>
      </c>
      <c r="M325">
        <f>region_summary__37[[#This Row],[APPROVED BY Pengawas]]+region_summary__37[[#This Row],[EDITED BY Admin Kabupaten]]</f>
        <v>0</v>
      </c>
    </row>
    <row r="326" spans="1:13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region_summary__37[[#This Row],[APPROVED BY Pengawas]]+region_summary__37[[#This Row],[EDITED BY Admin Kabupaten]]</f>
        <v>0</v>
      </c>
    </row>
    <row r="327" spans="1:13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0</v>
      </c>
      <c r="G327">
        <v>84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region_summary__37[[#This Row],[APPROVED BY Pengawas]]+region_summary__37[[#This Row],[EDITED BY Admin Kabupaten]]</f>
        <v>14</v>
      </c>
    </row>
    <row r="328" spans="1:13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region_summary__37[[#This Row],[APPROVED BY Pengawas]]+region_summary__37[[#This Row],[EDITED BY Admin Kabupaten]]</f>
        <v>0</v>
      </c>
    </row>
    <row r="329" spans="1:13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region_summary__37[[#This Row],[APPROVED BY Pengawas]]+region_summary__37[[#This Row],[EDITED BY Admin Kabupaten]]</f>
        <v>0</v>
      </c>
    </row>
    <row r="330" spans="1:13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region_summary__37[[#This Row],[APPROVED BY Pengawas]]+region_summary__37[[#This Row],[EDITED BY Admin Kabupaten]]</f>
        <v>56</v>
      </c>
    </row>
    <row r="331" spans="1:13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region_summary__37[[#This Row],[APPROVED BY Pengawas]]+region_summary__37[[#This Row],[EDITED BY Admin Kabupaten]]</f>
        <v>14</v>
      </c>
    </row>
    <row r="332" spans="1:13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region_summary__37[[#This Row],[APPROVED BY Pengawas]]+region_summary__37[[#This Row],[EDITED BY Admin Kabupaten]]</f>
        <v>49</v>
      </c>
    </row>
    <row r="333" spans="1:13" x14ac:dyDescent="0.25">
      <c r="A333" t="s">
        <v>91</v>
      </c>
      <c r="B333">
        <v>7172030006001800</v>
      </c>
      <c r="C333">
        <v>52</v>
      </c>
      <c r="D333">
        <v>44</v>
      </c>
      <c r="E333">
        <v>2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region_summary__37[[#This Row],[APPROVED BY Pengawas]]+region_summary__37[[#This Row],[EDITED BY Admin Kabupaten]]</f>
        <v>44</v>
      </c>
    </row>
    <row r="334" spans="1:13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region_summary__37[[#This Row],[APPROVED BY Pengawas]]+region_summary__37[[#This Row],[EDITED BY Admin Kabupaten]]</f>
        <v>42</v>
      </c>
    </row>
    <row r="335" spans="1:13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region_summary__37[[#This Row],[APPROVED BY Pengawas]]+region_summary__37[[#This Row],[EDITED BY Admin Kabupaten]]</f>
        <v>41</v>
      </c>
    </row>
    <row r="336" spans="1:13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region_summary__37[[#This Row],[APPROVED BY Pengawas]]+region_summary__37[[#This Row],[EDITED BY Admin Kabupaten]]</f>
        <v>12</v>
      </c>
    </row>
    <row r="337" spans="1:13" x14ac:dyDescent="0.25">
      <c r="A337" t="s">
        <v>97</v>
      </c>
      <c r="B337">
        <v>7172030012000100</v>
      </c>
      <c r="C337">
        <v>93</v>
      </c>
      <c r="D337">
        <v>56</v>
      </c>
      <c r="E337">
        <v>21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8</v>
      </c>
      <c r="L337">
        <v>0</v>
      </c>
      <c r="M337">
        <f>region_summary__37[[#This Row],[APPROVED BY Pengawas]]+region_summary__37[[#This Row],[EDITED BY Admin Kabupaten]]</f>
        <v>56</v>
      </c>
    </row>
    <row r="338" spans="1:13" x14ac:dyDescent="0.25">
      <c r="A338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4</v>
      </c>
      <c r="L338">
        <v>0</v>
      </c>
      <c r="M338">
        <f>region_summary__37[[#This Row],[APPROVED BY Pengawas]]+region_summary__37[[#This Row],[EDITED BY Admin Kabupaten]]</f>
        <v>82</v>
      </c>
    </row>
    <row r="339" spans="1:13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4</v>
      </c>
      <c r="L339">
        <v>0</v>
      </c>
      <c r="M339">
        <f>region_summary__37[[#This Row],[APPROVED BY Pengawas]]+region_summary__37[[#This Row],[EDITED BY Admin Kabupaten]]</f>
        <v>0</v>
      </c>
    </row>
    <row r="340" spans="1:13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region_summary__37[[#This Row],[APPROVED BY Pengawas]]+region_summary__37[[#This Row],[EDITED BY Admin Kabupaten]]</f>
        <v>2</v>
      </c>
    </row>
    <row r="341" spans="1:13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19</v>
      </c>
      <c r="L341">
        <v>0</v>
      </c>
      <c r="M341">
        <f>region_summary__37[[#This Row],[APPROVED BY Pengawas]]+region_summary__37[[#This Row],[EDITED BY Admin Kabupaten]]</f>
        <v>19</v>
      </c>
    </row>
    <row r="342" spans="1:13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8</v>
      </c>
      <c r="L342">
        <v>0</v>
      </c>
      <c r="M342">
        <f>region_summary__37[[#This Row],[APPROVED BY Pengawas]]+region_summary__37[[#This Row],[EDITED BY Admin Kabupaten]]</f>
        <v>0</v>
      </c>
    </row>
    <row r="343" spans="1:13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6</v>
      </c>
      <c r="L343">
        <v>0</v>
      </c>
      <c r="M343">
        <f>region_summary__37[[#This Row],[APPROVED BY Pengawas]]+region_summary__37[[#This Row],[EDITED BY Admin Kabupaten]]</f>
        <v>0</v>
      </c>
    </row>
    <row r="344" spans="1:13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region_summary__37[[#This Row],[APPROVED BY Pengawas]]+region_summary__37[[#This Row],[EDITED BY Admin Kabupaten]]</f>
        <v>0</v>
      </c>
    </row>
    <row r="345" spans="1:13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10</v>
      </c>
      <c r="H345">
        <v>0</v>
      </c>
      <c r="I345">
        <v>0</v>
      </c>
      <c r="J345">
        <v>0</v>
      </c>
      <c r="K345">
        <v>32</v>
      </c>
      <c r="L345">
        <v>0</v>
      </c>
      <c r="M345">
        <f>region_summary__37[[#This Row],[APPROVED BY Pengawas]]+region_summary__37[[#This Row],[EDITED BY Admin Kabupaten]]</f>
        <v>0</v>
      </c>
    </row>
    <row r="346" spans="1:13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3</v>
      </c>
      <c r="L346">
        <v>0</v>
      </c>
      <c r="M346">
        <f>region_summary__37[[#This Row],[APPROVED BY Pengawas]]+region_summary__37[[#This Row],[EDITED BY Admin Kabupaten]]</f>
        <v>0</v>
      </c>
    </row>
    <row r="347" spans="1:13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2</v>
      </c>
      <c r="L347">
        <v>0</v>
      </c>
      <c r="M347">
        <f>region_summary__37[[#This Row],[APPROVED BY Pengawas]]+region_summary__37[[#This Row],[EDITED BY Admin Kabupaten]]</f>
        <v>0</v>
      </c>
    </row>
    <row r="348" spans="1:13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region_summary__37[[#This Row],[APPROVED BY Pengawas]]+region_summary__37[[#This Row],[EDITED BY Admin Kabupaten]]</f>
        <v>28</v>
      </c>
    </row>
    <row r="349" spans="1:13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region_summary__37[[#This Row],[APPROVED BY Pengawas]]+region_summary__37[[#This Row],[EDITED BY Admin Kabupaten]]</f>
        <v>43</v>
      </c>
    </row>
    <row r="350" spans="1:13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0</v>
      </c>
      <c r="G350">
        <v>11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region_summary__37[[#This Row],[APPROVED BY Pengawas]]+region_summary__37[[#This Row],[EDITED BY Admin Kabupaten]]</f>
        <v>66</v>
      </c>
    </row>
    <row r="351" spans="1:13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region_summary__37[[#This Row],[APPROVED BY Pengawas]]+region_summary__37[[#This Row],[EDITED BY Admin Kabupaten]]</f>
        <v>40</v>
      </c>
    </row>
    <row r="352" spans="1:13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region_summary__37[[#This Row],[APPROVED BY Pengawas]]+region_summary__37[[#This Row],[EDITED BY Admin Kabupaten]]</f>
        <v>39</v>
      </c>
    </row>
    <row r="353" spans="1:13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region_summary__37[[#This Row],[APPROVED BY Pengawas]]+region_summary__37[[#This Row],[EDITED BY Admin Kabupaten]]</f>
        <v>0</v>
      </c>
    </row>
    <row r="354" spans="1:13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region_summary__37[[#This Row],[APPROVED BY Pengawas]]+region_summary__37[[#This Row],[EDITED BY Admin Kabupaten]]</f>
        <v>24</v>
      </c>
    </row>
    <row r="355" spans="1:13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region_summary__37[[#This Row],[APPROVED BY Pengawas]]+region_summary__37[[#This Row],[EDITED BY Admin Kabupaten]]</f>
        <v>24</v>
      </c>
    </row>
    <row r="356" spans="1:13" x14ac:dyDescent="0.25">
      <c r="A356" t="s">
        <v>234</v>
      </c>
      <c r="B356">
        <v>7172030008000902</v>
      </c>
      <c r="C356">
        <v>148</v>
      </c>
      <c r="D356">
        <v>128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9</v>
      </c>
      <c r="L356">
        <v>0</v>
      </c>
      <c r="M356">
        <f>region_summary__37[[#This Row],[APPROVED BY Pengawas]]+region_summary__37[[#This Row],[EDITED BY Admin Kabupaten]]</f>
        <v>128</v>
      </c>
    </row>
    <row r="357" spans="1:13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region_summary__37[[#This Row],[APPROVED BY Pengawas]]+region_summary__37[[#This Row],[EDITED BY Admin Kabupaten]]</f>
        <v>2</v>
      </c>
    </row>
    <row r="358" spans="1:13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region_summary__37[[#This Row],[APPROVED BY Pengawas]]+region_summary__37[[#This Row],[EDITED BY Admin Kabupaten]]</f>
        <v>6</v>
      </c>
    </row>
    <row r="359" spans="1:13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1</v>
      </c>
      <c r="L359">
        <v>0</v>
      </c>
      <c r="M359">
        <f>region_summary__37[[#This Row],[APPROVED BY Pengawas]]+region_summary__37[[#This Row],[EDITED BY Admin Kabupaten]]</f>
        <v>16</v>
      </c>
    </row>
    <row r="360" spans="1:13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region_summary__37[[#This Row],[APPROVED BY Pengawas]]+region_summary__37[[#This Row],[EDITED BY Admin Kabupaten]]</f>
        <v>1</v>
      </c>
    </row>
    <row r="361" spans="1:13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0</v>
      </c>
      <c r="G361">
        <v>8</v>
      </c>
      <c r="H361">
        <v>0</v>
      </c>
      <c r="I361">
        <v>1</v>
      </c>
      <c r="J361">
        <v>0</v>
      </c>
      <c r="K361">
        <v>5</v>
      </c>
      <c r="L361">
        <v>0</v>
      </c>
      <c r="M361">
        <f>region_summary__37[[#This Row],[APPROVED BY Pengawas]]+region_summary__37[[#This Row],[EDITED BY Admin Kabupaten]]</f>
        <v>42</v>
      </c>
    </row>
    <row r="362" spans="1:13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region_summary__37[[#This Row],[APPROVED BY Pengawas]]+region_summary__37[[#This Row],[EDITED BY Admin Kabupaten]]</f>
        <v>48</v>
      </c>
    </row>
    <row r="363" spans="1:13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0</v>
      </c>
      <c r="G363">
        <v>32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region_summary__37[[#This Row],[APPROVED BY Pengawas]]+region_summary__37[[#This Row],[EDITED BY Admin Kabupaten]]</f>
        <v>9</v>
      </c>
    </row>
    <row r="364" spans="1:13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region_summary__37[[#This Row],[APPROVED BY Pengawas]]+region_summary__37[[#This Row],[EDITED BY Admin Kabupaten]]</f>
        <v>3</v>
      </c>
    </row>
    <row r="365" spans="1:13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region_summary__37[[#This Row],[APPROVED BY Pengawas]]+region_summary__37[[#This Row],[EDITED BY Admin Kabupaten]]</f>
        <v>8</v>
      </c>
    </row>
    <row r="366" spans="1:13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region_summary__37[[#This Row],[APPROVED BY Pengawas]]+region_summary__37[[#This Row],[EDITED BY Admin Kabupaten]]</f>
        <v>0</v>
      </c>
    </row>
    <row r="367" spans="1:13" x14ac:dyDescent="0.25">
      <c r="A367" t="s">
        <v>235</v>
      </c>
      <c r="B367">
        <v>7172030015000800</v>
      </c>
      <c r="C367">
        <v>159</v>
      </c>
      <c r="D367">
        <v>3</v>
      </c>
      <c r="E367">
        <v>5</v>
      </c>
      <c r="F367">
        <v>0</v>
      </c>
      <c r="G367">
        <v>150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f>region_summary__37[[#This Row],[APPROVED BY Pengawas]]+region_summary__37[[#This Row],[EDITED BY Admin Kabupaten]]</f>
        <v>3</v>
      </c>
    </row>
    <row r="368" spans="1:13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region_summary__37[[#This Row],[APPROVED BY Pengawas]]+region_summary__37[[#This Row],[EDITED BY Admin Kabupaten]]</f>
        <v>79</v>
      </c>
    </row>
    <row r="369" spans="1:13" x14ac:dyDescent="0.25">
      <c r="A369" t="s">
        <v>235</v>
      </c>
      <c r="B369">
        <v>7172030015000400</v>
      </c>
      <c r="C369">
        <v>85</v>
      </c>
      <c r="D369">
        <v>46</v>
      </c>
      <c r="E369">
        <v>4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region_summary__37[[#This Row],[APPROVED BY Pengawas]]+region_summary__37[[#This Row],[EDITED BY Admin Kabupaten]]</f>
        <v>46</v>
      </c>
    </row>
    <row r="370" spans="1:13" x14ac:dyDescent="0.25">
      <c r="A370" t="s">
        <v>235</v>
      </c>
      <c r="B370">
        <v>7172030015001000</v>
      </c>
      <c r="C370">
        <v>84</v>
      </c>
      <c r="D370">
        <v>68</v>
      </c>
      <c r="E370">
        <v>6</v>
      </c>
      <c r="F370">
        <v>0</v>
      </c>
      <c r="G370">
        <v>8</v>
      </c>
      <c r="H370">
        <v>0</v>
      </c>
      <c r="I370">
        <v>1</v>
      </c>
      <c r="J370">
        <v>1</v>
      </c>
      <c r="K370">
        <v>0</v>
      </c>
      <c r="L370">
        <v>0</v>
      </c>
      <c r="M370">
        <f>region_summary__37[[#This Row],[APPROVED BY Pengawas]]+region_summary__37[[#This Row],[EDITED BY Admin Kabupaten]]</f>
        <v>68</v>
      </c>
    </row>
    <row r="371" spans="1:13" x14ac:dyDescent="0.25">
      <c r="A371" t="s">
        <v>235</v>
      </c>
      <c r="B371">
        <v>7172030015001100</v>
      </c>
      <c r="C371">
        <v>61</v>
      </c>
      <c r="D371">
        <v>41</v>
      </c>
      <c r="E371">
        <v>2</v>
      </c>
      <c r="F371">
        <v>0</v>
      </c>
      <c r="G371">
        <v>16</v>
      </c>
      <c r="H371">
        <v>0</v>
      </c>
      <c r="I371">
        <v>0</v>
      </c>
      <c r="J371">
        <v>0</v>
      </c>
      <c r="K371">
        <v>2</v>
      </c>
      <c r="L371">
        <v>0</v>
      </c>
      <c r="M371">
        <f>region_summary__37[[#This Row],[APPROVED BY Pengawas]]+region_summary__37[[#This Row],[EDITED BY Admin Kabupaten]]</f>
        <v>41</v>
      </c>
    </row>
    <row r="372" spans="1:13" x14ac:dyDescent="0.25">
      <c r="A372" t="s">
        <v>235</v>
      </c>
      <c r="B372">
        <v>7172030015000700</v>
      </c>
      <c r="C372">
        <v>52</v>
      </c>
      <c r="D372">
        <v>38</v>
      </c>
      <c r="E372">
        <v>1</v>
      </c>
      <c r="F372">
        <v>0</v>
      </c>
      <c r="G372">
        <v>13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region_summary__37[[#This Row],[APPROVED BY Pengawas]]+region_summary__37[[#This Row],[EDITED BY Admin Kabupaten]]</f>
        <v>38</v>
      </c>
    </row>
    <row r="373" spans="1:13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region_summary__37[[#This Row],[APPROVED BY Pengawas]]+region_summary__37[[#This Row],[EDITED BY Admin Kabupaten]]</f>
        <v>0</v>
      </c>
    </row>
    <row r="374" spans="1:13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region_summary__37[[#This Row],[APPROVED BY Pengawas]]+region_summary__37[[#This Row],[EDITED BY Admin Kabupaten]]</f>
        <v>1</v>
      </c>
    </row>
    <row r="375" spans="1:13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region_summary__37[[#This Row],[APPROVED BY Pengawas]]+region_summary__37[[#This Row],[EDITED BY Admin Kabupaten]]</f>
        <v>0</v>
      </c>
    </row>
    <row r="376" spans="1:13" x14ac:dyDescent="0.25">
      <c r="A376" t="s">
        <v>236</v>
      </c>
      <c r="B376">
        <v>7172030014001100</v>
      </c>
      <c r="C376">
        <v>248</v>
      </c>
      <c r="D376">
        <v>107</v>
      </c>
      <c r="E376">
        <v>0</v>
      </c>
      <c r="F376">
        <v>0</v>
      </c>
      <c r="G376">
        <v>26</v>
      </c>
      <c r="H376">
        <v>0</v>
      </c>
      <c r="I376">
        <v>10</v>
      </c>
      <c r="J376">
        <v>0</v>
      </c>
      <c r="K376">
        <v>105</v>
      </c>
      <c r="L376">
        <v>0</v>
      </c>
      <c r="M376">
        <f>region_summary__37[[#This Row],[APPROVED BY Pengawas]]+region_summary__37[[#This Row],[EDITED BY Admin Kabupaten]]</f>
        <v>107</v>
      </c>
    </row>
    <row r="377" spans="1:13" x14ac:dyDescent="0.25">
      <c r="A377" t="s">
        <v>236</v>
      </c>
      <c r="B377">
        <v>7172030014001000</v>
      </c>
      <c r="C377">
        <v>134</v>
      </c>
      <c r="D377">
        <v>83</v>
      </c>
      <c r="E377">
        <v>3</v>
      </c>
      <c r="F377">
        <v>0</v>
      </c>
      <c r="G377">
        <v>48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region_summary__37[[#This Row],[APPROVED BY Pengawas]]+region_summary__37[[#This Row],[EDITED BY Admin Kabupaten]]</f>
        <v>83</v>
      </c>
    </row>
    <row r="378" spans="1:13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0</v>
      </c>
      <c r="G378">
        <v>84</v>
      </c>
      <c r="H378">
        <v>0</v>
      </c>
      <c r="I378">
        <v>2</v>
      </c>
      <c r="J378">
        <v>0</v>
      </c>
      <c r="K378">
        <v>19</v>
      </c>
      <c r="L378">
        <v>0</v>
      </c>
      <c r="M378">
        <f>region_summary__37[[#This Row],[APPROVED BY Pengawas]]+region_summary__37[[#This Row],[EDITED BY Admin Kabupaten]]</f>
        <v>17</v>
      </c>
    </row>
    <row r="379" spans="1:13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region_summary__37[[#This Row],[APPROVED BY Pengawas]]+region_summary__37[[#This Row],[EDITED BY Admin Kabupaten]]</f>
        <v>0</v>
      </c>
    </row>
    <row r="380" spans="1:13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region_summary__37[[#This Row],[APPROVED BY Pengawas]]+region_summary__37[[#This Row],[EDITED BY Admin Kabupaten]]</f>
        <v>0</v>
      </c>
    </row>
    <row r="381" spans="1:13" x14ac:dyDescent="0.25">
      <c r="A381" t="s">
        <v>105</v>
      </c>
      <c r="B381">
        <v>7172030015001701</v>
      </c>
      <c r="C381">
        <v>125</v>
      </c>
      <c r="D381">
        <v>58</v>
      </c>
      <c r="E381">
        <v>19</v>
      </c>
      <c r="F381">
        <v>0</v>
      </c>
      <c r="G381">
        <v>35</v>
      </c>
      <c r="H381">
        <v>0</v>
      </c>
      <c r="I381">
        <v>3</v>
      </c>
      <c r="J381">
        <v>0</v>
      </c>
      <c r="K381">
        <v>10</v>
      </c>
      <c r="L381">
        <v>0</v>
      </c>
      <c r="M381">
        <f>region_summary__37[[#This Row],[APPROVED BY Pengawas]]+region_summary__37[[#This Row],[EDITED BY Admin Kabupaten]]</f>
        <v>58</v>
      </c>
    </row>
    <row r="382" spans="1:13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region_summary__37[[#This Row],[APPROVED BY Pengawas]]+region_summary__37[[#This Row],[EDITED BY Admin Kabupaten]]</f>
        <v>0</v>
      </c>
    </row>
    <row r="383" spans="1:13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region_summary__37[[#This Row],[APPROVED BY Pengawas]]+region_summary__37[[#This Row],[EDITED BY Admin Kabupaten]]</f>
        <v>81</v>
      </c>
    </row>
    <row r="384" spans="1:13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region_summary__37[[#This Row],[APPROVED BY Pengawas]]+region_summary__37[[#This Row],[EDITED BY Admin Kabupaten]]</f>
        <v>67</v>
      </c>
    </row>
    <row r="385" spans="1:13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region_summary__37[[#This Row],[APPROVED BY Pengawas]]+region_summary__37[[#This Row],[EDITED BY Admin Kabupaten]]</f>
        <v>0</v>
      </c>
    </row>
    <row r="386" spans="1:13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0</v>
      </c>
      <c r="G386">
        <v>76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region_summary__37[[#This Row],[APPROVED BY Pengawas]]+region_summary__37[[#This Row],[EDITED BY Admin Kabupaten]]</f>
        <v>3</v>
      </c>
    </row>
    <row r="387" spans="1:13" x14ac:dyDescent="0.25">
      <c r="A387" t="s">
        <v>109</v>
      </c>
      <c r="B387">
        <v>7172031001000800</v>
      </c>
      <c r="C387">
        <v>59</v>
      </c>
      <c r="D387">
        <v>45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5</v>
      </c>
      <c r="L387">
        <v>0</v>
      </c>
      <c r="M387">
        <f>region_summary__37[[#This Row],[APPROVED BY Pengawas]]+region_summary__37[[#This Row],[EDITED BY Admin Kabupaten]]</f>
        <v>45</v>
      </c>
    </row>
    <row r="388" spans="1:13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region_summary__37[[#This Row],[APPROVED BY Pengawas]]+region_summary__37[[#This Row],[EDITED BY Admin Kabupaten]]</f>
        <v>0</v>
      </c>
    </row>
    <row r="389" spans="1:13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3</v>
      </c>
      <c r="L389">
        <v>0</v>
      </c>
      <c r="M389">
        <f>region_summary__37[[#This Row],[APPROVED BY Pengawas]]+region_summary__37[[#This Row],[EDITED BY Admin Kabupaten]]</f>
        <v>44</v>
      </c>
    </row>
    <row r="390" spans="1:13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region_summary__37[[#This Row],[APPROVED BY Pengawas]]+region_summary__37[[#This Row],[EDITED BY Admin Kabupaten]]</f>
        <v>0</v>
      </c>
    </row>
    <row r="391" spans="1:13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region_summary__37[[#This Row],[APPROVED BY Pengawas]]+region_summary__37[[#This Row],[EDITED BY Admin Kabupaten]]</f>
        <v>44</v>
      </c>
    </row>
    <row r="392" spans="1:13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region_summary__37[[#This Row],[APPROVED BY Pengawas]]+region_summary__37[[#This Row],[EDITED BY Admin Kabupaten]]</f>
        <v>0</v>
      </c>
    </row>
    <row r="393" spans="1:13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region_summary__37[[#This Row],[APPROVED BY Pengawas]]+region_summary__37[[#This Row],[EDITED BY Admin Kabupaten]]</f>
        <v>0</v>
      </c>
    </row>
    <row r="394" spans="1:13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6</v>
      </c>
      <c r="L394">
        <v>0</v>
      </c>
      <c r="M394">
        <f>region_summary__37[[#This Row],[APPROVED BY Pengawas]]+region_summary__37[[#This Row],[EDITED BY Admin Kabupaten]]</f>
        <v>21</v>
      </c>
    </row>
    <row r="395" spans="1:13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6</v>
      </c>
      <c r="L395">
        <v>0</v>
      </c>
      <c r="M395">
        <f>region_summary__37[[#This Row],[APPROVED BY Pengawas]]+region_summary__37[[#This Row],[EDITED BY Admin Kabupaten]]</f>
        <v>28</v>
      </c>
    </row>
    <row r="396" spans="1:13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region_summary__37[[#This Row],[APPROVED BY Pengawas]]+region_summary__37[[#This Row],[EDITED BY Admin Kabupaten]]</f>
        <v>0</v>
      </c>
    </row>
    <row r="397" spans="1:13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7</v>
      </c>
      <c r="L397">
        <v>0</v>
      </c>
      <c r="M397">
        <f>region_summary__37[[#This Row],[APPROVED BY Pengawas]]+region_summary__37[[#This Row],[EDITED BY Admin Kabupaten]]</f>
        <v>21</v>
      </c>
    </row>
    <row r="398" spans="1:13" x14ac:dyDescent="0.25">
      <c r="A398" t="s">
        <v>109</v>
      </c>
      <c r="B398">
        <v>7172031001000100</v>
      </c>
      <c r="C398">
        <v>33</v>
      </c>
      <c r="D398">
        <v>25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4</v>
      </c>
      <c r="L398">
        <v>0</v>
      </c>
      <c r="M398">
        <f>region_summary__37[[#This Row],[APPROVED BY Pengawas]]+region_summary__37[[#This Row],[EDITED BY Admin Kabupaten]]</f>
        <v>25</v>
      </c>
    </row>
    <row r="399" spans="1:13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region_summary__37[[#This Row],[APPROVED BY Pengawas]]+region_summary__37[[#This Row],[EDITED BY Admin Kabupaten]]</f>
        <v>2</v>
      </c>
    </row>
    <row r="400" spans="1:13" x14ac:dyDescent="0.25">
      <c r="A400" t="s">
        <v>113</v>
      </c>
      <c r="B400">
        <v>7172031005001800</v>
      </c>
      <c r="C400">
        <v>112</v>
      </c>
      <c r="D400">
        <v>23</v>
      </c>
      <c r="E400">
        <v>12</v>
      </c>
      <c r="F400">
        <v>0</v>
      </c>
      <c r="G400">
        <v>69</v>
      </c>
      <c r="H400">
        <v>0</v>
      </c>
      <c r="I400">
        <v>0</v>
      </c>
      <c r="J400">
        <v>0</v>
      </c>
      <c r="K400">
        <v>8</v>
      </c>
      <c r="L400">
        <v>0</v>
      </c>
      <c r="M400">
        <f>region_summary__37[[#This Row],[APPROVED BY Pengawas]]+region_summary__37[[#This Row],[EDITED BY Admin Kabupaten]]</f>
        <v>23</v>
      </c>
    </row>
    <row r="401" spans="1:13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region_summary__37[[#This Row],[APPROVED BY Pengawas]]+region_summary__37[[#This Row],[EDITED BY Admin Kabupaten]]</f>
        <v>0</v>
      </c>
    </row>
    <row r="402" spans="1:13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region_summary__37[[#This Row],[APPROVED BY Pengawas]]+region_summary__37[[#This Row],[EDITED BY Admin Kabupaten]]</f>
        <v>80</v>
      </c>
    </row>
    <row r="403" spans="1:13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region_summary__37[[#This Row],[APPROVED BY Pengawas]]+region_summary__37[[#This Row],[EDITED BY Admin Kabupaten]]</f>
        <v>1</v>
      </c>
    </row>
    <row r="404" spans="1:13" x14ac:dyDescent="0.25">
      <c r="A404" t="s">
        <v>113</v>
      </c>
      <c r="B404">
        <v>7172031005001600</v>
      </c>
      <c r="C404">
        <v>78</v>
      </c>
      <c r="D404">
        <v>63</v>
      </c>
      <c r="E404">
        <v>13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1</v>
      </c>
      <c r="L404">
        <v>0</v>
      </c>
      <c r="M404">
        <f>region_summary__37[[#This Row],[APPROVED BY Pengawas]]+region_summary__37[[#This Row],[EDITED BY Admin Kabupaten]]</f>
        <v>63</v>
      </c>
    </row>
    <row r="405" spans="1:13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1</v>
      </c>
      <c r="L405">
        <v>0</v>
      </c>
      <c r="M405">
        <f>region_summary__37[[#This Row],[APPROVED BY Pengawas]]+region_summary__37[[#This Row],[EDITED BY Admin Kabupaten]]</f>
        <v>5</v>
      </c>
    </row>
    <row r="406" spans="1:13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region_summary__37[[#This Row],[APPROVED BY Pengawas]]+region_summary__37[[#This Row],[EDITED BY Admin Kabupaten]]</f>
        <v>67</v>
      </c>
    </row>
    <row r="407" spans="1:13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region_summary__37[[#This Row],[APPROVED BY Pengawas]]+region_summary__37[[#This Row],[EDITED BY Admin Kabupaten]]</f>
        <v>0</v>
      </c>
    </row>
    <row r="408" spans="1:13" x14ac:dyDescent="0.25">
      <c r="A408" t="s">
        <v>114</v>
      </c>
      <c r="B408">
        <v>7172031003001300</v>
      </c>
      <c r="C408">
        <v>85</v>
      </c>
      <c r="D408">
        <v>79</v>
      </c>
      <c r="E408">
        <v>1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region_summary__37[[#This Row],[APPROVED BY Pengawas]]+region_summary__37[[#This Row],[EDITED BY Admin Kabupaten]]</f>
        <v>84</v>
      </c>
    </row>
    <row r="409" spans="1:13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region_summary__37[[#This Row],[APPROVED BY Pengawas]]+region_summary__37[[#This Row],[EDITED BY Admin Kabupaten]]</f>
        <v>67</v>
      </c>
    </row>
    <row r="410" spans="1:13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region_summary__37[[#This Row],[APPROVED BY Pengawas]]+region_summary__37[[#This Row],[EDITED BY Admin Kabupaten]]</f>
        <v>13</v>
      </c>
    </row>
    <row r="411" spans="1:13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region_summary__37[[#This Row],[APPROVED BY Pengawas]]+region_summary__37[[#This Row],[EDITED BY Admin Kabupaten]]</f>
        <v>0</v>
      </c>
    </row>
    <row r="412" spans="1:13" x14ac:dyDescent="0.25">
      <c r="A412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region_summary__37[[#This Row],[APPROVED BY Pengawas]]+region_summary__37[[#This Row],[EDITED BY Admin Kabupaten]]</f>
        <v>57</v>
      </c>
    </row>
    <row r="413" spans="1:13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region_summary__37[[#This Row],[APPROVED BY Pengawas]]+region_summary__37[[#This Row],[EDITED BY Admin Kabupaten]]</f>
        <v>15</v>
      </c>
    </row>
    <row r="414" spans="1:13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0</v>
      </c>
      <c r="G414">
        <v>38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region_summary__37[[#This Row],[APPROVED BY Pengawas]]+region_summary__37[[#This Row],[EDITED BY Admin Kabupaten]]</f>
        <v>4</v>
      </c>
    </row>
    <row r="415" spans="1:13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region_summary__37[[#This Row],[APPROVED BY Pengawas]]+region_summary__37[[#This Row],[EDITED BY Admin Kabupaten]]</f>
        <v>0</v>
      </c>
    </row>
    <row r="416" spans="1:13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region_summary__37[[#This Row],[APPROVED BY Pengawas]]+region_summary__37[[#This Row],[EDITED BY Admin Kabupaten]]</f>
        <v>0</v>
      </c>
    </row>
    <row r="417" spans="1:13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region_summary__37[[#This Row],[APPROVED BY Pengawas]]+region_summary__37[[#This Row],[EDITED BY Admin Kabupaten]]</f>
        <v>0</v>
      </c>
    </row>
    <row r="418" spans="1:13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23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region_summary__37[[#This Row],[APPROVED BY Pengawas]]+region_summary__37[[#This Row],[EDITED BY Admin Kabupaten]]</f>
        <v>11</v>
      </c>
    </row>
    <row r="419" spans="1:13" x14ac:dyDescent="0.25">
      <c r="A419" t="s">
        <v>114</v>
      </c>
      <c r="B419">
        <v>7172031003001100</v>
      </c>
      <c r="C419">
        <v>32</v>
      </c>
      <c r="D419">
        <v>19</v>
      </c>
      <c r="E419">
        <v>7</v>
      </c>
      <c r="F419">
        <v>0</v>
      </c>
      <c r="G419">
        <v>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region_summary__37[[#This Row],[APPROVED BY Pengawas]]+region_summary__37[[#This Row],[EDITED BY Admin Kabupaten]]</f>
        <v>19</v>
      </c>
    </row>
    <row r="420" spans="1:13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0</v>
      </c>
      <c r="G420">
        <v>28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region_summary__37[[#This Row],[APPROVED BY Pengawas]]+region_summary__37[[#This Row],[EDITED BY Admin Kabupaten]]</f>
        <v>0</v>
      </c>
    </row>
    <row r="421" spans="1:13" x14ac:dyDescent="0.25">
      <c r="A421" t="s">
        <v>119</v>
      </c>
      <c r="B421">
        <v>7172031005000400</v>
      </c>
      <c r="C421">
        <v>85</v>
      </c>
      <c r="D421">
        <v>53</v>
      </c>
      <c r="E421">
        <v>17</v>
      </c>
      <c r="F421">
        <v>0</v>
      </c>
      <c r="G421">
        <v>13</v>
      </c>
      <c r="H421">
        <v>0</v>
      </c>
      <c r="I421">
        <v>0</v>
      </c>
      <c r="J421">
        <v>0</v>
      </c>
      <c r="K421">
        <v>2</v>
      </c>
      <c r="L421">
        <v>0</v>
      </c>
      <c r="M421">
        <f>region_summary__37[[#This Row],[APPROVED BY Pengawas]]+region_summary__37[[#This Row],[EDITED BY Admin Kabupaten]]</f>
        <v>53</v>
      </c>
    </row>
    <row r="422" spans="1:13" x14ac:dyDescent="0.25">
      <c r="A422" t="s">
        <v>119</v>
      </c>
      <c r="B422">
        <v>7172031005000500</v>
      </c>
      <c r="C422">
        <v>74</v>
      </c>
      <c r="D422">
        <v>8</v>
      </c>
      <c r="E422">
        <v>5</v>
      </c>
      <c r="F422">
        <v>0</v>
      </c>
      <c r="G422">
        <v>60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f>region_summary__37[[#This Row],[APPROVED BY Pengawas]]+region_summary__37[[#This Row],[EDITED BY Admin Kabupaten]]</f>
        <v>8</v>
      </c>
    </row>
    <row r="423" spans="1:13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region_summary__37[[#This Row],[APPROVED BY Pengawas]]+region_summary__37[[#This Row],[EDITED BY Admin Kabupaten]]</f>
        <v>16</v>
      </c>
    </row>
    <row r="424" spans="1:13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region_summary__37[[#This Row],[APPROVED BY Pengawas]]+region_summary__37[[#This Row],[EDITED BY Admin Kabupaten]]</f>
        <v>10</v>
      </c>
    </row>
    <row r="425" spans="1:13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6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region_summary__37[[#This Row],[APPROVED BY Pengawas]]+region_summary__37[[#This Row],[EDITED BY Admin Kabupaten]]</f>
        <v>45</v>
      </c>
    </row>
    <row r="426" spans="1:13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region_summary__37[[#This Row],[APPROVED BY Pengawas]]+region_summary__37[[#This Row],[EDITED BY Admin Kabupaten]]</f>
        <v>9</v>
      </c>
    </row>
    <row r="427" spans="1:13" x14ac:dyDescent="0.25">
      <c r="A427" t="s">
        <v>119</v>
      </c>
      <c r="B427">
        <v>7172031005000200</v>
      </c>
      <c r="C427">
        <v>48</v>
      </c>
      <c r="D427">
        <v>30</v>
      </c>
      <c r="E427">
        <v>1</v>
      </c>
      <c r="F427">
        <v>3</v>
      </c>
      <c r="G427">
        <v>12</v>
      </c>
      <c r="H427">
        <v>0</v>
      </c>
      <c r="I427">
        <v>0</v>
      </c>
      <c r="J427">
        <v>0</v>
      </c>
      <c r="K427">
        <v>2</v>
      </c>
      <c r="L427">
        <v>0</v>
      </c>
      <c r="M427">
        <f>region_summary__37[[#This Row],[APPROVED BY Pengawas]]+region_summary__37[[#This Row],[EDITED BY Admin Kabupaten]]</f>
        <v>33</v>
      </c>
    </row>
    <row r="428" spans="1:13" x14ac:dyDescent="0.25">
      <c r="A428" t="s">
        <v>119</v>
      </c>
      <c r="B428">
        <v>7172031005000600</v>
      </c>
      <c r="C428">
        <v>47</v>
      </c>
      <c r="D428">
        <v>23</v>
      </c>
      <c r="E428">
        <v>2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3</v>
      </c>
      <c r="L428">
        <v>0</v>
      </c>
      <c r="M428">
        <f>region_summary__37[[#This Row],[APPROVED BY Pengawas]]+region_summary__37[[#This Row],[EDITED BY Admin Kabupaten]]</f>
        <v>23</v>
      </c>
    </row>
    <row r="429" spans="1:13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region_summary__37[[#This Row],[APPROVED BY Pengawas]]+region_summary__37[[#This Row],[EDITED BY Admin Kabupaten]]</f>
        <v>8</v>
      </c>
    </row>
    <row r="430" spans="1:13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region_summary__37[[#This Row],[APPROVED BY Pengawas]]+region_summary__37[[#This Row],[EDITED BY Admin Kabupaten]]</f>
        <v>8</v>
      </c>
    </row>
    <row r="431" spans="1:13" x14ac:dyDescent="0.25">
      <c r="A431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region_summary__37[[#This Row],[APPROVED BY Pengawas]]+region_summary__37[[#This Row],[EDITED BY Admin Kabupaten]]</f>
        <v>29</v>
      </c>
    </row>
    <row r="432" spans="1:13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region_summary__37[[#This Row],[APPROVED BY Pengawas]]+region_summary__37[[#This Row],[EDITED BY Admin Kabupaten]]</f>
        <v>6</v>
      </c>
    </row>
    <row r="433" spans="1:13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0</v>
      </c>
      <c r="J433">
        <v>0</v>
      </c>
      <c r="K433">
        <v>19</v>
      </c>
      <c r="L433">
        <v>0</v>
      </c>
      <c r="M433">
        <f>region_summary__37[[#This Row],[APPROVED BY Pengawas]]+region_summary__37[[#This Row],[EDITED BY Admin Kabupaten]]</f>
        <v>178</v>
      </c>
    </row>
    <row r="434" spans="1:13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0</v>
      </c>
      <c r="G434">
        <v>182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region_summary__37[[#This Row],[APPROVED BY Pengawas]]+region_summary__37[[#This Row],[EDITED BY Admin Kabupaten]]</f>
        <v>5</v>
      </c>
    </row>
    <row r="435" spans="1:13" x14ac:dyDescent="0.25">
      <c r="A435" t="s">
        <v>121</v>
      </c>
      <c r="B435">
        <v>7172031006000600</v>
      </c>
      <c r="C435">
        <v>126</v>
      </c>
      <c r="D435">
        <v>94</v>
      </c>
      <c r="E435">
        <v>19</v>
      </c>
      <c r="F435">
        <v>0</v>
      </c>
      <c r="G435">
        <v>10</v>
      </c>
      <c r="H435">
        <v>0</v>
      </c>
      <c r="I435">
        <v>0</v>
      </c>
      <c r="J435">
        <v>0</v>
      </c>
      <c r="K435">
        <v>3</v>
      </c>
      <c r="L435">
        <v>0</v>
      </c>
      <c r="M435">
        <f>region_summary__37[[#This Row],[APPROVED BY Pengawas]]+region_summary__37[[#This Row],[EDITED BY Admin Kabupaten]]</f>
        <v>94</v>
      </c>
    </row>
    <row r="436" spans="1:13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region_summary__37[[#This Row],[APPROVED BY Pengawas]]+region_summary__37[[#This Row],[EDITED BY Admin Kabupaten]]</f>
        <v>0</v>
      </c>
    </row>
    <row r="437" spans="1:13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region_summary__37[[#This Row],[APPROVED BY Pengawas]]+region_summary__37[[#This Row],[EDITED BY Admin Kabupaten]]</f>
        <v>0</v>
      </c>
    </row>
    <row r="438" spans="1:13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region_summary__37[[#This Row],[APPROVED BY Pengawas]]+region_summary__37[[#This Row],[EDITED BY Admin Kabupaten]]</f>
        <v>0</v>
      </c>
    </row>
    <row r="439" spans="1:13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region_summary__37[[#This Row],[APPROVED BY Pengawas]]+region_summary__37[[#This Row],[EDITED BY Admin Kabupaten]]</f>
        <v>114</v>
      </c>
    </row>
    <row r="440" spans="1:13" x14ac:dyDescent="0.25">
      <c r="A440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region_summary__37[[#This Row],[APPROVED BY Pengawas]]+region_summary__37[[#This Row],[EDITED BY Admin Kabupaten]]</f>
        <v>89</v>
      </c>
    </row>
    <row r="441" spans="1:13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region_summary__37[[#This Row],[APPROVED BY Pengawas]]+region_summary__37[[#This Row],[EDITED BY Admin Kabupaten]]</f>
        <v>0</v>
      </c>
    </row>
    <row r="442" spans="1:13" x14ac:dyDescent="0.25">
      <c r="A442" t="s">
        <v>125</v>
      </c>
      <c r="B442">
        <v>7172031007002500</v>
      </c>
      <c r="C442">
        <v>86</v>
      </c>
      <c r="D442">
        <v>75</v>
      </c>
      <c r="E442">
        <v>7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region_summary__37[[#This Row],[APPROVED BY Pengawas]]+region_summary__37[[#This Row],[EDITED BY Admin Kabupaten]]</f>
        <v>75</v>
      </c>
    </row>
    <row r="443" spans="1:13" x14ac:dyDescent="0.25">
      <c r="A443" t="s">
        <v>125</v>
      </c>
      <c r="B443">
        <v>7172031007000400</v>
      </c>
      <c r="C443">
        <v>62</v>
      </c>
      <c r="D443">
        <v>8</v>
      </c>
      <c r="E443">
        <v>3</v>
      </c>
      <c r="F443">
        <v>0</v>
      </c>
      <c r="G443">
        <v>51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region_summary__37[[#This Row],[APPROVED BY Pengawas]]+region_summary__37[[#This Row],[EDITED BY Admin Kabupaten]]</f>
        <v>8</v>
      </c>
    </row>
    <row r="444" spans="1:13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region_summary__37[[#This Row],[APPROVED BY Pengawas]]+region_summary__37[[#This Row],[EDITED BY Admin Kabupaten]]</f>
        <v>34</v>
      </c>
    </row>
    <row r="445" spans="1:13" x14ac:dyDescent="0.25">
      <c r="A445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0</v>
      </c>
      <c r="H445">
        <v>0</v>
      </c>
      <c r="I445">
        <v>4</v>
      </c>
      <c r="J445">
        <v>0</v>
      </c>
      <c r="K445">
        <v>0</v>
      </c>
      <c r="L445">
        <v>0</v>
      </c>
      <c r="M445">
        <f>region_summary__37[[#This Row],[APPROVED BY Pengawas]]+region_summary__37[[#This Row],[EDITED BY Admin Kabupaten]]</f>
        <v>176</v>
      </c>
    </row>
    <row r="446" spans="1:13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region_summary__37[[#This Row],[APPROVED BY Pengawas]]+region_summary__37[[#This Row],[EDITED BY Admin Kabupaten]]</f>
        <v>0</v>
      </c>
    </row>
    <row r="447" spans="1:13" x14ac:dyDescent="0.25">
      <c r="A447" t="s">
        <v>126</v>
      </c>
      <c r="B447">
        <v>7172031007000700</v>
      </c>
      <c r="C447">
        <v>109</v>
      </c>
      <c r="D447">
        <v>73</v>
      </c>
      <c r="E447">
        <v>11</v>
      </c>
      <c r="F447">
        <v>0</v>
      </c>
      <c r="G447">
        <v>18</v>
      </c>
      <c r="H447">
        <v>0</v>
      </c>
      <c r="I447">
        <v>0</v>
      </c>
      <c r="J447">
        <v>1</v>
      </c>
      <c r="K447">
        <v>6</v>
      </c>
      <c r="L447">
        <v>0</v>
      </c>
      <c r="M447">
        <f>region_summary__37[[#This Row],[APPROVED BY Pengawas]]+region_summary__37[[#This Row],[EDITED BY Admin Kabupaten]]</f>
        <v>73</v>
      </c>
    </row>
    <row r="448" spans="1:13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region_summary__37[[#This Row],[APPROVED BY Pengawas]]+region_summary__37[[#This Row],[EDITED BY Admin Kabupaten]]</f>
        <v>0</v>
      </c>
    </row>
    <row r="449" spans="1:13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region_summary__37[[#This Row],[APPROVED BY Pengawas]]+region_summary__37[[#This Row],[EDITED BY Admin Kabupaten]]</f>
        <v>2</v>
      </c>
    </row>
    <row r="450" spans="1:13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region_summary__37[[#This Row],[APPROVED BY Pengawas]]+region_summary__37[[#This Row],[EDITED BY Admin Kabupaten]]</f>
        <v>1</v>
      </c>
    </row>
    <row r="451" spans="1:13" x14ac:dyDescent="0.25">
      <c r="A451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region_summary__37[[#This Row],[APPROVED BY Pengawas]]+region_summary__37[[#This Row],[EDITED BY Admin Kabupaten]]</f>
        <v>177</v>
      </c>
    </row>
    <row r="452" spans="1:13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region_summary__37[[#This Row],[APPROVED BY Pengawas]]+region_summary__37[[#This Row],[EDITED BY Admin Kabupaten]]</f>
        <v>25</v>
      </c>
    </row>
    <row r="453" spans="1:13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region_summary__37[[#This Row],[APPROVED BY Pengawas]]+region_summary__37[[#This Row],[EDITED BY Admin Kabupaten]]</f>
        <v>6</v>
      </c>
    </row>
    <row r="454" spans="1:13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region_summary__37[[#This Row],[APPROVED BY Pengawas]]+region_summary__37[[#This Row],[EDITED BY Admin Kabupaten]]</f>
        <v>3</v>
      </c>
    </row>
    <row r="455" spans="1:13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0</v>
      </c>
      <c r="G455">
        <v>36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region_summary__37[[#This Row],[APPROVED BY Pengawas]]+region_summary__37[[#This Row],[EDITED BY Admin Kabupaten]]</f>
        <v>42</v>
      </c>
    </row>
    <row r="456" spans="1:13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0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region_summary__37[[#This Row],[APPROVED BY Pengawas]]+region_summary__37[[#This Row],[EDITED BY Admin Kabupaten]]</f>
        <v>17</v>
      </c>
    </row>
    <row r="457" spans="1:13" x14ac:dyDescent="0.25">
      <c r="A457" t="s">
        <v>128</v>
      </c>
      <c r="B457">
        <v>7172031007001900</v>
      </c>
      <c r="C457">
        <v>158</v>
      </c>
      <c r="D457">
        <v>53</v>
      </c>
      <c r="E457">
        <v>67</v>
      </c>
      <c r="F457">
        <v>0</v>
      </c>
      <c r="G457">
        <v>32</v>
      </c>
      <c r="H457">
        <v>0</v>
      </c>
      <c r="I457">
        <v>0</v>
      </c>
      <c r="J457">
        <v>0</v>
      </c>
      <c r="K457">
        <v>6</v>
      </c>
      <c r="L457">
        <v>0</v>
      </c>
      <c r="M457">
        <f>region_summary__37[[#This Row],[APPROVED BY Pengawas]]+region_summary__37[[#This Row],[EDITED BY Admin Kabupaten]]</f>
        <v>53</v>
      </c>
    </row>
    <row r="458" spans="1:13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region_summary__37[[#This Row],[APPROVED BY Pengawas]]+region_summary__37[[#This Row],[EDITED BY Admin Kabupaten]]</f>
        <v>0</v>
      </c>
    </row>
    <row r="459" spans="1:13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region_summary__37[[#This Row],[APPROVED BY Pengawas]]+region_summary__37[[#This Row],[EDITED BY Admin Kabupaten]]</f>
        <v>0</v>
      </c>
    </row>
    <row r="460" spans="1:13" x14ac:dyDescent="0.25">
      <c r="A460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12</v>
      </c>
      <c r="L460">
        <v>0</v>
      </c>
      <c r="M460">
        <f>region_summary__37[[#This Row],[APPROVED BY Pengawas]]+region_summary__37[[#This Row],[EDITED BY Admin Kabupaten]]</f>
        <v>79</v>
      </c>
    </row>
    <row r="461" spans="1:13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0</v>
      </c>
      <c r="G461">
        <v>68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region_summary__37[[#This Row],[APPROVED BY Pengawas]]+region_summary__37[[#This Row],[EDITED BY Admin Kabupaten]]</f>
        <v>0</v>
      </c>
    </row>
    <row r="462" spans="1:13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region_summary__37[[#This Row],[APPROVED BY Pengawas]]+region_summary__37[[#This Row],[EDITED BY Admin Kabupaten]]</f>
        <v>0</v>
      </c>
    </row>
    <row r="463" spans="1:13" x14ac:dyDescent="0.25">
      <c r="A463" t="s">
        <v>134</v>
      </c>
      <c r="B463">
        <v>7172040003001200</v>
      </c>
      <c r="C463">
        <v>213</v>
      </c>
      <c r="D463">
        <v>117</v>
      </c>
      <c r="E463">
        <v>1</v>
      </c>
      <c r="F463">
        <v>0</v>
      </c>
      <c r="G463">
        <v>94</v>
      </c>
      <c r="H463">
        <v>0</v>
      </c>
      <c r="I463">
        <v>0</v>
      </c>
      <c r="J463">
        <v>0</v>
      </c>
      <c r="K463">
        <v>1</v>
      </c>
      <c r="L463">
        <v>0</v>
      </c>
      <c r="M463">
        <f>region_summary__37[[#This Row],[APPROVED BY Pengawas]]+region_summary__37[[#This Row],[EDITED BY Admin Kabupaten]]</f>
        <v>117</v>
      </c>
    </row>
    <row r="464" spans="1:13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0</v>
      </c>
      <c r="G464">
        <v>6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region_summary__37[[#This Row],[APPROVED BY Pengawas]]+region_summary__37[[#This Row],[EDITED BY Admin Kabupaten]]</f>
        <v>134</v>
      </c>
    </row>
    <row r="465" spans="1:13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region_summary__37[[#This Row],[APPROVED BY Pengawas]]+region_summary__37[[#This Row],[EDITED BY Admin Kabupaten]]</f>
        <v>0</v>
      </c>
    </row>
    <row r="466" spans="1:13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region_summary__37[[#This Row],[APPROVED BY Pengawas]]+region_summary__37[[#This Row],[EDITED BY Admin Kabupaten]]</f>
        <v>0</v>
      </c>
    </row>
    <row r="467" spans="1:13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region_summary__37[[#This Row],[APPROVED BY Pengawas]]+region_summary__37[[#This Row],[EDITED BY Admin Kabupaten]]</f>
        <v>0</v>
      </c>
    </row>
    <row r="468" spans="1:13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region_summary__37[[#This Row],[APPROVED BY Pengawas]]+region_summary__37[[#This Row],[EDITED BY Admin Kabupaten]]</f>
        <v>98</v>
      </c>
    </row>
    <row r="469" spans="1:13" x14ac:dyDescent="0.25">
      <c r="A469" t="s">
        <v>131</v>
      </c>
      <c r="B469">
        <v>7172040007000200</v>
      </c>
      <c r="C469">
        <v>80</v>
      </c>
      <c r="D469">
        <v>14</v>
      </c>
      <c r="E469">
        <v>0</v>
      </c>
      <c r="F469">
        <v>0</v>
      </c>
      <c r="G469">
        <v>66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region_summary__37[[#This Row],[APPROVED BY Pengawas]]+region_summary__37[[#This Row],[EDITED BY Admin Kabupaten]]</f>
        <v>14</v>
      </c>
    </row>
    <row r="470" spans="1:13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0</v>
      </c>
      <c r="G470">
        <v>47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region_summary__37[[#This Row],[APPROVED BY Pengawas]]+region_summary__37[[#This Row],[EDITED BY Admin Kabupaten]]</f>
        <v>29</v>
      </c>
    </row>
    <row r="471" spans="1:13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region_summary__37[[#This Row],[APPROVED BY Pengawas]]+region_summary__37[[#This Row],[EDITED BY Admin Kabupaten]]</f>
        <v>0</v>
      </c>
    </row>
    <row r="472" spans="1:13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region_summary__37[[#This Row],[APPROVED BY Pengawas]]+region_summary__37[[#This Row],[EDITED BY Admin Kabupaten]]</f>
        <v>0</v>
      </c>
    </row>
    <row r="473" spans="1:13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region_summary__37[[#This Row],[APPROVED BY Pengawas]]+region_summary__37[[#This Row],[EDITED BY Admin Kabupaten]]</f>
        <v>0</v>
      </c>
    </row>
    <row r="474" spans="1:13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region_summary__37[[#This Row],[APPROVED BY Pengawas]]+region_summary__37[[#This Row],[EDITED BY Admin Kabupaten]]</f>
        <v>0</v>
      </c>
    </row>
    <row r="475" spans="1:13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0</v>
      </c>
      <c r="G475">
        <v>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region_summary__37[[#This Row],[APPROVED BY Pengawas]]+region_summary__37[[#This Row],[EDITED BY Admin Kabupaten]]</f>
        <v>46</v>
      </c>
    </row>
    <row r="476" spans="1:13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region_summary__37[[#This Row],[APPROVED BY Pengawas]]+region_summary__37[[#This Row],[EDITED BY Admin Kabupaten]]</f>
        <v>0</v>
      </c>
    </row>
    <row r="477" spans="1:13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0</v>
      </c>
      <c r="G477">
        <v>39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region_summary__37[[#This Row],[APPROVED BY Pengawas]]+region_summary__37[[#This Row],[EDITED BY Admin Kabupaten]]</f>
        <v>2</v>
      </c>
    </row>
    <row r="478" spans="1:13" x14ac:dyDescent="0.25">
      <c r="A478" t="s">
        <v>137</v>
      </c>
      <c r="B478">
        <v>7172040005000200</v>
      </c>
      <c r="C478">
        <v>154</v>
      </c>
      <c r="D478">
        <v>61</v>
      </c>
      <c r="E478">
        <v>28</v>
      </c>
      <c r="F478">
        <v>0</v>
      </c>
      <c r="G478">
        <v>27</v>
      </c>
      <c r="H478">
        <v>0</v>
      </c>
      <c r="I478">
        <v>0</v>
      </c>
      <c r="J478">
        <v>2</v>
      </c>
      <c r="K478">
        <v>36</v>
      </c>
      <c r="L478">
        <v>0</v>
      </c>
      <c r="M478">
        <f>region_summary__37[[#This Row],[APPROVED BY Pengawas]]+region_summary__37[[#This Row],[EDITED BY Admin Kabupaten]]</f>
        <v>61</v>
      </c>
    </row>
    <row r="479" spans="1:13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region_summary__37[[#This Row],[APPROVED BY Pengawas]]+region_summary__37[[#This Row],[EDITED BY Admin Kabupaten]]</f>
        <v>5</v>
      </c>
    </row>
    <row r="480" spans="1:13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0</v>
      </c>
      <c r="G480">
        <v>44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region_summary__37[[#This Row],[APPROVED BY Pengawas]]+region_summary__37[[#This Row],[EDITED BY Admin Kabupaten]]</f>
        <v>5</v>
      </c>
    </row>
    <row r="481" spans="1:13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region_summary__37[[#This Row],[APPROVED BY Pengawas]]+region_summary__37[[#This Row],[EDITED BY Admin Kabupaten]]</f>
        <v>58</v>
      </c>
    </row>
    <row r="482" spans="1:13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region_summary__37[[#This Row],[APPROVED BY Pengawas]]+region_summary__37[[#This Row],[EDITED BY Admin Kabupaten]]</f>
        <v>2</v>
      </c>
    </row>
    <row r="483" spans="1:13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0</v>
      </c>
      <c r="K483">
        <v>16</v>
      </c>
      <c r="L483">
        <v>0</v>
      </c>
      <c r="M483">
        <f>region_summary__37[[#This Row],[APPROVED BY Pengawas]]+region_summary__37[[#This Row],[EDITED BY Admin Kabupaten]]</f>
        <v>28</v>
      </c>
    </row>
    <row r="484" spans="1:13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region_summary__37[[#This Row],[APPROVED BY Pengawas]]+region_summary__37[[#This Row],[EDITED BY Admin Kabupaten]]</f>
        <v>1</v>
      </c>
    </row>
    <row r="485" spans="1:13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region_summary__37[[#This Row],[APPROVED BY Pengawas]]+region_summary__37[[#This Row],[EDITED BY Admin Kabupaten]]</f>
        <v>2</v>
      </c>
    </row>
    <row r="486" spans="1:13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region_summary__37[[#This Row],[APPROVED BY Pengawas]]+region_summary__37[[#This Row],[EDITED BY Admin Kabupaten]]</f>
        <v>1</v>
      </c>
    </row>
    <row r="487" spans="1:13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region_summary__37[[#This Row],[APPROVED BY Pengawas]]+region_summary__37[[#This Row],[EDITED BY Admin Kabupaten]]</f>
        <v>1</v>
      </c>
    </row>
    <row r="488" spans="1:13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region_summary__37[[#This Row],[APPROVED BY Pengawas]]+region_summary__37[[#This Row],[EDITED BY Admin Kabupaten]]</f>
        <v>0</v>
      </c>
    </row>
    <row r="489" spans="1:13" x14ac:dyDescent="0.25">
      <c r="A489" t="s">
        <v>138</v>
      </c>
      <c r="B489">
        <v>7172040005002001</v>
      </c>
      <c r="C489">
        <v>128</v>
      </c>
      <c r="D489">
        <v>6</v>
      </c>
      <c r="E489">
        <v>1</v>
      </c>
      <c r="F489">
        <v>0</v>
      </c>
      <c r="G489">
        <v>121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region_summary__37[[#This Row],[APPROVED BY Pengawas]]+region_summary__37[[#This Row],[EDITED BY Admin Kabupaten]]</f>
        <v>6</v>
      </c>
    </row>
    <row r="490" spans="1:13" x14ac:dyDescent="0.25">
      <c r="A490" t="s">
        <v>138</v>
      </c>
      <c r="B490">
        <v>7172040005001800</v>
      </c>
      <c r="C490">
        <v>123</v>
      </c>
      <c r="D490">
        <v>34</v>
      </c>
      <c r="E490">
        <v>20</v>
      </c>
      <c r="F490">
        <v>0</v>
      </c>
      <c r="G490">
        <v>66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region_summary__37[[#This Row],[APPROVED BY Pengawas]]+region_summary__37[[#This Row],[EDITED BY Admin Kabupaten]]</f>
        <v>34</v>
      </c>
    </row>
    <row r="491" spans="1:13" x14ac:dyDescent="0.25">
      <c r="A491" t="s">
        <v>138</v>
      </c>
      <c r="B491">
        <v>7172040005001700</v>
      </c>
      <c r="C491">
        <v>100</v>
      </c>
      <c r="D491">
        <v>1</v>
      </c>
      <c r="E491">
        <v>1</v>
      </c>
      <c r="F491">
        <v>0</v>
      </c>
      <c r="G491">
        <v>98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region_summary__37[[#This Row],[APPROVED BY Pengawas]]+region_summary__37[[#This Row],[EDITED BY Admin Kabupaten]]</f>
        <v>1</v>
      </c>
    </row>
    <row r="492" spans="1:13" x14ac:dyDescent="0.25">
      <c r="A492" t="s">
        <v>138</v>
      </c>
      <c r="B492">
        <v>7172040005001402</v>
      </c>
      <c r="C492">
        <v>75</v>
      </c>
      <c r="D492">
        <v>28</v>
      </c>
      <c r="E492">
        <v>14</v>
      </c>
      <c r="F492">
        <v>0</v>
      </c>
      <c r="G492">
        <v>32</v>
      </c>
      <c r="H492">
        <v>0</v>
      </c>
      <c r="I492">
        <v>0</v>
      </c>
      <c r="J492">
        <v>1</v>
      </c>
      <c r="K492">
        <v>0</v>
      </c>
      <c r="L492">
        <v>0</v>
      </c>
      <c r="M492">
        <f>region_summary__37[[#This Row],[APPROVED BY Pengawas]]+region_summary__37[[#This Row],[EDITED BY Admin Kabupaten]]</f>
        <v>28</v>
      </c>
    </row>
    <row r="493" spans="1:13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region_summary__37[[#This Row],[APPROVED BY Pengawas]]+region_summary__37[[#This Row],[EDITED BY Admin Kabupaten]]</f>
        <v>0</v>
      </c>
    </row>
    <row r="494" spans="1:13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0</v>
      </c>
      <c r="G494">
        <v>10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region_summary__37[[#This Row],[APPROVED BY Pengawas]]+region_summary__37[[#This Row],[EDITED BY Admin Kabupaten]]</f>
        <v>34</v>
      </c>
    </row>
    <row r="495" spans="1:13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region_summary__37[[#This Row],[APPROVED BY Pengawas]]+region_summary__37[[#This Row],[EDITED BY Admin Kabupaten]]</f>
        <v>0</v>
      </c>
    </row>
    <row r="496" spans="1:13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0</v>
      </c>
      <c r="G496">
        <v>1</v>
      </c>
      <c r="H496">
        <v>0</v>
      </c>
      <c r="I496">
        <v>25</v>
      </c>
      <c r="J496">
        <v>0</v>
      </c>
      <c r="K496">
        <v>0</v>
      </c>
      <c r="L496">
        <v>0</v>
      </c>
      <c r="M496">
        <f>region_summary__37[[#This Row],[APPROVED BY Pengawas]]+region_summary__37[[#This Row],[EDITED BY Admin Kabupaten]]</f>
        <v>90</v>
      </c>
    </row>
    <row r="497" spans="1:13" x14ac:dyDescent="0.25">
      <c r="A497" t="s">
        <v>141</v>
      </c>
      <c r="B497">
        <v>7172040013000200</v>
      </c>
      <c r="C497">
        <v>99</v>
      </c>
      <c r="D497">
        <v>69</v>
      </c>
      <c r="E497">
        <v>25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region_summary__37[[#This Row],[APPROVED BY Pengawas]]+region_summary__37[[#This Row],[EDITED BY Admin Kabupaten]]</f>
        <v>69</v>
      </c>
    </row>
    <row r="498" spans="1:13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15</v>
      </c>
      <c r="L498">
        <v>0</v>
      </c>
      <c r="M498">
        <f>region_summary__37[[#This Row],[APPROVED BY Pengawas]]+region_summary__37[[#This Row],[EDITED BY Admin Kabupaten]]</f>
        <v>8</v>
      </c>
    </row>
    <row r="499" spans="1:13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region_summary__37[[#This Row],[APPROVED BY Pengawas]]+region_summary__37[[#This Row],[EDITED BY Admin Kabupaten]]</f>
        <v>14</v>
      </c>
    </row>
    <row r="500" spans="1:13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4</v>
      </c>
      <c r="L500">
        <v>0</v>
      </c>
      <c r="M500">
        <f>region_summary__37[[#This Row],[APPROVED BY Pengawas]]+region_summary__37[[#This Row],[EDITED BY Admin Kabupaten]]</f>
        <v>12</v>
      </c>
    </row>
    <row r="501" spans="1:13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13</v>
      </c>
      <c r="L501">
        <v>0</v>
      </c>
      <c r="M501">
        <f>region_summary__37[[#This Row],[APPROVED BY Pengawas]]+region_summary__37[[#This Row],[EDITED BY Admin Kabupaten]]</f>
        <v>0</v>
      </c>
    </row>
    <row r="502" spans="1:13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4</v>
      </c>
      <c r="L502">
        <v>0</v>
      </c>
      <c r="M502">
        <f>region_summary__37[[#This Row],[APPROVED BY Pengawas]]+region_summary__37[[#This Row],[EDITED BY Admin Kabupaten]]</f>
        <v>4</v>
      </c>
    </row>
    <row r="503" spans="1:13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15</v>
      </c>
      <c r="L503">
        <v>0</v>
      </c>
      <c r="M503">
        <f>region_summary__37[[#This Row],[APPROVED BY Pengawas]]+region_summary__37[[#This Row],[EDITED BY Admin Kabupaten]]</f>
        <v>0</v>
      </c>
    </row>
    <row r="504" spans="1:13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6</v>
      </c>
      <c r="L504">
        <v>0</v>
      </c>
      <c r="M504">
        <f>region_summary__37[[#This Row],[APPROVED BY Pengawas]]+region_summary__37[[#This Row],[EDITED BY Admin Kabupaten]]</f>
        <v>7</v>
      </c>
    </row>
    <row r="505" spans="1:13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region_summary__37[[#This Row],[APPROVED BY Pengawas]]+region_summary__37[[#This Row],[EDITED BY Admin Kabupaten]]</f>
        <v>6</v>
      </c>
    </row>
    <row r="506" spans="1:13" x14ac:dyDescent="0.25">
      <c r="A506" t="s">
        <v>142</v>
      </c>
      <c r="B506">
        <v>7172040013000600</v>
      </c>
      <c r="C506">
        <v>132</v>
      </c>
      <c r="D506">
        <v>74</v>
      </c>
      <c r="E506">
        <v>15</v>
      </c>
      <c r="F506">
        <v>0</v>
      </c>
      <c r="G506">
        <v>13</v>
      </c>
      <c r="H506">
        <v>0</v>
      </c>
      <c r="I506">
        <v>4</v>
      </c>
      <c r="J506">
        <v>0</v>
      </c>
      <c r="K506">
        <v>26</v>
      </c>
      <c r="L506">
        <v>0</v>
      </c>
      <c r="M506">
        <f>region_summary__37[[#This Row],[APPROVED BY Pengawas]]+region_summary__37[[#This Row],[EDITED BY Admin Kabupaten]]</f>
        <v>74</v>
      </c>
    </row>
    <row r="507" spans="1:13" x14ac:dyDescent="0.25">
      <c r="A507" t="s">
        <v>142</v>
      </c>
      <c r="B507">
        <v>7172040013000800</v>
      </c>
      <c r="C507">
        <v>89</v>
      </c>
      <c r="D507">
        <v>38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48</v>
      </c>
      <c r="L507">
        <v>0</v>
      </c>
      <c r="M507">
        <f>region_summary__37[[#This Row],[APPROVED BY Pengawas]]+region_summary__37[[#This Row],[EDITED BY Admin Kabupaten]]</f>
        <v>38</v>
      </c>
    </row>
    <row r="508" spans="1:13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region_summary__37[[#This Row],[APPROVED BY Pengawas]]+region_summary__37[[#This Row],[EDITED BY Admin Kabupaten]]</f>
        <v>4</v>
      </c>
    </row>
    <row r="509" spans="1:13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0</v>
      </c>
      <c r="G509">
        <v>63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region_summary__37[[#This Row],[APPROVED BY Pengawas]]+region_summary__37[[#This Row],[EDITED BY Admin Kabupaten]]</f>
        <v>4</v>
      </c>
    </row>
    <row r="510" spans="1:13" x14ac:dyDescent="0.25">
      <c r="A510" t="s">
        <v>142</v>
      </c>
      <c r="B510">
        <v>7172040013000900</v>
      </c>
      <c r="C510">
        <v>56</v>
      </c>
      <c r="D510">
        <v>18</v>
      </c>
      <c r="E510">
        <v>4</v>
      </c>
      <c r="F510">
        <v>0</v>
      </c>
      <c r="G510">
        <v>25</v>
      </c>
      <c r="H510">
        <v>0</v>
      </c>
      <c r="I510">
        <v>0</v>
      </c>
      <c r="J510">
        <v>0</v>
      </c>
      <c r="K510">
        <v>9</v>
      </c>
      <c r="L510">
        <v>0</v>
      </c>
      <c r="M510">
        <f>region_summary__37[[#This Row],[APPROVED BY Pengawas]]+region_summary__37[[#This Row],[EDITED BY Admin Kabupaten]]</f>
        <v>18</v>
      </c>
    </row>
    <row r="511" spans="1:13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0</v>
      </c>
      <c r="G511">
        <v>46</v>
      </c>
      <c r="H511">
        <v>0</v>
      </c>
      <c r="I511">
        <v>0</v>
      </c>
      <c r="J511">
        <v>0</v>
      </c>
      <c r="K511">
        <v>9</v>
      </c>
      <c r="L511">
        <v>0</v>
      </c>
      <c r="M511">
        <f>region_summary__37[[#This Row],[APPROVED BY Pengawas]]+region_summary__37[[#This Row],[EDITED BY Admin Kabupaten]]</f>
        <v>0</v>
      </c>
    </row>
    <row r="512" spans="1:13" x14ac:dyDescent="0.25">
      <c r="A512" t="s">
        <v>142</v>
      </c>
      <c r="B512">
        <v>7172040013000500</v>
      </c>
      <c r="C512">
        <v>55</v>
      </c>
      <c r="D512">
        <v>35</v>
      </c>
      <c r="E512">
        <v>1</v>
      </c>
      <c r="F512">
        <v>0</v>
      </c>
      <c r="G512">
        <v>19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region_summary__37[[#This Row],[APPROVED BY Pengawas]]+region_summary__37[[#This Row],[EDITED BY Admin Kabupaten]]</f>
        <v>35</v>
      </c>
    </row>
    <row r="513" spans="1:13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region_summary__37[[#This Row],[APPROVED BY Pengawas]]+region_summary__37[[#This Row],[EDITED BY Admin Kabupaten]]</f>
        <v>2</v>
      </c>
    </row>
    <row r="514" spans="1:13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3</v>
      </c>
      <c r="L514">
        <v>0</v>
      </c>
      <c r="M514">
        <f>region_summary__37[[#This Row],[APPROVED BY Pengawas]]+region_summary__37[[#This Row],[EDITED BY Admin Kabupaten]]</f>
        <v>0</v>
      </c>
    </row>
    <row r="515" spans="1:13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42</v>
      </c>
      <c r="H515">
        <v>0</v>
      </c>
      <c r="I515">
        <v>0</v>
      </c>
      <c r="J515">
        <v>0</v>
      </c>
      <c r="K515">
        <v>6</v>
      </c>
      <c r="L515">
        <v>0</v>
      </c>
      <c r="M515">
        <f>region_summary__37[[#This Row],[APPROVED BY Pengawas]]+region_summary__37[[#This Row],[EDITED BY Admin Kabupaten]]</f>
        <v>0</v>
      </c>
    </row>
    <row r="516" spans="1:13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region_summary__37[[#This Row],[APPROVED BY Pengawas]]+region_summary__37[[#This Row],[EDITED BY Admin Kabupaten]]</f>
        <v>0</v>
      </c>
    </row>
    <row r="517" spans="1:13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0</v>
      </c>
      <c r="G517">
        <v>41</v>
      </c>
      <c r="H517">
        <v>0</v>
      </c>
      <c r="I517">
        <v>0</v>
      </c>
      <c r="J517">
        <v>0</v>
      </c>
      <c r="K517">
        <v>1</v>
      </c>
      <c r="L517">
        <v>0</v>
      </c>
      <c r="M517">
        <f>region_summary__37[[#This Row],[APPROVED BY Pengawas]]+region_summary__37[[#This Row],[EDITED BY Admin Kabupaten]]</f>
        <v>99</v>
      </c>
    </row>
    <row r="518" spans="1:13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0</v>
      </c>
      <c r="G518">
        <v>35</v>
      </c>
      <c r="H518">
        <v>0</v>
      </c>
      <c r="I518">
        <v>1</v>
      </c>
      <c r="J518">
        <v>0</v>
      </c>
      <c r="K518">
        <v>0</v>
      </c>
      <c r="L518">
        <v>0</v>
      </c>
      <c r="M518">
        <f>region_summary__37[[#This Row],[APPROVED BY Pengawas]]+region_summary__37[[#This Row],[EDITED BY Admin Kabupaten]]</f>
        <v>83</v>
      </c>
    </row>
    <row r="519" spans="1:13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region_summary__37[[#This Row],[APPROVED BY Pengawas]]+region_summary__37[[#This Row],[EDITED BY Admin Kabupaten]]</f>
        <v>107</v>
      </c>
    </row>
    <row r="520" spans="1:13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region_summary__37[[#This Row],[APPROVED BY Pengawas]]+region_summary__37[[#This Row],[EDITED BY Admin Kabupaten]]</f>
        <v>0</v>
      </c>
    </row>
    <row r="521" spans="1:13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region_summary__37[[#This Row],[APPROVED BY Pengawas]]+region_summary__37[[#This Row],[EDITED BY Admin Kabupaten]]</f>
        <v>0</v>
      </c>
    </row>
    <row r="522" spans="1:13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region_summary__37[[#This Row],[APPROVED BY Pengawas]]+region_summary__37[[#This Row],[EDITED BY Admin Kabupaten]]</f>
        <v>0</v>
      </c>
    </row>
    <row r="523" spans="1:13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region_summary__37[[#This Row],[APPROVED BY Pengawas]]+region_summary__37[[#This Row],[EDITED BY Admin Kabupaten]]</f>
        <v>87</v>
      </c>
    </row>
    <row r="524" spans="1:13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region_summary__37[[#This Row],[APPROVED BY Pengawas]]+region_summary__37[[#This Row],[EDITED BY Admin Kabupaten]]</f>
        <v>69</v>
      </c>
    </row>
    <row r="525" spans="1:13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region_summary__37[[#This Row],[APPROVED BY Pengawas]]+region_summary__37[[#This Row],[EDITED BY Admin Kabupaten]]</f>
        <v>0</v>
      </c>
    </row>
    <row r="526" spans="1:13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region_summary__37[[#This Row],[APPROVED BY Pengawas]]+region_summary__37[[#This Row],[EDITED BY Admin Kabupaten]]</f>
        <v>0</v>
      </c>
    </row>
    <row r="527" spans="1:13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region_summary__37[[#This Row],[APPROVED BY Pengawas]]+region_summary__37[[#This Row],[EDITED BY Admin Kabupaten]]</f>
        <v>31</v>
      </c>
    </row>
    <row r="528" spans="1:13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f>region_summary__37[[#This Row],[APPROVED BY Pengawas]]+region_summary__37[[#This Row],[EDITED BY Admin Kabupaten]]</f>
        <v>50</v>
      </c>
    </row>
    <row r="529" spans="1:13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region_summary__37[[#This Row],[APPROVED BY Pengawas]]+region_summary__37[[#This Row],[EDITED BY Admin Kabupaten]]</f>
        <v>0</v>
      </c>
    </row>
    <row r="530" spans="1:13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region_summary__37[[#This Row],[APPROVED BY Pengawas]]+region_summary__37[[#This Row],[EDITED BY Admin Kabupaten]]</f>
        <v>0</v>
      </c>
    </row>
    <row r="531" spans="1:13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region_summary__37[[#This Row],[APPROVED BY Pengawas]]+region_summary__37[[#This Row],[EDITED BY Admin Kabupaten]]</f>
        <v>0</v>
      </c>
    </row>
    <row r="532" spans="1:13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region_summary__37[[#This Row],[APPROVED BY Pengawas]]+region_summary__37[[#This Row],[EDITED BY Admin Kabupaten]]</f>
        <v>29</v>
      </c>
    </row>
    <row r="533" spans="1:13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region_summary__37[[#This Row],[APPROVED BY Pengawas]]+region_summary__37[[#This Row],[EDITED BY Admin Kabupaten]]</f>
        <v>0</v>
      </c>
    </row>
    <row r="534" spans="1:13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region_summary__37[[#This Row],[APPROVED BY Pengawas]]+region_summary__37[[#This Row],[EDITED BY Admin Kabupaten]]</f>
        <v>0</v>
      </c>
    </row>
    <row r="535" spans="1:13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region_summary__37[[#This Row],[APPROVED BY Pengawas]]+region_summary__37[[#This Row],[EDITED BY Admin Kabupaten]]</f>
        <v>0</v>
      </c>
    </row>
    <row r="536" spans="1:13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region_summary__37[[#This Row],[APPROVED BY Pengawas]]+region_summary__37[[#This Row],[EDITED BY Admin Kabupaten]]</f>
        <v>0</v>
      </c>
    </row>
    <row r="537" spans="1:13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region_summary__37[[#This Row],[APPROVED BY Pengawas]]+region_summary__37[[#This Row],[EDITED BY Admin Kabupaten]]</f>
        <v>64</v>
      </c>
    </row>
    <row r="538" spans="1:13" x14ac:dyDescent="0.25">
      <c r="A538" t="s">
        <v>9</v>
      </c>
      <c r="B538">
        <v>7172010009001000</v>
      </c>
      <c r="C538">
        <v>60</v>
      </c>
      <c r="D538">
        <v>52</v>
      </c>
      <c r="E538">
        <v>1</v>
      </c>
      <c r="F538">
        <v>0</v>
      </c>
      <c r="G538">
        <v>7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region_summary__37[[#This Row],[APPROVED BY Pengawas]]+region_summary__37[[#This Row],[EDITED BY Admin Kabupaten]]</f>
        <v>52</v>
      </c>
    </row>
    <row r="539" spans="1:13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region_summary__37[[#This Row],[APPROVED BY Pengawas]]+region_summary__37[[#This Row],[EDITED BY Admin Kabupaten]]</f>
        <v>57</v>
      </c>
    </row>
    <row r="540" spans="1:13" x14ac:dyDescent="0.25">
      <c r="A540" t="s">
        <v>9</v>
      </c>
      <c r="B540">
        <v>7172010009001300</v>
      </c>
      <c r="C540">
        <v>60</v>
      </c>
      <c r="D540">
        <v>12</v>
      </c>
      <c r="E540">
        <v>1</v>
      </c>
      <c r="F540">
        <v>0</v>
      </c>
      <c r="G540">
        <v>44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region_summary__37[[#This Row],[APPROVED BY Pengawas]]+region_summary__37[[#This Row],[EDITED BY Admin Kabupaten]]</f>
        <v>12</v>
      </c>
    </row>
    <row r="541" spans="1:13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region_summary__37[[#This Row],[APPROVED BY Pengawas]]+region_summary__37[[#This Row],[EDITED BY Admin Kabupaten]]</f>
        <v>0</v>
      </c>
    </row>
    <row r="542" spans="1:13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region_summary__37[[#This Row],[APPROVED BY Pengawas]]+region_summary__37[[#This Row],[EDITED BY Admin Kabupaten]]</f>
        <v>0</v>
      </c>
    </row>
    <row r="543" spans="1:13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region_summary__37[[#This Row],[APPROVED BY Pengawas]]+region_summary__37[[#This Row],[EDITED BY Admin Kabupaten]]</f>
        <v>45</v>
      </c>
    </row>
    <row r="544" spans="1:13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region_summary__37[[#This Row],[APPROVED BY Pengawas]]+region_summary__37[[#This Row],[EDITED BY Admin Kabupaten]]</f>
        <v>0</v>
      </c>
    </row>
    <row r="545" spans="1:13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region_summary__37[[#This Row],[APPROVED BY Pengawas]]+region_summary__37[[#This Row],[EDITED BY Admin Kabupaten]]</f>
        <v>0</v>
      </c>
    </row>
    <row r="546" spans="1:13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region_summary__37[[#This Row],[APPROVED BY Pengawas]]+region_summary__37[[#This Row],[EDITED BY Admin Kabupaten]]</f>
        <v>0</v>
      </c>
    </row>
    <row r="547" spans="1:13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region_summary__37[[#This Row],[APPROVED BY Pengawas]]+region_summary__37[[#This Row],[EDITED BY Admin Kabupaten]]</f>
        <v>0</v>
      </c>
    </row>
    <row r="548" spans="1:13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region_summary__37[[#This Row],[APPROVED BY Pengawas]]+region_summary__37[[#This Row],[EDITED BY Admin Kabupaten]]</f>
        <v>35</v>
      </c>
    </row>
    <row r="549" spans="1:13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region_summary__37[[#This Row],[APPROVED BY Pengawas]]+region_summary__37[[#This Row],[EDITED BY Admin Kabupaten]]</f>
        <v>0</v>
      </c>
    </row>
    <row r="550" spans="1:13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region_summary__37[[#This Row],[APPROVED BY Pengawas]]+region_summary__37[[#This Row],[EDITED BY Admin Kabupaten]]</f>
        <v>0</v>
      </c>
    </row>
    <row r="551" spans="1:13" x14ac:dyDescent="0.25">
      <c r="A551" t="s">
        <v>11</v>
      </c>
      <c r="B551">
        <v>7172010010000200</v>
      </c>
      <c r="C551">
        <v>132</v>
      </c>
      <c r="D551">
        <v>125</v>
      </c>
      <c r="E551">
        <v>4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region_summary__37[[#This Row],[APPROVED BY Pengawas]]+region_summary__37[[#This Row],[EDITED BY Admin Kabupaten]]</f>
        <v>125</v>
      </c>
    </row>
    <row r="552" spans="1:13" x14ac:dyDescent="0.25">
      <c r="A552" t="s">
        <v>11</v>
      </c>
      <c r="B552">
        <v>7172010009002900</v>
      </c>
      <c r="C552">
        <v>104</v>
      </c>
      <c r="D552">
        <v>90</v>
      </c>
      <c r="E552">
        <v>0</v>
      </c>
      <c r="F552">
        <v>0</v>
      </c>
      <c r="G552">
        <v>11</v>
      </c>
      <c r="H552">
        <v>0</v>
      </c>
      <c r="I552">
        <v>0</v>
      </c>
      <c r="J552">
        <v>0</v>
      </c>
      <c r="K552">
        <v>3</v>
      </c>
      <c r="L552">
        <v>0</v>
      </c>
      <c r="M552">
        <f>region_summary__37[[#This Row],[APPROVED BY Pengawas]]+region_summary__37[[#This Row],[EDITED BY Admin Kabupaten]]</f>
        <v>90</v>
      </c>
    </row>
    <row r="553" spans="1:13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region_summary__37[[#This Row],[APPROVED BY Pengawas]]+region_summary__37[[#This Row],[EDITED BY Admin Kabupaten]]</f>
        <v>100</v>
      </c>
    </row>
    <row r="554" spans="1:13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region_summary__37[[#This Row],[APPROVED BY Pengawas]]+region_summary__37[[#This Row],[EDITED BY Admin Kabupaten]]</f>
        <v>0</v>
      </c>
    </row>
    <row r="555" spans="1:13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region_summary__37[[#This Row],[APPROVED BY Pengawas]]+region_summary__37[[#This Row],[EDITED BY Admin Kabupaten]]</f>
        <v>0</v>
      </c>
    </row>
    <row r="556" spans="1:13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region_summary__37[[#This Row],[APPROVED BY Pengawas]]+region_summary__37[[#This Row],[EDITED BY Admin Kabupaten]]</f>
        <v>0</v>
      </c>
    </row>
    <row r="557" spans="1:13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region_summary__37[[#This Row],[APPROVED BY Pengawas]]+region_summary__37[[#This Row],[EDITED BY Admin Kabupaten]]</f>
        <v>0</v>
      </c>
    </row>
    <row r="558" spans="1:13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region_summary__37[[#This Row],[APPROVED BY Pengawas]]+region_summary__37[[#This Row],[EDITED BY Admin Kabupaten]]</f>
        <v>0</v>
      </c>
    </row>
    <row r="559" spans="1:13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region_summary__37[[#This Row],[APPROVED BY Pengawas]]+region_summary__37[[#This Row],[EDITED BY Admin Kabupaten]]</f>
        <v>79</v>
      </c>
    </row>
    <row r="560" spans="1:13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region_summary__37[[#This Row],[APPROVED BY Pengawas]]+region_summary__37[[#This Row],[EDITED BY Admin Kabupaten]]</f>
        <v>71</v>
      </c>
    </row>
    <row r="561" spans="1:13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region_summary__37[[#This Row],[APPROVED BY Pengawas]]+region_summary__37[[#This Row],[EDITED BY Admin Kabupaten]]</f>
        <v>0</v>
      </c>
    </row>
    <row r="562" spans="1:13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region_summary__37[[#This Row],[APPROVED BY Pengawas]]+region_summary__37[[#This Row],[EDITED BY Admin Kabupaten]]</f>
        <v>0</v>
      </c>
    </row>
    <row r="563" spans="1:13" x14ac:dyDescent="0.25">
      <c r="A563" t="s">
        <v>12</v>
      </c>
      <c r="B563">
        <v>7172010010000700</v>
      </c>
      <c r="C563">
        <v>64</v>
      </c>
      <c r="D563">
        <v>28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1</v>
      </c>
      <c r="L563">
        <v>0</v>
      </c>
      <c r="M563">
        <f>region_summary__37[[#This Row],[APPROVED BY Pengawas]]+region_summary__37[[#This Row],[EDITED BY Admin Kabupaten]]</f>
        <v>28</v>
      </c>
    </row>
    <row r="564" spans="1:13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region_summary__37[[#This Row],[APPROVED BY Pengawas]]+region_summary__37[[#This Row],[EDITED BY Admin Kabupaten]]</f>
        <v>48</v>
      </c>
    </row>
    <row r="565" spans="1:13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region_summary__37[[#This Row],[APPROVED BY Pengawas]]+region_summary__37[[#This Row],[EDITED BY Admin Kabupaten]]</f>
        <v>38</v>
      </c>
    </row>
    <row r="566" spans="1:13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region_summary__37[[#This Row],[APPROVED BY Pengawas]]+region_summary__37[[#This Row],[EDITED BY Admin Kabupaten]]</f>
        <v>0</v>
      </c>
    </row>
    <row r="567" spans="1:13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region_summary__37[[#This Row],[APPROVED BY Pengawas]]+region_summary__37[[#This Row],[EDITED BY Admin Kabupaten]]</f>
        <v>0</v>
      </c>
    </row>
    <row r="568" spans="1:13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region_summary__37[[#This Row],[APPROVED BY Pengawas]]+region_summary__37[[#This Row],[EDITED BY Admin Kabupaten]]</f>
        <v>0</v>
      </c>
    </row>
    <row r="569" spans="1:13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region_summary__37[[#This Row],[APPROVED BY Pengawas]]+region_summary__37[[#This Row],[EDITED BY Admin Kabupaten]]</f>
        <v>0</v>
      </c>
    </row>
    <row r="570" spans="1:13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region_summary__37[[#This Row],[APPROVED BY Pengawas]]+region_summary__37[[#This Row],[EDITED BY Admin Kabupaten]]</f>
        <v>0</v>
      </c>
    </row>
    <row r="571" spans="1:13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region_summary__37[[#This Row],[APPROVED BY Pengawas]]+region_summary__37[[#This Row],[EDITED BY Admin Kabupaten]]</f>
        <v>61</v>
      </c>
    </row>
    <row r="572" spans="1:13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0</v>
      </c>
      <c r="G572">
        <v>10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region_summary__37[[#This Row],[APPROVED BY Pengawas]]+region_summary__37[[#This Row],[EDITED BY Admin Kabupaten]]</f>
        <v>51</v>
      </c>
    </row>
    <row r="573" spans="1:13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region_summary__37[[#This Row],[APPROVED BY Pengawas]]+region_summary__37[[#This Row],[EDITED BY Admin Kabupaten]]</f>
        <v>55</v>
      </c>
    </row>
    <row r="574" spans="1:13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region_summary__37[[#This Row],[APPROVED BY Pengawas]]+region_summary__37[[#This Row],[EDITED BY Admin Kabupaten]]</f>
        <v>45</v>
      </c>
    </row>
    <row r="575" spans="1:13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region_summary__37[[#This Row],[APPROVED BY Pengawas]]+region_summary__37[[#This Row],[EDITED BY Admin Kabupaten]]</f>
        <v>0</v>
      </c>
    </row>
    <row r="576" spans="1:13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region_summary__37[[#This Row],[APPROVED BY Pengawas]]+region_summary__37[[#This Row],[EDITED BY Admin Kabupaten]]</f>
        <v>36</v>
      </c>
    </row>
    <row r="577" spans="1:13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region_summary__37[[#This Row],[APPROVED BY Pengawas]]+region_summary__37[[#This Row],[EDITED BY Admin Kabupaten]]</f>
        <v>0</v>
      </c>
    </row>
    <row r="578" spans="1:13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region_summary__37[[#This Row],[APPROVED BY Pengawas]]+region_summary__37[[#This Row],[EDITED BY Admin Kabupaten]]</f>
        <v>0</v>
      </c>
    </row>
    <row r="579" spans="1:13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region_summary__37[[#This Row],[APPROVED BY Pengawas]]+region_summary__37[[#This Row],[EDITED BY Admin Kabupaten]]</f>
        <v>5</v>
      </c>
    </row>
    <row r="580" spans="1:13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region_summary__37[[#This Row],[APPROVED BY Pengawas]]+region_summary__37[[#This Row],[EDITED BY Admin Kabupaten]]</f>
        <v>0</v>
      </c>
    </row>
    <row r="581" spans="1:13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region_summary__37[[#This Row],[APPROVED BY Pengawas]]+region_summary__37[[#This Row],[EDITED BY Admin Kabupaten]]</f>
        <v>0</v>
      </c>
    </row>
    <row r="582" spans="1:13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region_summary__37[[#This Row],[APPROVED BY Pengawas]]+region_summary__37[[#This Row],[EDITED BY Admin Kabupaten]]</f>
        <v>0</v>
      </c>
    </row>
    <row r="583" spans="1:13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region_summary__37[[#This Row],[APPROVED BY Pengawas]]+region_summary__37[[#This Row],[EDITED BY Admin Kabupaten]]</f>
        <v>22</v>
      </c>
    </row>
    <row r="584" spans="1:13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region_summary__37[[#This Row],[APPROVED BY Pengawas]]+region_summary__37[[#This Row],[EDITED BY Admin Kabupaten]]</f>
        <v>85</v>
      </c>
    </row>
    <row r="585" spans="1:13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region_summary__37[[#This Row],[APPROVED BY Pengawas]]+region_summary__37[[#This Row],[EDITED BY Admin Kabupaten]]</f>
        <v>82</v>
      </c>
    </row>
    <row r="586" spans="1:13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region_summary__37[[#This Row],[APPROVED BY Pengawas]]+region_summary__37[[#This Row],[EDITED BY Admin Kabupaten]]</f>
        <v>75</v>
      </c>
    </row>
    <row r="587" spans="1:13" x14ac:dyDescent="0.25">
      <c r="A587" t="s">
        <v>15</v>
      </c>
      <c r="B587">
        <v>7172010012000500</v>
      </c>
      <c r="C587">
        <v>70</v>
      </c>
      <c r="D587">
        <v>58</v>
      </c>
      <c r="E587">
        <v>0</v>
      </c>
      <c r="F587">
        <v>0</v>
      </c>
      <c r="G587">
        <v>11</v>
      </c>
      <c r="H587">
        <v>0</v>
      </c>
      <c r="I587">
        <v>0</v>
      </c>
      <c r="J587">
        <v>0</v>
      </c>
      <c r="K587">
        <v>1</v>
      </c>
      <c r="L587">
        <v>0</v>
      </c>
      <c r="M587">
        <f>region_summary__37[[#This Row],[APPROVED BY Pengawas]]+region_summary__37[[#This Row],[EDITED BY Admin Kabupaten]]</f>
        <v>58</v>
      </c>
    </row>
    <row r="588" spans="1:13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56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region_summary__37[[#This Row],[APPROVED BY Pengawas]]+region_summary__37[[#This Row],[EDITED BY Admin Kabupaten]]</f>
        <v>0</v>
      </c>
    </row>
    <row r="589" spans="1:13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0</v>
      </c>
      <c r="G589">
        <v>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region_summary__37[[#This Row],[APPROVED BY Pengawas]]+region_summary__37[[#This Row],[EDITED BY Admin Kabupaten]]</f>
        <v>41</v>
      </c>
    </row>
    <row r="590" spans="1:13" x14ac:dyDescent="0.25">
      <c r="A590" t="s">
        <v>15</v>
      </c>
      <c r="B590">
        <v>7172010012001000</v>
      </c>
      <c r="C590">
        <v>50</v>
      </c>
      <c r="D590">
        <v>13</v>
      </c>
      <c r="E590">
        <v>0</v>
      </c>
      <c r="F590">
        <v>0</v>
      </c>
      <c r="G590">
        <v>36</v>
      </c>
      <c r="H590">
        <v>0</v>
      </c>
      <c r="I590">
        <v>0</v>
      </c>
      <c r="J590">
        <v>0</v>
      </c>
      <c r="K590">
        <v>1</v>
      </c>
      <c r="L590">
        <v>0</v>
      </c>
      <c r="M590">
        <f>region_summary__37[[#This Row],[APPROVED BY Pengawas]]+region_summary__37[[#This Row],[EDITED BY Admin Kabupaten]]</f>
        <v>13</v>
      </c>
    </row>
    <row r="591" spans="1:13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region_summary__37[[#This Row],[APPROVED BY Pengawas]]+region_summary__37[[#This Row],[EDITED BY Admin Kabupaten]]</f>
        <v>48</v>
      </c>
    </row>
    <row r="592" spans="1:13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region_summary__37[[#This Row],[APPROVED BY Pengawas]]+region_summary__37[[#This Row],[EDITED BY Admin Kabupaten]]</f>
        <v>31</v>
      </c>
    </row>
    <row r="593" spans="1:13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region_summary__37[[#This Row],[APPROVED BY Pengawas]]+region_summary__37[[#This Row],[EDITED BY Admin Kabupaten]]</f>
        <v>0</v>
      </c>
    </row>
    <row r="594" spans="1:13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region_summary__37[[#This Row],[APPROVED BY Pengawas]]+region_summary__37[[#This Row],[EDITED BY Admin Kabupaten]]</f>
        <v>0</v>
      </c>
    </row>
    <row r="595" spans="1:13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region_summary__37[[#This Row],[APPROVED BY Pengawas]]+region_summary__37[[#This Row],[EDITED BY Admin Kabupaten]]</f>
        <v>0</v>
      </c>
    </row>
    <row r="596" spans="1:13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region_summary__37[[#This Row],[APPROVED BY Pengawas]]+region_summary__37[[#This Row],[EDITED BY Admin Kabupaten]]</f>
        <v>0</v>
      </c>
    </row>
    <row r="597" spans="1:13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region_summary__37[[#This Row],[APPROVED BY Pengawas]]+region_summary__37[[#This Row],[EDITED BY Admin Kabupaten]]</f>
        <v>0</v>
      </c>
    </row>
    <row r="598" spans="1:13" x14ac:dyDescent="0.25">
      <c r="A598" t="s">
        <v>23</v>
      </c>
      <c r="B598">
        <v>7172010015003100</v>
      </c>
      <c r="C598">
        <v>145</v>
      </c>
      <c r="D598">
        <v>113</v>
      </c>
      <c r="E598">
        <v>11</v>
      </c>
      <c r="F598">
        <v>0</v>
      </c>
      <c r="G598">
        <v>21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region_summary__37[[#This Row],[APPROVED BY Pengawas]]+region_summary__37[[#This Row],[EDITED BY Admin Kabupaten]]</f>
        <v>113</v>
      </c>
    </row>
    <row r="599" spans="1:13" x14ac:dyDescent="0.25">
      <c r="A599" t="s">
        <v>23</v>
      </c>
      <c r="B599">
        <v>7172010015002700</v>
      </c>
      <c r="C599">
        <v>94</v>
      </c>
      <c r="D599">
        <v>10</v>
      </c>
      <c r="E599">
        <v>8</v>
      </c>
      <c r="F599">
        <v>0</v>
      </c>
      <c r="G599">
        <v>76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region_summary__37[[#This Row],[APPROVED BY Pengawas]]+region_summary__37[[#This Row],[EDITED BY Admin Kabupaten]]</f>
        <v>10</v>
      </c>
    </row>
    <row r="600" spans="1:13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region_summary__37[[#This Row],[APPROVED BY Pengawas]]+region_summary__37[[#This Row],[EDITED BY Admin Kabupaten]]</f>
        <v>53</v>
      </c>
    </row>
    <row r="601" spans="1:13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region_summary__37[[#This Row],[APPROVED BY Pengawas]]+region_summary__37[[#This Row],[EDITED BY Admin Kabupaten]]</f>
        <v>35</v>
      </c>
    </row>
    <row r="602" spans="1:13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region_summary__37[[#This Row],[APPROVED BY Pengawas]]+region_summary__37[[#This Row],[EDITED BY Admin Kabupaten]]</f>
        <v>36</v>
      </c>
    </row>
    <row r="603" spans="1:13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region_summary__37[[#This Row],[APPROVED BY Pengawas]]+region_summary__37[[#This Row],[EDITED BY Admin Kabupaten]]</f>
        <v>16</v>
      </c>
    </row>
    <row r="604" spans="1:13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region_summary__37[[#This Row],[APPROVED BY Pengawas]]+region_summary__37[[#This Row],[EDITED BY Admin Kabupaten]]</f>
        <v>0</v>
      </c>
    </row>
    <row r="605" spans="1:13" x14ac:dyDescent="0.25">
      <c r="A605" t="s">
        <v>21</v>
      </c>
      <c r="B605">
        <v>7172010015001600</v>
      </c>
      <c r="C605">
        <v>138</v>
      </c>
      <c r="D605">
        <v>113</v>
      </c>
      <c r="E605">
        <v>0</v>
      </c>
      <c r="F605">
        <v>0</v>
      </c>
      <c r="G605">
        <v>25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region_summary__37[[#This Row],[APPROVED BY Pengawas]]+region_summary__37[[#This Row],[EDITED BY Admin Kabupaten]]</f>
        <v>113</v>
      </c>
    </row>
    <row r="606" spans="1:13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region_summary__37[[#This Row],[APPROVED BY Pengawas]]+region_summary__37[[#This Row],[EDITED BY Admin Kabupaten]]</f>
        <v>118</v>
      </c>
    </row>
    <row r="607" spans="1:13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region_summary__37[[#This Row],[APPROVED BY Pengawas]]+region_summary__37[[#This Row],[EDITED BY Admin Kabupaten]]</f>
        <v>0</v>
      </c>
    </row>
    <row r="608" spans="1:13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region_summary__37[[#This Row],[APPROVED BY Pengawas]]+region_summary__37[[#This Row],[EDITED BY Admin Kabupaten]]</f>
        <v>67</v>
      </c>
    </row>
    <row r="609" spans="1:13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region_summary__37[[#This Row],[APPROVED BY Pengawas]]+region_summary__37[[#This Row],[EDITED BY Admin Kabupaten]]</f>
        <v>0</v>
      </c>
    </row>
    <row r="610" spans="1:13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region_summary__37[[#This Row],[APPROVED BY Pengawas]]+region_summary__37[[#This Row],[EDITED BY Admin Kabupaten]]</f>
        <v>0</v>
      </c>
    </row>
    <row r="611" spans="1:13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region_summary__37[[#This Row],[APPROVED BY Pengawas]]+region_summary__37[[#This Row],[EDITED BY Admin Kabupaten]]</f>
        <v>191</v>
      </c>
    </row>
    <row r="612" spans="1:13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0</v>
      </c>
      <c r="G612">
        <v>142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region_summary__37[[#This Row],[APPROVED BY Pengawas]]+region_summary__37[[#This Row],[EDITED BY Admin Kabupaten]]</f>
        <v>32</v>
      </c>
    </row>
    <row r="613" spans="1:13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region_summary__37[[#This Row],[APPROVED BY Pengawas]]+region_summary__37[[#This Row],[EDITED BY Admin Kabupaten]]</f>
        <v>159</v>
      </c>
    </row>
    <row r="614" spans="1:13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region_summary__37[[#This Row],[APPROVED BY Pengawas]]+region_summary__37[[#This Row],[EDITED BY Admin Kabupaten]]</f>
        <v>0</v>
      </c>
    </row>
    <row r="615" spans="1:13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region_summary__37[[#This Row],[APPROVED BY Pengawas]]+region_summary__37[[#This Row],[EDITED BY Admin Kabupaten]]</f>
        <v>0</v>
      </c>
    </row>
    <row r="616" spans="1:13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region_summary__37[[#This Row],[APPROVED BY Pengawas]]+region_summary__37[[#This Row],[EDITED BY Admin Kabupaten]]</f>
        <v>0</v>
      </c>
    </row>
    <row r="617" spans="1:13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region_summary__37[[#This Row],[APPROVED BY Pengawas]]+region_summary__37[[#This Row],[EDITED BY Admin Kabupaten]]</f>
        <v>164</v>
      </c>
    </row>
    <row r="618" spans="1:13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region_summary__37[[#This Row],[APPROVED BY Pengawas]]+region_summary__37[[#This Row],[EDITED BY Admin Kabupaten]]</f>
        <v>98</v>
      </c>
    </row>
    <row r="619" spans="1:13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region_summary__37[[#This Row],[APPROVED BY Pengawas]]+region_summary__37[[#This Row],[EDITED BY Admin Kabupaten]]</f>
        <v>9</v>
      </c>
    </row>
    <row r="620" spans="1:13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region_summary__37[[#This Row],[APPROVED BY Pengawas]]+region_summary__37[[#This Row],[EDITED BY Admin Kabupaten]]</f>
        <v>0</v>
      </c>
    </row>
    <row r="621" spans="1:13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region_summary__37[[#This Row],[APPROVED BY Pengawas]]+region_summary__37[[#This Row],[EDITED BY Admin Kabupaten]]</f>
        <v>0</v>
      </c>
    </row>
    <row r="622" spans="1:13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region_summary__37[[#This Row],[APPROVED BY Pengawas]]+region_summary__37[[#This Row],[EDITED BY Admin Kabupaten]]</f>
        <v>0</v>
      </c>
    </row>
    <row r="623" spans="1:13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region_summary__37[[#This Row],[APPROVED BY Pengawas]]+region_summary__37[[#This Row],[EDITED BY Admin Kabupaten]]</f>
        <v>0</v>
      </c>
    </row>
    <row r="624" spans="1:13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region_summary__37[[#This Row],[APPROVED BY Pengawas]]+region_summary__37[[#This Row],[EDITED BY Admin Kabupaten]]</f>
        <v>1</v>
      </c>
    </row>
    <row r="625" spans="1:13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region_summary__37[[#This Row],[APPROVED BY Pengawas]]+region_summary__37[[#This Row],[EDITED BY Admin Kabupaten]]</f>
        <v>0</v>
      </c>
    </row>
    <row r="626" spans="1:13" x14ac:dyDescent="0.25">
      <c r="A626" t="s">
        <v>27</v>
      </c>
      <c r="B626">
        <v>7172011001000700</v>
      </c>
      <c r="C626">
        <v>178</v>
      </c>
      <c r="D626">
        <v>136</v>
      </c>
      <c r="E626">
        <v>2</v>
      </c>
      <c r="F626">
        <v>1</v>
      </c>
      <c r="G626">
        <v>39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region_summary__37[[#This Row],[APPROVED BY Pengawas]]+region_summary__37[[#This Row],[EDITED BY Admin Kabupaten]]</f>
        <v>137</v>
      </c>
    </row>
    <row r="627" spans="1:13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0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region_summary__37[[#This Row],[APPROVED BY Pengawas]]+region_summary__37[[#This Row],[EDITED BY Admin Kabupaten]]</f>
        <v>140</v>
      </c>
    </row>
    <row r="628" spans="1:13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0</v>
      </c>
      <c r="G628">
        <v>78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region_summary__37[[#This Row],[APPROVED BY Pengawas]]+region_summary__37[[#This Row],[EDITED BY Admin Kabupaten]]</f>
        <v>42</v>
      </c>
    </row>
    <row r="629" spans="1:13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region_summary__37[[#This Row],[APPROVED BY Pengawas]]+region_summary__37[[#This Row],[EDITED BY Admin Kabupaten]]</f>
        <v>0</v>
      </c>
    </row>
    <row r="630" spans="1:13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region_summary__37[[#This Row],[APPROVED BY Pengawas]]+region_summary__37[[#This Row],[EDITED BY Admin Kabupaten]]</f>
        <v>0</v>
      </c>
    </row>
    <row r="631" spans="1:13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region_summary__37[[#This Row],[APPROVED BY Pengawas]]+region_summary__37[[#This Row],[EDITED BY Admin Kabupaten]]</f>
        <v>0</v>
      </c>
    </row>
    <row r="632" spans="1:13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region_summary__37[[#This Row],[APPROVED BY Pengawas]]+region_summary__37[[#This Row],[EDITED BY Admin Kabupaten]]</f>
        <v>0</v>
      </c>
    </row>
    <row r="633" spans="1:13" x14ac:dyDescent="0.25">
      <c r="A633" t="s">
        <v>29</v>
      </c>
      <c r="B633">
        <v>7172011002001600</v>
      </c>
      <c r="C633">
        <v>137</v>
      </c>
      <c r="D633">
        <v>106</v>
      </c>
      <c r="E633">
        <v>11</v>
      </c>
      <c r="F633">
        <v>0</v>
      </c>
      <c r="G633">
        <v>19</v>
      </c>
      <c r="H633">
        <v>0</v>
      </c>
      <c r="I633">
        <v>1</v>
      </c>
      <c r="J633">
        <v>0</v>
      </c>
      <c r="K633">
        <v>0</v>
      </c>
      <c r="L633">
        <v>0</v>
      </c>
      <c r="M633">
        <f>region_summary__37[[#This Row],[APPROVED BY Pengawas]]+region_summary__37[[#This Row],[EDITED BY Admin Kabupaten]]</f>
        <v>106</v>
      </c>
    </row>
    <row r="634" spans="1:13" x14ac:dyDescent="0.25">
      <c r="A634" t="s">
        <v>29</v>
      </c>
      <c r="B634">
        <v>7172011002001200</v>
      </c>
      <c r="C634">
        <v>116</v>
      </c>
      <c r="D634">
        <v>77</v>
      </c>
      <c r="E634">
        <v>7</v>
      </c>
      <c r="F634">
        <v>0</v>
      </c>
      <c r="G634">
        <v>32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region_summary__37[[#This Row],[APPROVED BY Pengawas]]+region_summary__37[[#This Row],[EDITED BY Admin Kabupaten]]</f>
        <v>77</v>
      </c>
    </row>
    <row r="635" spans="1:13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region_summary__37[[#This Row],[APPROVED BY Pengawas]]+region_summary__37[[#This Row],[EDITED BY Admin Kabupaten]]</f>
        <v>83</v>
      </c>
    </row>
    <row r="636" spans="1:13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0</v>
      </c>
      <c r="G636">
        <v>56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region_summary__37[[#This Row],[APPROVED BY Pengawas]]+region_summary__37[[#This Row],[EDITED BY Admin Kabupaten]]</f>
        <v>28</v>
      </c>
    </row>
    <row r="637" spans="1:13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region_summary__37[[#This Row],[APPROVED BY Pengawas]]+region_summary__37[[#This Row],[EDITED BY Admin Kabupaten]]</f>
        <v>0</v>
      </c>
    </row>
    <row r="638" spans="1:13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region_summary__37[[#This Row],[APPROVED BY Pengawas]]+region_summary__37[[#This Row],[EDITED BY Admin Kabupaten]]</f>
        <v>0</v>
      </c>
    </row>
    <row r="639" spans="1:13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region_summary__37[[#This Row],[APPROVED BY Pengawas]]+region_summary__37[[#This Row],[EDITED BY Admin Kabupaten]]</f>
        <v>0</v>
      </c>
    </row>
    <row r="640" spans="1:13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region_summary__37[[#This Row],[APPROVED BY Pengawas]]+region_summary__37[[#This Row],[EDITED BY Admin Kabupaten]]</f>
        <v>0</v>
      </c>
    </row>
    <row r="641" spans="1:13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region_summary__37[[#This Row],[APPROVED BY Pengawas]]+region_summary__37[[#This Row],[EDITED BY Admin Kabupaten]]</f>
        <v>1</v>
      </c>
    </row>
    <row r="642" spans="1:13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region_summary__37[[#This Row],[APPROVED BY Pengawas]]+region_summary__37[[#This Row],[EDITED BY Admin Kabupaten]]</f>
        <v>0</v>
      </c>
    </row>
    <row r="643" spans="1:13" x14ac:dyDescent="0.25">
      <c r="A643" t="s">
        <v>30</v>
      </c>
      <c r="B643">
        <v>7172011003001803</v>
      </c>
      <c r="C643">
        <v>166</v>
      </c>
      <c r="D643">
        <v>70</v>
      </c>
      <c r="E643">
        <v>1</v>
      </c>
      <c r="F643">
        <v>0</v>
      </c>
      <c r="G643">
        <v>15</v>
      </c>
      <c r="H643">
        <v>0</v>
      </c>
      <c r="I643">
        <v>1</v>
      </c>
      <c r="J643">
        <v>0</v>
      </c>
      <c r="K643">
        <v>79</v>
      </c>
      <c r="L643">
        <v>0</v>
      </c>
      <c r="M643">
        <f>region_summary__37[[#This Row],[APPROVED BY Pengawas]]+region_summary__37[[#This Row],[EDITED BY Admin Kabupaten]]</f>
        <v>70</v>
      </c>
    </row>
    <row r="644" spans="1:13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region_summary__37[[#This Row],[APPROVED BY Pengawas]]+region_summary__37[[#This Row],[EDITED BY Admin Kabupaten]]</f>
        <v>67</v>
      </c>
    </row>
    <row r="645" spans="1:13" x14ac:dyDescent="0.25">
      <c r="A645" t="s">
        <v>30</v>
      </c>
      <c r="B645">
        <v>7172011003000700</v>
      </c>
      <c r="C645">
        <v>130</v>
      </c>
      <c r="D645">
        <v>51</v>
      </c>
      <c r="E645">
        <v>2</v>
      </c>
      <c r="F645">
        <v>0</v>
      </c>
      <c r="G645">
        <v>64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region_summary__37[[#This Row],[APPROVED BY Pengawas]]+region_summary__37[[#This Row],[EDITED BY Admin Kabupaten]]</f>
        <v>51</v>
      </c>
    </row>
    <row r="646" spans="1:13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region_summary__37[[#This Row],[APPROVED BY Pengawas]]+region_summary__37[[#This Row],[EDITED BY Admin Kabupaten]]</f>
        <v>0</v>
      </c>
    </row>
    <row r="647" spans="1:13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region_summary__37[[#This Row],[APPROVED BY Pengawas]]+region_summary__37[[#This Row],[EDITED BY Admin Kabupaten]]</f>
        <v>0</v>
      </c>
    </row>
    <row r="648" spans="1:13" x14ac:dyDescent="0.25">
      <c r="A648" t="s">
        <v>32</v>
      </c>
      <c r="B648">
        <v>7172011003000300</v>
      </c>
      <c r="C648">
        <v>208</v>
      </c>
      <c r="D648">
        <v>117</v>
      </c>
      <c r="E648">
        <v>15</v>
      </c>
      <c r="F648">
        <v>0</v>
      </c>
      <c r="G648">
        <v>36</v>
      </c>
      <c r="H648">
        <v>0</v>
      </c>
      <c r="I648">
        <v>17</v>
      </c>
      <c r="J648">
        <v>0</v>
      </c>
      <c r="K648">
        <v>23</v>
      </c>
      <c r="L648">
        <v>0</v>
      </c>
      <c r="M648">
        <f>region_summary__37[[#This Row],[APPROVED BY Pengawas]]+region_summary__37[[#This Row],[EDITED BY Admin Kabupaten]]</f>
        <v>117</v>
      </c>
    </row>
    <row r="649" spans="1:13" x14ac:dyDescent="0.25">
      <c r="A649" t="s">
        <v>32</v>
      </c>
      <c r="B649">
        <v>7172011003000600</v>
      </c>
      <c r="C649">
        <v>195</v>
      </c>
      <c r="D649">
        <v>18</v>
      </c>
      <c r="E649">
        <v>0</v>
      </c>
      <c r="F649">
        <v>0</v>
      </c>
      <c r="G649">
        <v>151</v>
      </c>
      <c r="H649">
        <v>0</v>
      </c>
      <c r="I649">
        <v>0</v>
      </c>
      <c r="J649">
        <v>0</v>
      </c>
      <c r="K649">
        <v>26</v>
      </c>
      <c r="L649">
        <v>0</v>
      </c>
      <c r="M649">
        <f>region_summary__37[[#This Row],[APPROVED BY Pengawas]]+region_summary__37[[#This Row],[EDITED BY Admin Kabupaten]]</f>
        <v>18</v>
      </c>
    </row>
    <row r="650" spans="1:13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region_summary__37[[#This Row],[APPROVED BY Pengawas]]+region_summary__37[[#This Row],[EDITED BY Admin Kabupaten]]</f>
        <v>0</v>
      </c>
    </row>
    <row r="651" spans="1:13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region_summary__37[[#This Row],[APPROVED BY Pengawas]]+region_summary__37[[#This Row],[EDITED BY Admin Kabupaten]]</f>
        <v>0</v>
      </c>
    </row>
    <row r="652" spans="1:13" x14ac:dyDescent="0.25">
      <c r="A652" t="s">
        <v>33</v>
      </c>
      <c r="B652">
        <v>7172011003003300</v>
      </c>
      <c r="C652">
        <v>124</v>
      </c>
      <c r="D652">
        <v>4</v>
      </c>
      <c r="E652">
        <v>0</v>
      </c>
      <c r="F652">
        <v>0</v>
      </c>
      <c r="G652">
        <v>120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region_summary__37[[#This Row],[APPROVED BY Pengawas]]+region_summary__37[[#This Row],[EDITED BY Admin Kabupaten]]</f>
        <v>4</v>
      </c>
    </row>
    <row r="653" spans="1:13" x14ac:dyDescent="0.25">
      <c r="A653" t="s">
        <v>33</v>
      </c>
      <c r="B653">
        <v>7172011003003503</v>
      </c>
      <c r="C653">
        <v>122</v>
      </c>
      <c r="D653">
        <v>17</v>
      </c>
      <c r="E653">
        <v>27</v>
      </c>
      <c r="F653">
        <v>0</v>
      </c>
      <c r="G653">
        <v>75</v>
      </c>
      <c r="H653">
        <v>0</v>
      </c>
      <c r="I653">
        <v>0</v>
      </c>
      <c r="J653">
        <v>0</v>
      </c>
      <c r="K653">
        <v>3</v>
      </c>
      <c r="L653">
        <v>0</v>
      </c>
      <c r="M653">
        <f>region_summary__37[[#This Row],[APPROVED BY Pengawas]]+region_summary__37[[#This Row],[EDITED BY Admin Kabupaten]]</f>
        <v>17</v>
      </c>
    </row>
    <row r="654" spans="1:13" x14ac:dyDescent="0.25">
      <c r="A65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14</v>
      </c>
      <c r="L654">
        <v>0</v>
      </c>
      <c r="M654">
        <f>region_summary__37[[#This Row],[APPROVED BY Pengawas]]+region_summary__37[[#This Row],[EDITED BY Admin Kabupaten]]</f>
        <v>102</v>
      </c>
    </row>
    <row r="655" spans="1:13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115</v>
      </c>
      <c r="H655">
        <v>0</v>
      </c>
      <c r="I655">
        <v>0</v>
      </c>
      <c r="J655">
        <v>0</v>
      </c>
      <c r="K655">
        <v>1</v>
      </c>
      <c r="L655">
        <v>0</v>
      </c>
      <c r="M655">
        <f>region_summary__37[[#This Row],[APPROVED BY Pengawas]]+region_summary__37[[#This Row],[EDITED BY Admin Kabupaten]]</f>
        <v>0</v>
      </c>
    </row>
    <row r="656" spans="1:13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region_summary__37[[#This Row],[APPROVED BY Pengawas]]+region_summary__37[[#This Row],[EDITED BY Admin Kabupaten]]</f>
        <v>0</v>
      </c>
    </row>
    <row r="657" spans="1:13" x14ac:dyDescent="0.25">
      <c r="A657" t="s">
        <v>33</v>
      </c>
      <c r="B657">
        <v>7172011003003502</v>
      </c>
      <c r="C657">
        <v>68</v>
      </c>
      <c r="D657">
        <v>27</v>
      </c>
      <c r="E657">
        <v>28</v>
      </c>
      <c r="F657">
        <v>0</v>
      </c>
      <c r="G657">
        <v>7</v>
      </c>
      <c r="H657">
        <v>0</v>
      </c>
      <c r="I657">
        <v>0</v>
      </c>
      <c r="J657">
        <v>0</v>
      </c>
      <c r="K657">
        <v>6</v>
      </c>
      <c r="L657">
        <v>0</v>
      </c>
      <c r="M657">
        <f>region_summary__37[[#This Row],[APPROVED BY Pengawas]]+region_summary__37[[#This Row],[EDITED BY Admin Kabupaten]]</f>
        <v>27</v>
      </c>
    </row>
    <row r="658" spans="1:13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66</v>
      </c>
      <c r="H658">
        <v>0</v>
      </c>
      <c r="I658">
        <v>0</v>
      </c>
      <c r="J658">
        <v>0</v>
      </c>
      <c r="K658">
        <v>1</v>
      </c>
      <c r="L658">
        <v>0</v>
      </c>
      <c r="M658">
        <f>region_summary__37[[#This Row],[APPROVED BY Pengawas]]+region_summary__37[[#This Row],[EDITED BY Admin Kabupaten]]</f>
        <v>0</v>
      </c>
    </row>
    <row r="659" spans="1:13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region_summary__37[[#This Row],[APPROVED BY Pengawas]]+region_summary__37[[#This Row],[EDITED BY Admin Kabupaten]]</f>
        <v>0</v>
      </c>
    </row>
    <row r="660" spans="1:13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0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region_summary__37[[#This Row],[APPROVED BY Pengawas]]+region_summary__37[[#This Row],[EDITED BY Admin Kabupaten]]</f>
        <v>62</v>
      </c>
    </row>
    <row r="661" spans="1:13" x14ac:dyDescent="0.25">
      <c r="A661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0</v>
      </c>
      <c r="L661">
        <v>0</v>
      </c>
      <c r="M661">
        <f>region_summary__37[[#This Row],[APPROVED BY Pengawas]]+region_summary__37[[#This Row],[EDITED BY Admin Kabupaten]]</f>
        <v>105</v>
      </c>
    </row>
    <row r="662" spans="1:13" x14ac:dyDescent="0.25">
      <c r="A662" t="s">
        <v>34</v>
      </c>
      <c r="B662">
        <v>7172011003001500</v>
      </c>
      <c r="C662">
        <v>113</v>
      </c>
      <c r="D662">
        <v>92</v>
      </c>
      <c r="E662">
        <v>9</v>
      </c>
      <c r="F662">
        <v>0</v>
      </c>
      <c r="G662">
        <v>11</v>
      </c>
      <c r="H662">
        <v>0</v>
      </c>
      <c r="I662">
        <v>1</v>
      </c>
      <c r="J662">
        <v>0</v>
      </c>
      <c r="K662">
        <v>0</v>
      </c>
      <c r="L662">
        <v>0</v>
      </c>
      <c r="M662">
        <f>region_summary__37[[#This Row],[APPROVED BY Pengawas]]+region_summary__37[[#This Row],[EDITED BY Admin Kabupaten]]</f>
        <v>92</v>
      </c>
    </row>
    <row r="663" spans="1:13" x14ac:dyDescent="0.25">
      <c r="A663" t="s">
        <v>34</v>
      </c>
      <c r="B663">
        <v>7172011003001200</v>
      </c>
      <c r="C663">
        <v>105</v>
      </c>
      <c r="D663">
        <v>12</v>
      </c>
      <c r="E663">
        <v>18</v>
      </c>
      <c r="F663">
        <v>0</v>
      </c>
      <c r="G663">
        <v>75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region_summary__37[[#This Row],[APPROVED BY Pengawas]]+region_summary__37[[#This Row],[EDITED BY Admin Kabupaten]]</f>
        <v>12</v>
      </c>
    </row>
    <row r="664" spans="1:13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region_summary__37[[#This Row],[APPROVED BY Pengawas]]+region_summary__37[[#This Row],[EDITED BY Admin Kabupaten]]</f>
        <v>0</v>
      </c>
    </row>
    <row r="665" spans="1:13" x14ac:dyDescent="0.25">
      <c r="A665" t="s">
        <v>40</v>
      </c>
      <c r="B665">
        <v>7172011004001200</v>
      </c>
      <c r="C665">
        <v>171</v>
      </c>
      <c r="D665">
        <v>2</v>
      </c>
      <c r="E665">
        <v>76</v>
      </c>
      <c r="F665">
        <v>0</v>
      </c>
      <c r="G665">
        <v>59</v>
      </c>
      <c r="H665">
        <v>0</v>
      </c>
      <c r="I665">
        <v>0</v>
      </c>
      <c r="J665">
        <v>0</v>
      </c>
      <c r="K665">
        <v>34</v>
      </c>
      <c r="L665">
        <v>0</v>
      </c>
      <c r="M665">
        <f>region_summary__37[[#This Row],[APPROVED BY Pengawas]]+region_summary__37[[#This Row],[EDITED BY Admin Kabupaten]]</f>
        <v>2</v>
      </c>
    </row>
    <row r="666" spans="1:13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region_summary__37[[#This Row],[APPROVED BY Pengawas]]+region_summary__37[[#This Row],[EDITED BY Admin Kabupaten]]</f>
        <v>0</v>
      </c>
    </row>
    <row r="667" spans="1:13" x14ac:dyDescent="0.25">
      <c r="A667" t="s">
        <v>40</v>
      </c>
      <c r="B667">
        <v>7172011004000700</v>
      </c>
      <c r="C667">
        <v>140</v>
      </c>
      <c r="D667">
        <v>112</v>
      </c>
      <c r="E667">
        <v>7</v>
      </c>
      <c r="F667">
        <v>0</v>
      </c>
      <c r="G667">
        <v>1</v>
      </c>
      <c r="H667">
        <v>0</v>
      </c>
      <c r="I667">
        <v>0</v>
      </c>
      <c r="J667">
        <v>0</v>
      </c>
      <c r="K667">
        <v>20</v>
      </c>
      <c r="L667">
        <v>0</v>
      </c>
      <c r="M667">
        <f>region_summary__37[[#This Row],[APPROVED BY Pengawas]]+region_summary__37[[#This Row],[EDITED BY Admin Kabupaten]]</f>
        <v>112</v>
      </c>
    </row>
    <row r="668" spans="1:13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region_summary__37[[#This Row],[APPROVED BY Pengawas]]+region_summary__37[[#This Row],[EDITED BY Admin Kabupaten]]</f>
        <v>0</v>
      </c>
    </row>
    <row r="669" spans="1:13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region_summary__37[[#This Row],[APPROVED BY Pengawas]]+region_summary__37[[#This Row],[EDITED BY Admin Kabupaten]]</f>
        <v>0</v>
      </c>
    </row>
    <row r="670" spans="1:13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0</v>
      </c>
      <c r="G670">
        <v>132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region_summary__37[[#This Row],[APPROVED BY Pengawas]]+region_summary__37[[#This Row],[EDITED BY Admin Kabupaten]]</f>
        <v>72</v>
      </c>
    </row>
    <row r="671" spans="1:13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region_summary__37[[#This Row],[APPROVED BY Pengawas]]+region_summary__37[[#This Row],[EDITED BY Admin Kabupaten]]</f>
        <v>3</v>
      </c>
    </row>
    <row r="672" spans="1:13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region_summary__37[[#This Row],[APPROVED BY Pengawas]]+region_summary__37[[#This Row],[EDITED BY Admin Kabupaten]]</f>
        <v>57</v>
      </c>
    </row>
    <row r="673" spans="1:13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region_summary__37[[#This Row],[APPROVED BY Pengawas]]+region_summary__37[[#This Row],[EDITED BY Admin Kabupaten]]</f>
        <v>51</v>
      </c>
    </row>
    <row r="674" spans="1:13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region_summary__37[[#This Row],[APPROVED BY Pengawas]]+region_summary__37[[#This Row],[EDITED BY Admin Kabupaten]]</f>
        <v>22</v>
      </c>
    </row>
    <row r="675" spans="1:13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region_summary__37[[#This Row],[APPROVED BY Pengawas]]+region_summary__37[[#This Row],[EDITED BY Admin Kabupaten]]</f>
        <v>12</v>
      </c>
    </row>
    <row r="676" spans="1:13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0</v>
      </c>
      <c r="G676">
        <v>24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region_summary__37[[#This Row],[APPROVED BY Pengawas]]+region_summary__37[[#This Row],[EDITED BY Admin Kabupaten]]</f>
        <v>24</v>
      </c>
    </row>
    <row r="677" spans="1:13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region_summary__37[[#This Row],[APPROVED BY Pengawas]]+region_summary__37[[#This Row],[EDITED BY Admin Kabupaten]]</f>
        <v>9</v>
      </c>
    </row>
    <row r="678" spans="1:13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region_summary__37[[#This Row],[APPROVED BY Pengawas]]+region_summary__37[[#This Row],[EDITED BY Admin Kabupaten]]</f>
        <v>15</v>
      </c>
    </row>
    <row r="679" spans="1:13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region_summary__37[[#This Row],[APPROVED BY Pengawas]]+region_summary__37[[#This Row],[EDITED BY Admin Kabupaten]]</f>
        <v>19</v>
      </c>
    </row>
    <row r="680" spans="1:13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0</v>
      </c>
      <c r="G680">
        <v>6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region_summary__37[[#This Row],[APPROVED BY Pengawas]]+region_summary__37[[#This Row],[EDITED BY Admin Kabupaten]]</f>
        <v>20</v>
      </c>
    </row>
    <row r="681" spans="1:13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region_summary__37[[#This Row],[APPROVED BY Pengawas]]+region_summary__37[[#This Row],[EDITED BY Admin Kabupaten]]</f>
        <v>2</v>
      </c>
    </row>
    <row r="682" spans="1:13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region_summary__37[[#This Row],[APPROVED BY Pengawas]]+region_summary__37[[#This Row],[EDITED BY Admin Kabupaten]]</f>
        <v>1</v>
      </c>
    </row>
    <row r="683" spans="1:13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66</v>
      </c>
      <c r="L683">
        <v>0</v>
      </c>
      <c r="M683">
        <f>region_summary__37[[#This Row],[APPROVED BY Pengawas]]+region_summary__37[[#This Row],[EDITED BY Admin Kabupaten]]</f>
        <v>105</v>
      </c>
    </row>
    <row r="684" spans="1:13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region_summary__37[[#This Row],[APPROVED BY Pengawas]]+region_summary__37[[#This Row],[EDITED BY Admin Kabupaten]]</f>
        <v>0</v>
      </c>
    </row>
    <row r="685" spans="1:13" x14ac:dyDescent="0.25">
      <c r="A685" t="s">
        <v>47</v>
      </c>
      <c r="B685">
        <v>7172011014000200</v>
      </c>
      <c r="C685">
        <v>148</v>
      </c>
      <c r="D685">
        <v>9</v>
      </c>
      <c r="E685">
        <v>4</v>
      </c>
      <c r="F685">
        <v>0</v>
      </c>
      <c r="G685">
        <v>14</v>
      </c>
      <c r="H685">
        <v>0</v>
      </c>
      <c r="I685">
        <v>0</v>
      </c>
      <c r="J685">
        <v>0</v>
      </c>
      <c r="K685">
        <v>121</v>
      </c>
      <c r="L685">
        <v>0</v>
      </c>
      <c r="M685">
        <f>region_summary__37[[#This Row],[APPROVED BY Pengawas]]+region_summary__37[[#This Row],[EDITED BY Admin Kabupaten]]</f>
        <v>9</v>
      </c>
    </row>
    <row r="686" spans="1:13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region_summary__37[[#This Row],[APPROVED BY Pengawas]]+region_summary__37[[#This Row],[EDITED BY Admin Kabupaten]]</f>
        <v>0</v>
      </c>
    </row>
    <row r="687" spans="1:13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region_summary__37[[#This Row],[APPROVED BY Pengawas]]+region_summary__37[[#This Row],[EDITED BY Admin Kabupaten]]</f>
        <v>0</v>
      </c>
    </row>
    <row r="688" spans="1:13" x14ac:dyDescent="0.25">
      <c r="A688" t="s">
        <v>48</v>
      </c>
      <c r="B688">
        <v>7172011014001200</v>
      </c>
      <c r="C688">
        <v>226</v>
      </c>
      <c r="D688">
        <v>85</v>
      </c>
      <c r="E688">
        <v>21</v>
      </c>
      <c r="F688">
        <v>0</v>
      </c>
      <c r="G688">
        <v>64</v>
      </c>
      <c r="H688">
        <v>0</v>
      </c>
      <c r="I688">
        <v>49</v>
      </c>
      <c r="J688">
        <v>0</v>
      </c>
      <c r="K688">
        <v>7</v>
      </c>
      <c r="L688">
        <v>0</v>
      </c>
      <c r="M688">
        <f>region_summary__37[[#This Row],[APPROVED BY Pengawas]]+region_summary__37[[#This Row],[EDITED BY Admin Kabupaten]]</f>
        <v>85</v>
      </c>
    </row>
    <row r="689" spans="1:13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63</v>
      </c>
      <c r="H689">
        <v>0</v>
      </c>
      <c r="I689">
        <v>0</v>
      </c>
      <c r="J689">
        <v>0</v>
      </c>
      <c r="K689">
        <v>112</v>
      </c>
      <c r="L689">
        <v>0</v>
      </c>
      <c r="M689">
        <f>region_summary__37[[#This Row],[APPROVED BY Pengawas]]+region_summary__37[[#This Row],[EDITED BY Admin Kabupaten]]</f>
        <v>0</v>
      </c>
    </row>
    <row r="690" spans="1:13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region_summary__37[[#This Row],[APPROVED BY Pengawas]]+region_summary__37[[#This Row],[EDITED BY Admin Kabupaten]]</f>
        <v>0</v>
      </c>
    </row>
    <row r="691" spans="1:13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region_summary__37[[#This Row],[APPROVED BY Pengawas]]+region_summary__37[[#This Row],[EDITED BY Admin Kabupaten]]</f>
        <v>0</v>
      </c>
    </row>
    <row r="692" spans="1:13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region_summary__37[[#This Row],[APPROVED BY Pengawas]]+region_summary__37[[#This Row],[EDITED BY Admin Kabupaten]]</f>
        <v>0</v>
      </c>
    </row>
    <row r="693" spans="1:13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region_summary__37[[#This Row],[APPROVED BY Pengawas]]+region_summary__37[[#This Row],[EDITED BY Admin Kabupaten]]</f>
        <v>0</v>
      </c>
    </row>
    <row r="694" spans="1:13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region_summary__37[[#This Row],[APPROVED BY Pengawas]]+region_summary__37[[#This Row],[EDITED BY Admin Kabupaten]]</f>
        <v>180</v>
      </c>
    </row>
    <row r="695" spans="1:13" x14ac:dyDescent="0.25">
      <c r="A695" t="s">
        <v>51</v>
      </c>
      <c r="B695">
        <v>7172012001001001</v>
      </c>
      <c r="C695">
        <v>159</v>
      </c>
      <c r="D695">
        <v>11</v>
      </c>
      <c r="E695">
        <v>2</v>
      </c>
      <c r="F695">
        <v>0</v>
      </c>
      <c r="G695">
        <v>99</v>
      </c>
      <c r="H695">
        <v>0</v>
      </c>
      <c r="I695">
        <v>0</v>
      </c>
      <c r="J695">
        <v>0</v>
      </c>
      <c r="K695">
        <v>47</v>
      </c>
      <c r="L695">
        <v>0</v>
      </c>
      <c r="M695">
        <f>region_summary__37[[#This Row],[APPROVED BY Pengawas]]+region_summary__37[[#This Row],[EDITED BY Admin Kabupaten]]</f>
        <v>11</v>
      </c>
    </row>
    <row r="696" spans="1:13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region_summary__37[[#This Row],[APPROVED BY Pengawas]]+region_summary__37[[#This Row],[EDITED BY Admin Kabupaten]]</f>
        <v>0</v>
      </c>
    </row>
    <row r="697" spans="1:13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0</v>
      </c>
      <c r="G697">
        <v>96</v>
      </c>
      <c r="H697">
        <v>0</v>
      </c>
      <c r="I697">
        <v>2</v>
      </c>
      <c r="J697">
        <v>0</v>
      </c>
      <c r="K697">
        <v>105</v>
      </c>
      <c r="L697">
        <v>0</v>
      </c>
      <c r="M697">
        <f>region_summary__37[[#This Row],[APPROVED BY Pengawas]]+region_summary__37[[#This Row],[EDITED BY Admin Kabupaten]]</f>
        <v>89</v>
      </c>
    </row>
    <row r="698" spans="1:13" x14ac:dyDescent="0.25">
      <c r="A698" t="s">
        <v>52</v>
      </c>
      <c r="B698">
        <v>7172012001000602</v>
      </c>
      <c r="C698">
        <v>221</v>
      </c>
      <c r="D698">
        <v>46</v>
      </c>
      <c r="E698">
        <v>3</v>
      </c>
      <c r="F698">
        <v>0</v>
      </c>
      <c r="G698">
        <v>160</v>
      </c>
      <c r="H698">
        <v>0</v>
      </c>
      <c r="I698">
        <v>0</v>
      </c>
      <c r="J698">
        <v>0</v>
      </c>
      <c r="K698">
        <v>12</v>
      </c>
      <c r="L698">
        <v>0</v>
      </c>
      <c r="M698">
        <f>region_summary__37[[#This Row],[APPROVED BY Pengawas]]+region_summary__37[[#This Row],[EDITED BY Admin Kabupaten]]</f>
        <v>46</v>
      </c>
    </row>
    <row r="699" spans="1:13" x14ac:dyDescent="0.25">
      <c r="A699" t="s">
        <v>49</v>
      </c>
      <c r="B699">
        <v>7172012002000101</v>
      </c>
      <c r="C699">
        <v>156</v>
      </c>
      <c r="D699">
        <v>37</v>
      </c>
      <c r="E699">
        <v>20</v>
      </c>
      <c r="F699">
        <v>0</v>
      </c>
      <c r="G699">
        <v>91</v>
      </c>
      <c r="H699">
        <v>0</v>
      </c>
      <c r="I699">
        <v>0</v>
      </c>
      <c r="J699">
        <v>0</v>
      </c>
      <c r="K699">
        <v>8</v>
      </c>
      <c r="L699">
        <v>0</v>
      </c>
      <c r="M699">
        <f>region_summary__37[[#This Row],[APPROVED BY Pengawas]]+region_summary__37[[#This Row],[EDITED BY Admin Kabupaten]]</f>
        <v>37</v>
      </c>
    </row>
    <row r="700" spans="1:13" x14ac:dyDescent="0.25">
      <c r="A700" t="s">
        <v>49</v>
      </c>
      <c r="B700">
        <v>7172012002000500</v>
      </c>
      <c r="C700">
        <v>128</v>
      </c>
      <c r="D700">
        <v>1</v>
      </c>
      <c r="E700">
        <v>0</v>
      </c>
      <c r="F700">
        <v>0</v>
      </c>
      <c r="G700">
        <v>126</v>
      </c>
      <c r="H700">
        <v>0</v>
      </c>
      <c r="I700">
        <v>0</v>
      </c>
      <c r="J700">
        <v>0</v>
      </c>
      <c r="K700">
        <v>1</v>
      </c>
      <c r="L700">
        <v>0</v>
      </c>
      <c r="M700">
        <f>region_summary__37[[#This Row],[APPROVED BY Pengawas]]+region_summary__37[[#This Row],[EDITED BY Admin Kabupaten]]</f>
        <v>1</v>
      </c>
    </row>
    <row r="701" spans="1:13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region_summary__37[[#This Row],[APPROVED BY Pengawas]]+region_summary__37[[#This Row],[EDITED BY Admin Kabupaten]]</f>
        <v>125</v>
      </c>
    </row>
    <row r="702" spans="1:13" x14ac:dyDescent="0.25">
      <c r="A702" t="s">
        <v>49</v>
      </c>
      <c r="B702">
        <v>7172012001001100</v>
      </c>
      <c r="C702">
        <v>94</v>
      </c>
      <c r="D702">
        <v>2</v>
      </c>
      <c r="E702">
        <v>7</v>
      </c>
      <c r="F702">
        <v>0</v>
      </c>
      <c r="G702">
        <v>83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region_summary__37[[#This Row],[APPROVED BY Pengawas]]+region_summary__37[[#This Row],[EDITED BY Admin Kabupaten]]</f>
        <v>2</v>
      </c>
    </row>
    <row r="703" spans="1:13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region_summary__37[[#This Row],[APPROVED BY Pengawas]]+region_summary__37[[#This Row],[EDITED BY Admin Kabupaten]]</f>
        <v>0</v>
      </c>
    </row>
    <row r="704" spans="1:13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region_summary__37[[#This Row],[APPROVED BY Pengawas]]+region_summary__37[[#This Row],[EDITED BY Admin Kabupaten]]</f>
        <v>0</v>
      </c>
    </row>
    <row r="705" spans="1:13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region_summary__37[[#This Row],[APPROVED BY Pengawas]]+region_summary__37[[#This Row],[EDITED BY Admin Kabupaten]]</f>
        <v>176</v>
      </c>
    </row>
    <row r="706" spans="1:13" x14ac:dyDescent="0.25">
      <c r="A706" t="s">
        <v>53</v>
      </c>
      <c r="B706">
        <v>7172012002000900</v>
      </c>
      <c r="C706">
        <v>144</v>
      </c>
      <c r="D706">
        <v>91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3</v>
      </c>
      <c r="L706">
        <v>0</v>
      </c>
      <c r="M706">
        <f>region_summary__37[[#This Row],[APPROVED BY Pengawas]]+region_summary__37[[#This Row],[EDITED BY Admin Kabupaten]]</f>
        <v>91</v>
      </c>
    </row>
    <row r="707" spans="1:13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region_summary__37[[#This Row],[APPROVED BY Pengawas]]+region_summary__37[[#This Row],[EDITED BY Admin Kabupaten]]</f>
        <v>0</v>
      </c>
    </row>
    <row r="708" spans="1:13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region_summary__37[[#This Row],[APPROVED BY Pengawas]]+region_summary__37[[#This Row],[EDITED BY Admin Kabupaten]]</f>
        <v>0</v>
      </c>
    </row>
    <row r="709" spans="1:13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region_summary__37[[#This Row],[APPROVED BY Pengawas]]+region_summary__37[[#This Row],[EDITED BY Admin Kabupaten]]</f>
        <v>0</v>
      </c>
    </row>
    <row r="710" spans="1:13" x14ac:dyDescent="0.25">
      <c r="A710" t="s">
        <v>58</v>
      </c>
      <c r="B710">
        <v>7172012003000400</v>
      </c>
      <c r="C710">
        <v>139</v>
      </c>
      <c r="D710">
        <v>115</v>
      </c>
      <c r="E710">
        <v>4</v>
      </c>
      <c r="F710">
        <v>0</v>
      </c>
      <c r="G710">
        <v>20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region_summary__37[[#This Row],[APPROVED BY Pengawas]]+region_summary__37[[#This Row],[EDITED BY Admin Kabupaten]]</f>
        <v>115</v>
      </c>
    </row>
    <row r="711" spans="1:13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region_summary__37[[#This Row],[APPROVED BY Pengawas]]+region_summary__37[[#This Row],[EDITED BY Admin Kabupaten]]</f>
        <v>0</v>
      </c>
    </row>
    <row r="712" spans="1:13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region_summary__37[[#This Row],[APPROVED BY Pengawas]]+region_summary__37[[#This Row],[EDITED BY Admin Kabupaten]]</f>
        <v>0</v>
      </c>
    </row>
    <row r="713" spans="1:13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region_summary__37[[#This Row],[APPROVED BY Pengawas]]+region_summary__37[[#This Row],[EDITED BY Admin Kabupaten]]</f>
        <v>68</v>
      </c>
    </row>
    <row r="714" spans="1:13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0</v>
      </c>
      <c r="G714">
        <v>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region_summary__37[[#This Row],[APPROVED BY Pengawas]]+region_summary__37[[#This Row],[EDITED BY Admin Kabupaten]]</f>
        <v>62</v>
      </c>
    </row>
    <row r="715" spans="1:13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0</v>
      </c>
      <c r="G715">
        <v>66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region_summary__37[[#This Row],[APPROVED BY Pengawas]]+region_summary__37[[#This Row],[EDITED BY Admin Kabupaten]]</f>
        <v>0</v>
      </c>
    </row>
    <row r="716" spans="1:13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region_summary__37[[#This Row],[APPROVED BY Pengawas]]+region_summary__37[[#This Row],[EDITED BY Admin Kabupaten]]</f>
        <v>0</v>
      </c>
    </row>
    <row r="717" spans="1:13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0</v>
      </c>
      <c r="G717">
        <v>107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region_summary__37[[#This Row],[APPROVED BY Pengawas]]+region_summary__37[[#This Row],[EDITED BY Admin Kabupaten]]</f>
        <v>17</v>
      </c>
    </row>
    <row r="718" spans="1:13" x14ac:dyDescent="0.25">
      <c r="A718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region_summary__37[[#This Row],[APPROVED BY Pengawas]]+region_summary__37[[#This Row],[EDITED BY Admin Kabupaten]]</f>
        <v>114</v>
      </c>
    </row>
    <row r="719" spans="1:13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region_summary__37[[#This Row],[APPROVED BY Pengawas]]+region_summary__37[[#This Row],[EDITED BY Admin Kabupaten]]</f>
        <v>71</v>
      </c>
    </row>
    <row r="720" spans="1:13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region_summary__37[[#This Row],[APPROVED BY Pengawas]]+region_summary__37[[#This Row],[EDITED BY Admin Kabupaten]]</f>
        <v>6</v>
      </c>
    </row>
    <row r="721" spans="1:13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region_summary__37[[#This Row],[APPROVED BY Pengawas]]+region_summary__37[[#This Row],[EDITED BY Admin Kabupaten]]</f>
        <v>1</v>
      </c>
    </row>
    <row r="722" spans="1:13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region_summary__37[[#This Row],[APPROVED BY Pengawas]]+region_summary__37[[#This Row],[EDITED BY Admin Kabupaten]]</f>
        <v>28</v>
      </c>
    </row>
    <row r="723" spans="1:13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region_summary__37[[#This Row],[APPROVED BY Pengawas]]+region_summary__37[[#This Row],[EDITED BY Admin Kabupaten]]</f>
        <v>0</v>
      </c>
    </row>
    <row r="724" spans="1:13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region_summary__37[[#This Row],[APPROVED BY Pengawas]]+region_summary__37[[#This Row],[EDITED BY Admin Kabupaten]]</f>
        <v>53</v>
      </c>
    </row>
    <row r="725" spans="1:13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58</v>
      </c>
      <c r="L725">
        <v>0</v>
      </c>
      <c r="M725">
        <f>region_summary__37[[#This Row],[APPROVED BY Pengawas]]+region_summary__37[[#This Row],[EDITED BY Admin Kabupaten]]</f>
        <v>95</v>
      </c>
    </row>
    <row r="726" spans="1:13" x14ac:dyDescent="0.25">
      <c r="A726" t="s">
        <v>238</v>
      </c>
      <c r="B726">
        <v>7172012004000600</v>
      </c>
      <c r="C726">
        <v>135</v>
      </c>
      <c r="D726">
        <v>19</v>
      </c>
      <c r="E726">
        <v>19</v>
      </c>
      <c r="F726">
        <v>0</v>
      </c>
      <c r="G726">
        <v>86</v>
      </c>
      <c r="H726">
        <v>0</v>
      </c>
      <c r="I726">
        <v>0</v>
      </c>
      <c r="J726">
        <v>0</v>
      </c>
      <c r="K726">
        <v>11</v>
      </c>
      <c r="L726">
        <v>0</v>
      </c>
      <c r="M726">
        <f>region_summary__37[[#This Row],[APPROVED BY Pengawas]]+region_summary__37[[#This Row],[EDITED BY Admin Kabupaten]]</f>
        <v>19</v>
      </c>
    </row>
    <row r="727" spans="1:13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region_summary__37[[#This Row],[APPROVED BY Pengawas]]+region_summary__37[[#This Row],[EDITED BY Admin Kabupaten]]</f>
        <v>90</v>
      </c>
    </row>
    <row r="728" spans="1:13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region_summary__37[[#This Row],[APPROVED BY Pengawas]]+region_summary__37[[#This Row],[EDITED BY Admin Kabupaten]]</f>
        <v>0</v>
      </c>
    </row>
    <row r="729" spans="1:13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region_summary__37[[#This Row],[APPROVED BY Pengawas]]+region_summary__37[[#This Row],[EDITED BY Admin Kabupaten]]</f>
        <v>0</v>
      </c>
    </row>
    <row r="730" spans="1:13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region_summary__37[[#This Row],[APPROVED BY Pengawas]]+region_summary__37[[#This Row],[EDITED BY Admin Kabupaten]]</f>
        <v>67</v>
      </c>
    </row>
    <row r="731" spans="1:13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0</v>
      </c>
      <c r="G731">
        <v>219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region_summary__37[[#This Row],[APPROVED BY Pengawas]]+region_summary__37[[#This Row],[EDITED BY Admin Kabupaten]]</f>
        <v>17</v>
      </c>
    </row>
    <row r="732" spans="1:13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0</v>
      </c>
      <c r="G732">
        <v>43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region_summary__37[[#This Row],[APPROVED BY Pengawas]]+region_summary__37[[#This Row],[EDITED BY Admin Kabupaten]]</f>
        <v>136</v>
      </c>
    </row>
    <row r="733" spans="1:13" x14ac:dyDescent="0.25">
      <c r="A733" t="s">
        <v>61</v>
      </c>
      <c r="B733">
        <v>7172012004001202</v>
      </c>
      <c r="C733">
        <v>119</v>
      </c>
      <c r="D733">
        <v>50</v>
      </c>
      <c r="E733">
        <v>3</v>
      </c>
      <c r="F733">
        <v>0</v>
      </c>
      <c r="G733">
        <v>66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region_summary__37[[#This Row],[APPROVED BY Pengawas]]+region_summary__37[[#This Row],[EDITED BY Admin Kabupaten]]</f>
        <v>50</v>
      </c>
    </row>
    <row r="734" spans="1:13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region_summary__37[[#This Row],[APPROVED BY Pengawas]]+region_summary__37[[#This Row],[EDITED BY Admin Kabupaten]]</f>
        <v>19</v>
      </c>
    </row>
    <row r="735" spans="1:13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region_summary__37[[#This Row],[APPROVED BY Pengawas]]+region_summary__37[[#This Row],[EDITED BY Admin Kabupaten]]</f>
        <v>49</v>
      </c>
    </row>
    <row r="736" spans="1:13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region_summary__37[[#This Row],[APPROVED BY Pengawas]]+region_summary__37[[#This Row],[EDITED BY Admin Kabupaten]]</f>
        <v>0</v>
      </c>
    </row>
    <row r="737" spans="1:13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region_summary__37[[#This Row],[APPROVED BY Pengawas]]+region_summary__37[[#This Row],[EDITED BY Admin Kabupaten]]</f>
        <v>0</v>
      </c>
    </row>
    <row r="738" spans="1:13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26</v>
      </c>
      <c r="L738">
        <v>0</v>
      </c>
      <c r="M738">
        <f>region_summary__37[[#This Row],[APPROVED BY Pengawas]]+region_summary__37[[#This Row],[EDITED BY Admin Kabupaten]]</f>
        <v>25</v>
      </c>
    </row>
    <row r="739" spans="1:13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0</v>
      </c>
      <c r="G739">
        <v>5</v>
      </c>
      <c r="H739">
        <v>0</v>
      </c>
      <c r="I739">
        <v>0</v>
      </c>
      <c r="J739">
        <v>0</v>
      </c>
      <c r="K739">
        <v>34</v>
      </c>
      <c r="L739">
        <v>0</v>
      </c>
      <c r="M739">
        <f>region_summary__37[[#This Row],[APPROVED BY Pengawas]]+region_summary__37[[#This Row],[EDITED BY Admin Kabupaten]]</f>
        <v>19</v>
      </c>
    </row>
    <row r="740" spans="1:13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0</v>
      </c>
      <c r="G740">
        <v>5</v>
      </c>
      <c r="H740">
        <v>0</v>
      </c>
      <c r="I740">
        <v>35</v>
      </c>
      <c r="J740">
        <v>0</v>
      </c>
      <c r="K740">
        <v>2</v>
      </c>
      <c r="L740">
        <v>0</v>
      </c>
      <c r="M740">
        <f>region_summary__37[[#This Row],[APPROVED BY Pengawas]]+region_summary__37[[#This Row],[EDITED BY Admin Kabupaten]]</f>
        <v>14</v>
      </c>
    </row>
    <row r="741" spans="1:13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0</v>
      </c>
      <c r="G741">
        <v>16</v>
      </c>
      <c r="H741">
        <v>0</v>
      </c>
      <c r="I741">
        <v>0</v>
      </c>
      <c r="J741">
        <v>0</v>
      </c>
      <c r="K741">
        <v>10</v>
      </c>
      <c r="L741">
        <v>0</v>
      </c>
      <c r="M741">
        <f>region_summary__37[[#This Row],[APPROVED BY Pengawas]]+region_summary__37[[#This Row],[EDITED BY Admin Kabupaten]]</f>
        <v>15</v>
      </c>
    </row>
    <row r="742" spans="1:13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region_summary__37[[#This Row],[APPROVED BY Pengawas]]+region_summary__37[[#This Row],[EDITED BY Admin Kabupaten]]</f>
        <v>0</v>
      </c>
    </row>
    <row r="743" spans="1:13" x14ac:dyDescent="0.25">
      <c r="A743" t="s">
        <v>66</v>
      </c>
      <c r="B743">
        <v>7172012005002200</v>
      </c>
      <c r="C743">
        <v>44</v>
      </c>
      <c r="D743">
        <v>0</v>
      </c>
      <c r="E743">
        <v>7</v>
      </c>
      <c r="F743">
        <v>0</v>
      </c>
      <c r="G743">
        <v>33</v>
      </c>
      <c r="H743">
        <v>0</v>
      </c>
      <c r="I743">
        <v>0</v>
      </c>
      <c r="J743">
        <v>0</v>
      </c>
      <c r="K743">
        <v>4</v>
      </c>
      <c r="L743">
        <v>0</v>
      </c>
      <c r="M743">
        <f>region_summary__37[[#This Row],[APPROVED BY Pengawas]]+region_summary__37[[#This Row],[EDITED BY Admin Kabupaten]]</f>
        <v>0</v>
      </c>
    </row>
    <row r="744" spans="1:13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region_summary__37[[#This Row],[APPROVED BY Pengawas]]+region_summary__37[[#This Row],[EDITED BY Admin Kabupaten]]</f>
        <v>39</v>
      </c>
    </row>
    <row r="745" spans="1:13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0</v>
      </c>
      <c r="G745">
        <v>15</v>
      </c>
      <c r="H745">
        <v>0</v>
      </c>
      <c r="I745">
        <v>0</v>
      </c>
      <c r="J745">
        <v>0</v>
      </c>
      <c r="K745">
        <v>10</v>
      </c>
      <c r="L745">
        <v>0</v>
      </c>
      <c r="M745">
        <f>region_summary__37[[#This Row],[APPROVED BY Pengawas]]+region_summary__37[[#This Row],[EDITED BY Admin Kabupaten]]</f>
        <v>0</v>
      </c>
    </row>
    <row r="746" spans="1:13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region_summary__37[[#This Row],[APPROVED BY Pengawas]]+region_summary__37[[#This Row],[EDITED BY Admin Kabupaten]]</f>
        <v>0</v>
      </c>
    </row>
    <row r="747" spans="1:13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0</v>
      </c>
      <c r="G747">
        <v>4</v>
      </c>
      <c r="H747">
        <v>0</v>
      </c>
      <c r="I747">
        <v>1</v>
      </c>
      <c r="J747">
        <v>0</v>
      </c>
      <c r="K747">
        <v>33</v>
      </c>
      <c r="L747">
        <v>0</v>
      </c>
      <c r="M747">
        <f>region_summary__37[[#This Row],[APPROVED BY Pengawas]]+region_summary__37[[#This Row],[EDITED BY Admin Kabupaten]]</f>
        <v>88</v>
      </c>
    </row>
    <row r="748" spans="1:13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0</v>
      </c>
      <c r="G748">
        <v>109</v>
      </c>
      <c r="H748">
        <v>0</v>
      </c>
      <c r="I748">
        <v>0</v>
      </c>
      <c r="J748">
        <v>0</v>
      </c>
      <c r="K748">
        <v>6</v>
      </c>
      <c r="L748">
        <v>0</v>
      </c>
      <c r="M748">
        <f>region_summary__37[[#This Row],[APPROVED BY Pengawas]]+region_summary__37[[#This Row],[EDITED BY Admin Kabupaten]]</f>
        <v>0</v>
      </c>
    </row>
    <row r="749" spans="1:13" x14ac:dyDescent="0.25">
      <c r="A749" t="s">
        <v>68</v>
      </c>
      <c r="B749">
        <v>7172012007001800</v>
      </c>
      <c r="C749">
        <v>115</v>
      </c>
      <c r="D749">
        <v>14</v>
      </c>
      <c r="E749">
        <v>16</v>
      </c>
      <c r="F749">
        <v>0</v>
      </c>
      <c r="G749">
        <v>63</v>
      </c>
      <c r="H749">
        <v>0</v>
      </c>
      <c r="I749">
        <v>0</v>
      </c>
      <c r="J749">
        <v>0</v>
      </c>
      <c r="K749">
        <v>22</v>
      </c>
      <c r="L749">
        <v>0</v>
      </c>
      <c r="M749">
        <f>region_summary__37[[#This Row],[APPROVED BY Pengawas]]+region_summary__37[[#This Row],[EDITED BY Admin Kabupaten]]</f>
        <v>14</v>
      </c>
    </row>
    <row r="750" spans="1:13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0</v>
      </c>
      <c r="G750">
        <v>18</v>
      </c>
      <c r="H750">
        <v>0</v>
      </c>
      <c r="I750">
        <v>0</v>
      </c>
      <c r="J750">
        <v>0</v>
      </c>
      <c r="K750">
        <v>61</v>
      </c>
      <c r="L750">
        <v>0</v>
      </c>
      <c r="M750">
        <f>region_summary__37[[#This Row],[APPROVED BY Pengawas]]+region_summary__37[[#This Row],[EDITED BY Admin Kabupaten]]</f>
        <v>19</v>
      </c>
    </row>
    <row r="751" spans="1:13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region_summary__37[[#This Row],[APPROVED BY Pengawas]]+region_summary__37[[#This Row],[EDITED BY Admin Kabupaten]]</f>
        <v>0</v>
      </c>
    </row>
    <row r="752" spans="1:13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region_summary__37[[#This Row],[APPROVED BY Pengawas]]+region_summary__37[[#This Row],[EDITED BY Admin Kabupaten]]</f>
        <v>0</v>
      </c>
    </row>
    <row r="753" spans="1:13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region_summary__37[[#This Row],[APPROVED BY Pengawas]]+region_summary__37[[#This Row],[EDITED BY Admin Kabupaten]]</f>
        <v>0</v>
      </c>
    </row>
    <row r="754" spans="1:13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region_summary__37[[#This Row],[APPROVED BY Pengawas]]+region_summary__37[[#This Row],[EDITED BY Admin Kabupaten]]</f>
        <v>0</v>
      </c>
    </row>
    <row r="755" spans="1:13" x14ac:dyDescent="0.25">
      <c r="A755" t="s">
        <v>69</v>
      </c>
      <c r="B755">
        <v>7172012006000801</v>
      </c>
      <c r="C755">
        <v>156</v>
      </c>
      <c r="D755">
        <v>16</v>
      </c>
      <c r="E755">
        <v>22</v>
      </c>
      <c r="F755">
        <v>0</v>
      </c>
      <c r="G755">
        <v>71</v>
      </c>
      <c r="H755">
        <v>0</v>
      </c>
      <c r="I755">
        <v>0</v>
      </c>
      <c r="J755">
        <v>0</v>
      </c>
      <c r="K755">
        <v>47</v>
      </c>
      <c r="L755">
        <v>0</v>
      </c>
      <c r="M755">
        <f>region_summary__37[[#This Row],[APPROVED BY Pengawas]]+region_summary__37[[#This Row],[EDITED BY Admin Kabupaten]]</f>
        <v>16</v>
      </c>
    </row>
    <row r="756" spans="1:13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region_summary__37[[#This Row],[APPROVED BY Pengawas]]+region_summary__37[[#This Row],[EDITED BY Admin Kabupaten]]</f>
        <v>0</v>
      </c>
    </row>
    <row r="757" spans="1:13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region_summary__37[[#This Row],[APPROVED BY Pengawas]]+region_summary__37[[#This Row],[EDITED BY Admin Kabupaten]]</f>
        <v>0</v>
      </c>
    </row>
    <row r="758" spans="1:13" x14ac:dyDescent="0.25">
      <c r="A758" t="s">
        <v>69</v>
      </c>
      <c r="B758">
        <v>7172012006000802</v>
      </c>
      <c r="C758">
        <v>121</v>
      </c>
      <c r="D758">
        <v>38</v>
      </c>
      <c r="E758">
        <v>8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74</v>
      </c>
      <c r="L758">
        <v>0</v>
      </c>
      <c r="M758">
        <f>region_summary__37[[#This Row],[APPROVED BY Pengawas]]+region_summary__37[[#This Row],[EDITED BY Admin Kabupaten]]</f>
        <v>39</v>
      </c>
    </row>
    <row r="759" spans="1:13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region_summary__37[[#This Row],[APPROVED BY Pengawas]]+region_summary__37[[#This Row],[EDITED BY Admin Kabupaten]]</f>
        <v>0</v>
      </c>
    </row>
    <row r="760" spans="1:13" x14ac:dyDescent="0.25">
      <c r="A760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4</v>
      </c>
      <c r="L760">
        <v>0</v>
      </c>
      <c r="M760">
        <f>region_summary__37[[#This Row],[APPROVED BY Pengawas]]+region_summary__37[[#This Row],[EDITED BY Admin Kabupaten]]</f>
        <v>70</v>
      </c>
    </row>
    <row r="761" spans="1:13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region_summary__37[[#This Row],[APPROVED BY Pengawas]]+region_summary__37[[#This Row],[EDITED BY Admin Kabupaten]]</f>
        <v>141</v>
      </c>
    </row>
    <row r="762" spans="1:13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7</v>
      </c>
      <c r="L762">
        <v>0</v>
      </c>
      <c r="M762">
        <f>region_summary__37[[#This Row],[APPROVED BY Pengawas]]+region_summary__37[[#This Row],[EDITED BY Admin Kabupaten]]</f>
        <v>13</v>
      </c>
    </row>
    <row r="763" spans="1:13" x14ac:dyDescent="0.25">
      <c r="A763" t="s">
        <v>55</v>
      </c>
      <c r="B763">
        <v>7172012006001900</v>
      </c>
      <c r="C763">
        <v>132</v>
      </c>
      <c r="D763">
        <v>28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5</v>
      </c>
      <c r="L763">
        <v>0</v>
      </c>
      <c r="M763">
        <f>region_summary__37[[#This Row],[APPROVED BY Pengawas]]+region_summary__37[[#This Row],[EDITED BY Admin Kabupaten]]</f>
        <v>28</v>
      </c>
    </row>
    <row r="764" spans="1:13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32</v>
      </c>
      <c r="L764">
        <v>0</v>
      </c>
      <c r="M764">
        <f>region_summary__37[[#This Row],[APPROVED BY Pengawas]]+region_summary__37[[#This Row],[EDITED BY Admin Kabupaten]]</f>
        <v>27</v>
      </c>
    </row>
    <row r="765" spans="1:13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region_summary__37[[#This Row],[APPROVED BY Pengawas]]+region_summary__37[[#This Row],[EDITED BY Admin Kabupaten]]</f>
        <v>4</v>
      </c>
    </row>
    <row r="766" spans="1:13" x14ac:dyDescent="0.25">
      <c r="A766" t="s">
        <v>73</v>
      </c>
      <c r="B766">
        <v>7172012007001300</v>
      </c>
      <c r="C766">
        <v>170</v>
      </c>
      <c r="D766">
        <v>60</v>
      </c>
      <c r="E766">
        <v>33</v>
      </c>
      <c r="F766">
        <v>1</v>
      </c>
      <c r="G766">
        <v>75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region_summary__37[[#This Row],[APPROVED BY Pengawas]]+region_summary__37[[#This Row],[EDITED BY Admin Kabupaten]]</f>
        <v>61</v>
      </c>
    </row>
    <row r="767" spans="1:13" x14ac:dyDescent="0.25">
      <c r="A767" t="s">
        <v>73</v>
      </c>
      <c r="B767">
        <v>7172012007001400</v>
      </c>
      <c r="C767">
        <v>110</v>
      </c>
      <c r="D767">
        <v>33</v>
      </c>
      <c r="E767">
        <v>5</v>
      </c>
      <c r="F767">
        <v>0</v>
      </c>
      <c r="G767">
        <v>72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region_summary__37[[#This Row],[APPROVED BY Pengawas]]+region_summary__37[[#This Row],[EDITED BY Admin Kabupaten]]</f>
        <v>33</v>
      </c>
    </row>
    <row r="768" spans="1:13" x14ac:dyDescent="0.25">
      <c r="A768" t="s">
        <v>73</v>
      </c>
      <c r="B768">
        <v>7172012007001500</v>
      </c>
      <c r="C768">
        <v>103</v>
      </c>
      <c r="D768">
        <v>65</v>
      </c>
      <c r="E768">
        <v>5</v>
      </c>
      <c r="F768">
        <v>1</v>
      </c>
      <c r="G768">
        <v>30</v>
      </c>
      <c r="H768">
        <v>0</v>
      </c>
      <c r="I768">
        <v>0</v>
      </c>
      <c r="J768">
        <v>0</v>
      </c>
      <c r="K768">
        <v>2</v>
      </c>
      <c r="L768">
        <v>0</v>
      </c>
      <c r="M768">
        <f>region_summary__37[[#This Row],[APPROVED BY Pengawas]]+region_summary__37[[#This Row],[EDITED BY Admin Kabupaten]]</f>
        <v>66</v>
      </c>
    </row>
    <row r="769" spans="1:13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82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region_summary__37[[#This Row],[APPROVED BY Pengawas]]+region_summary__37[[#This Row],[EDITED BY Admin Kabupaten]]</f>
        <v>3</v>
      </c>
    </row>
    <row r="770" spans="1:13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region_summary__37[[#This Row],[APPROVED BY Pengawas]]+region_summary__37[[#This Row],[EDITED BY Admin Kabupaten]]</f>
        <v>0</v>
      </c>
    </row>
    <row r="771" spans="1:13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region_summary__37[[#This Row],[APPROVED BY Pengawas]]+region_summary__37[[#This Row],[EDITED BY Admin Kabupaten]]</f>
        <v>0</v>
      </c>
    </row>
    <row r="772" spans="1:13" x14ac:dyDescent="0.25">
      <c r="A772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0</v>
      </c>
      <c r="H772">
        <v>0</v>
      </c>
      <c r="I772">
        <v>2</v>
      </c>
      <c r="J772">
        <v>0</v>
      </c>
      <c r="K772">
        <v>0</v>
      </c>
      <c r="L772">
        <v>0</v>
      </c>
      <c r="M772">
        <f>region_summary__37[[#This Row],[APPROVED BY Pengawas]]+region_summary__37[[#This Row],[EDITED BY Admin Kabupaten]]</f>
        <v>111</v>
      </c>
    </row>
    <row r="773" spans="1:13" x14ac:dyDescent="0.25">
      <c r="A773" t="s">
        <v>77</v>
      </c>
      <c r="B773">
        <v>7172021003000400</v>
      </c>
      <c r="C773">
        <v>105</v>
      </c>
      <c r="D773">
        <v>66</v>
      </c>
      <c r="E773">
        <v>8</v>
      </c>
      <c r="F773">
        <v>0</v>
      </c>
      <c r="G773">
        <v>31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region_summary__37[[#This Row],[APPROVED BY Pengawas]]+region_summary__37[[#This Row],[EDITED BY Admin Kabupaten]]</f>
        <v>66</v>
      </c>
    </row>
    <row r="774" spans="1:13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region_summary__37[[#This Row],[APPROVED BY Pengawas]]+region_summary__37[[#This Row],[EDITED BY Admin Kabupaten]]</f>
        <v>0</v>
      </c>
    </row>
    <row r="775" spans="1:13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region_summary__37[[#This Row],[APPROVED BY Pengawas]]+region_summary__37[[#This Row],[EDITED BY Admin Kabupaten]]</f>
        <v>0</v>
      </c>
    </row>
    <row r="776" spans="1:13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region_summary__37[[#This Row],[APPROVED BY Pengawas]]+region_summary__37[[#This Row],[EDITED BY Admin Kabupaten]]</f>
        <v>0</v>
      </c>
    </row>
    <row r="777" spans="1:13" x14ac:dyDescent="0.25">
      <c r="A777" t="s">
        <v>80</v>
      </c>
      <c r="B777">
        <v>7172021006001200</v>
      </c>
      <c r="C777">
        <v>88</v>
      </c>
      <c r="D777">
        <v>2</v>
      </c>
      <c r="E777">
        <v>4</v>
      </c>
      <c r="F777">
        <v>0</v>
      </c>
      <c r="G777">
        <v>77</v>
      </c>
      <c r="H777">
        <v>0</v>
      </c>
      <c r="I777">
        <v>5</v>
      </c>
      <c r="J777">
        <v>0</v>
      </c>
      <c r="K777">
        <v>0</v>
      </c>
      <c r="L777">
        <v>0</v>
      </c>
      <c r="M777">
        <f>region_summary__37[[#This Row],[APPROVED BY Pengawas]]+region_summary__37[[#This Row],[EDITED BY Admin Kabupaten]]</f>
        <v>2</v>
      </c>
    </row>
    <row r="778" spans="1:13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0</v>
      </c>
      <c r="G778">
        <v>30</v>
      </c>
      <c r="H778">
        <v>0</v>
      </c>
      <c r="I778">
        <v>7</v>
      </c>
      <c r="J778">
        <v>0</v>
      </c>
      <c r="K778">
        <v>0</v>
      </c>
      <c r="L778">
        <v>0</v>
      </c>
      <c r="M778">
        <f>region_summary__37[[#This Row],[APPROVED BY Pengawas]]+region_summary__37[[#This Row],[EDITED BY Admin Kabupaten]]</f>
        <v>31</v>
      </c>
    </row>
    <row r="779" spans="1:13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region_summary__37[[#This Row],[APPROVED BY Pengawas]]+region_summary__37[[#This Row],[EDITED BY Admin Kabupaten]]</f>
        <v>0</v>
      </c>
    </row>
    <row r="780" spans="1:13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region_summary__37[[#This Row],[APPROVED BY Pengawas]]+region_summary__37[[#This Row],[EDITED BY Admin Kabupaten]]</f>
        <v>38</v>
      </c>
    </row>
    <row r="781" spans="1:13" x14ac:dyDescent="0.25">
      <c r="A781" t="s">
        <v>80</v>
      </c>
      <c r="B781">
        <v>7172021006001000</v>
      </c>
      <c r="C781">
        <v>58</v>
      </c>
      <c r="D781">
        <v>1</v>
      </c>
      <c r="E781">
        <v>0</v>
      </c>
      <c r="F781">
        <v>0</v>
      </c>
      <c r="G781">
        <v>57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region_summary__37[[#This Row],[APPROVED BY Pengawas]]+region_summary__37[[#This Row],[EDITED BY Admin Kabupaten]]</f>
        <v>1</v>
      </c>
    </row>
    <row r="782" spans="1:13" x14ac:dyDescent="0.25">
      <c r="A782" t="s">
        <v>80</v>
      </c>
      <c r="B782">
        <v>7172021006000800</v>
      </c>
      <c r="C782">
        <v>53</v>
      </c>
      <c r="D782">
        <v>45</v>
      </c>
      <c r="E782">
        <v>4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region_summary__37[[#This Row],[APPROVED BY Pengawas]]+region_summary__37[[#This Row],[EDITED BY Admin Kabupaten]]</f>
        <v>45</v>
      </c>
    </row>
    <row r="783" spans="1:13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31</v>
      </c>
      <c r="J783">
        <v>0</v>
      </c>
      <c r="K783">
        <v>0</v>
      </c>
      <c r="L783">
        <v>0</v>
      </c>
      <c r="M783">
        <f>region_summary__37[[#This Row],[APPROVED BY Pengawas]]+region_summary__37[[#This Row],[EDITED BY Admin Kabupaten]]</f>
        <v>14</v>
      </c>
    </row>
    <row r="784" spans="1:13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0</v>
      </c>
      <c r="G784">
        <v>39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region_summary__37[[#This Row],[APPROVED BY Pengawas]]+region_summary__37[[#This Row],[EDITED BY Admin Kabupaten]]</f>
        <v>1</v>
      </c>
    </row>
    <row r="785" spans="1:13" x14ac:dyDescent="0.25">
      <c r="A785" t="s">
        <v>239</v>
      </c>
      <c r="B785">
        <v>7172021006002200</v>
      </c>
      <c r="C785">
        <v>79</v>
      </c>
      <c r="D785">
        <v>19</v>
      </c>
      <c r="E785">
        <v>8</v>
      </c>
      <c r="F785">
        <v>0</v>
      </c>
      <c r="G785">
        <v>52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region_summary__37[[#This Row],[APPROVED BY Pengawas]]+region_summary__37[[#This Row],[EDITED BY Admin Kabupaten]]</f>
        <v>19</v>
      </c>
    </row>
    <row r="786" spans="1:13" x14ac:dyDescent="0.25">
      <c r="A786" t="s">
        <v>239</v>
      </c>
      <c r="B786">
        <v>7172021006001600</v>
      </c>
      <c r="C786">
        <v>74</v>
      </c>
      <c r="D786">
        <v>47</v>
      </c>
      <c r="E786">
        <v>13</v>
      </c>
      <c r="F786">
        <v>0</v>
      </c>
      <c r="G786">
        <v>8</v>
      </c>
      <c r="H786">
        <v>0</v>
      </c>
      <c r="I786">
        <v>6</v>
      </c>
      <c r="J786">
        <v>0</v>
      </c>
      <c r="K786">
        <v>0</v>
      </c>
      <c r="L786">
        <v>0</v>
      </c>
      <c r="M786">
        <f>region_summary__37[[#This Row],[APPROVED BY Pengawas]]+region_summary__37[[#This Row],[EDITED BY Admin Kabupaten]]</f>
        <v>47</v>
      </c>
    </row>
    <row r="787" spans="1:13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region_summary__37[[#This Row],[APPROVED BY Pengawas]]+region_summary__37[[#This Row],[EDITED BY Admin Kabupaten]]</f>
        <v>17</v>
      </c>
    </row>
    <row r="788" spans="1:13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region_summary__37[[#This Row],[APPROVED BY Pengawas]]+region_summary__37[[#This Row],[EDITED BY Admin Kabupaten]]</f>
        <v>4</v>
      </c>
    </row>
    <row r="789" spans="1:13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region_summary__37[[#This Row],[APPROVED BY Pengawas]]+region_summary__37[[#This Row],[EDITED BY Admin Kabupaten]]</f>
        <v>42</v>
      </c>
    </row>
    <row r="790" spans="1:13" x14ac:dyDescent="0.25">
      <c r="A790" t="s">
        <v>239</v>
      </c>
      <c r="B790">
        <v>7172021006001700</v>
      </c>
      <c r="C790">
        <v>45</v>
      </c>
      <c r="D790">
        <v>39</v>
      </c>
      <c r="E790">
        <v>1</v>
      </c>
      <c r="F790">
        <v>0</v>
      </c>
      <c r="G790">
        <v>1</v>
      </c>
      <c r="H790">
        <v>0</v>
      </c>
      <c r="I790">
        <v>4</v>
      </c>
      <c r="J790">
        <v>0</v>
      </c>
      <c r="K790">
        <v>0</v>
      </c>
      <c r="L790">
        <v>0</v>
      </c>
      <c r="M790">
        <f>region_summary__37[[#This Row],[APPROVED BY Pengawas]]+region_summary__37[[#This Row],[EDITED BY Admin Kabupaten]]</f>
        <v>39</v>
      </c>
    </row>
    <row r="791" spans="1:13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region_summary__37[[#This Row],[APPROVED BY Pengawas]]+region_summary__37[[#This Row],[EDITED BY Admin Kabupaten]]</f>
        <v>7</v>
      </c>
    </row>
    <row r="792" spans="1:13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region_summary__37[[#This Row],[APPROVED BY Pengawas]]+region_summary__37[[#This Row],[EDITED BY Admin Kabupaten]]</f>
        <v>8</v>
      </c>
    </row>
    <row r="793" spans="1:13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region_summary__37[[#This Row],[APPROVED BY Pengawas]]+region_summary__37[[#This Row],[EDITED BY Admin Kabupaten]]</f>
        <v>4</v>
      </c>
    </row>
    <row r="794" spans="1:13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region_summary__37[[#This Row],[APPROVED BY Pengawas]]+region_summary__37[[#This Row],[EDITED BY Admin Kabupaten]]</f>
        <v>7</v>
      </c>
    </row>
    <row r="795" spans="1:13" x14ac:dyDescent="0.25">
      <c r="A795" t="s">
        <v>82</v>
      </c>
      <c r="B795">
        <v>7172022001000200</v>
      </c>
      <c r="C795">
        <v>106</v>
      </c>
      <c r="D795">
        <v>87</v>
      </c>
      <c r="E795">
        <v>10</v>
      </c>
      <c r="F795">
        <v>0</v>
      </c>
      <c r="G795">
        <v>8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region_summary__37[[#This Row],[APPROVED BY Pengawas]]+region_summary__37[[#This Row],[EDITED BY Admin Kabupaten]]</f>
        <v>87</v>
      </c>
    </row>
    <row r="796" spans="1:13" x14ac:dyDescent="0.25">
      <c r="A796" t="s">
        <v>82</v>
      </c>
      <c r="B796">
        <v>7172022001000300</v>
      </c>
      <c r="C796">
        <v>97</v>
      </c>
      <c r="D796">
        <v>19</v>
      </c>
      <c r="E796">
        <v>20</v>
      </c>
      <c r="F796">
        <v>0</v>
      </c>
      <c r="G796">
        <v>58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region_summary__37[[#This Row],[APPROVED BY Pengawas]]+region_summary__37[[#This Row],[EDITED BY Admin Kabupaten]]</f>
        <v>19</v>
      </c>
    </row>
    <row r="797" spans="1:13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region_summary__37[[#This Row],[APPROVED BY Pengawas]]+region_summary__37[[#This Row],[EDITED BY Admin Kabupaten]]</f>
        <v>0</v>
      </c>
    </row>
    <row r="798" spans="1:13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region_summary__37[[#This Row],[APPROVED BY Pengawas]]+region_summary__37[[#This Row],[EDITED BY Admin Kabupaten]]</f>
        <v>70</v>
      </c>
    </row>
    <row r="799" spans="1:13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region_summary__37[[#This Row],[APPROVED BY Pengawas]]+region_summary__37[[#This Row],[EDITED BY Admin Kabupaten]]</f>
        <v>0</v>
      </c>
    </row>
    <row r="800" spans="1:13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0</v>
      </c>
      <c r="G800">
        <v>28</v>
      </c>
      <c r="H800">
        <v>0</v>
      </c>
      <c r="I800">
        <v>6</v>
      </c>
      <c r="J800">
        <v>1</v>
      </c>
      <c r="K800">
        <v>35</v>
      </c>
      <c r="L800">
        <v>0</v>
      </c>
      <c r="M800">
        <f>region_summary__37[[#This Row],[APPROVED BY Pengawas]]+region_summary__37[[#This Row],[EDITED BY Admin Kabupaten]]</f>
        <v>16</v>
      </c>
    </row>
    <row r="801" spans="1:13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region_summary__37[[#This Row],[APPROVED BY Pengawas]]+region_summary__37[[#This Row],[EDITED BY Admin Kabupaten]]</f>
        <v>0</v>
      </c>
    </row>
    <row r="802" spans="1:13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region_summary__37[[#This Row],[APPROVED BY Pengawas]]+region_summary__37[[#This Row],[EDITED BY Admin Kabupaten]]</f>
        <v>0</v>
      </c>
    </row>
    <row r="803" spans="1:13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region_summary__37[[#This Row],[APPROVED BY Pengawas]]+region_summary__37[[#This Row],[EDITED BY Admin Kabupaten]]</f>
        <v>6</v>
      </c>
    </row>
    <row r="804" spans="1:13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0</v>
      </c>
      <c r="G804">
        <v>27</v>
      </c>
      <c r="H804">
        <v>0</v>
      </c>
      <c r="I804">
        <v>1</v>
      </c>
      <c r="J804">
        <v>0</v>
      </c>
      <c r="K804">
        <v>8</v>
      </c>
      <c r="L804">
        <v>0</v>
      </c>
      <c r="M804">
        <f>region_summary__37[[#This Row],[APPROVED BY Pengawas]]+region_summary__37[[#This Row],[EDITED BY Admin Kabupaten]]</f>
        <v>3</v>
      </c>
    </row>
    <row r="805" spans="1:13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1</v>
      </c>
      <c r="L805">
        <v>0</v>
      </c>
      <c r="M805">
        <f>region_summary__37[[#This Row],[APPROVED BY Pengawas]]+region_summary__37[[#This Row],[EDITED BY Admin Kabupaten]]</f>
        <v>0</v>
      </c>
    </row>
    <row r="806" spans="1:13" x14ac:dyDescent="0.25">
      <c r="A806" t="s">
        <v>84</v>
      </c>
      <c r="B806">
        <v>7172022006000500</v>
      </c>
      <c r="C806">
        <v>41</v>
      </c>
      <c r="D806">
        <v>1</v>
      </c>
      <c r="E806">
        <v>6</v>
      </c>
      <c r="F806">
        <v>0</v>
      </c>
      <c r="G806">
        <v>33</v>
      </c>
      <c r="H806">
        <v>0</v>
      </c>
      <c r="I806">
        <v>0</v>
      </c>
      <c r="J806">
        <v>0</v>
      </c>
      <c r="K806">
        <v>1</v>
      </c>
      <c r="L806">
        <v>0</v>
      </c>
      <c r="M806">
        <f>region_summary__37[[#This Row],[APPROVED BY Pengawas]]+region_summary__37[[#This Row],[EDITED BY Admin Kabupaten]]</f>
        <v>1</v>
      </c>
    </row>
    <row r="807" spans="1:13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region_summary__37[[#This Row],[APPROVED BY Pengawas]]+region_summary__37[[#This Row],[EDITED BY Admin Kabupaten]]</f>
        <v>0</v>
      </c>
    </row>
    <row r="808" spans="1:13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region_summary__37[[#This Row],[APPROVED BY Pengawas]]+region_summary__37[[#This Row],[EDITED BY Admin Kabupaten]]</f>
        <v>1</v>
      </c>
    </row>
    <row r="809" spans="1:13" x14ac:dyDescent="0.25">
      <c r="A809" t="s">
        <v>86</v>
      </c>
      <c r="B809">
        <v>7172022009000500</v>
      </c>
      <c r="C809">
        <v>71</v>
      </c>
      <c r="D809">
        <v>45</v>
      </c>
      <c r="E809">
        <v>1</v>
      </c>
      <c r="F809">
        <v>0</v>
      </c>
      <c r="G809">
        <v>4</v>
      </c>
      <c r="H809">
        <v>0</v>
      </c>
      <c r="I809">
        <v>1</v>
      </c>
      <c r="J809">
        <v>0</v>
      </c>
      <c r="K809">
        <v>20</v>
      </c>
      <c r="L809">
        <v>0</v>
      </c>
      <c r="M809">
        <f>region_summary__37[[#This Row],[APPROVED BY Pengawas]]+region_summary__37[[#This Row],[EDITED BY Admin Kabupaten]]</f>
        <v>45</v>
      </c>
    </row>
    <row r="810" spans="1:13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region_summary__37[[#This Row],[APPROVED BY Pengawas]]+region_summary__37[[#This Row],[EDITED BY Admin Kabupaten]]</f>
        <v>0</v>
      </c>
    </row>
    <row r="811" spans="1:13" x14ac:dyDescent="0.25">
      <c r="A811" t="s">
        <v>86</v>
      </c>
      <c r="B811">
        <v>7172022003000100</v>
      </c>
      <c r="C811">
        <v>54</v>
      </c>
      <c r="D811">
        <v>43</v>
      </c>
      <c r="E811">
        <v>0</v>
      </c>
      <c r="F811">
        <v>0</v>
      </c>
      <c r="G811">
        <v>3</v>
      </c>
      <c r="H811">
        <v>0</v>
      </c>
      <c r="I811">
        <v>1</v>
      </c>
      <c r="J811">
        <v>0</v>
      </c>
      <c r="K811">
        <v>7</v>
      </c>
      <c r="L811">
        <v>0</v>
      </c>
      <c r="M811">
        <f>region_summary__37[[#This Row],[APPROVED BY Pengawas]]+region_summary__37[[#This Row],[EDITED BY Admin Kabupaten]]</f>
        <v>43</v>
      </c>
    </row>
    <row r="812" spans="1:13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region_summary__37[[#This Row],[APPROVED BY Pengawas]]+region_summary__37[[#This Row],[EDITED BY Admin Kabupaten]]</f>
        <v>0</v>
      </c>
    </row>
    <row r="813" spans="1:13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0</v>
      </c>
      <c r="G813">
        <v>25</v>
      </c>
      <c r="H813">
        <v>0</v>
      </c>
      <c r="I813">
        <v>0</v>
      </c>
      <c r="J813">
        <v>0</v>
      </c>
      <c r="K813">
        <v>16</v>
      </c>
      <c r="L813">
        <v>0</v>
      </c>
      <c r="M813">
        <f>region_summary__37[[#This Row],[APPROVED BY Pengawas]]+region_summary__37[[#This Row],[EDITED BY Admin Kabupaten]]</f>
        <v>0</v>
      </c>
    </row>
    <row r="814" spans="1:13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region_summary__37[[#This Row],[APPROVED BY Pengawas]]+region_summary__37[[#This Row],[EDITED BY Admin Kabupaten]]</f>
        <v>0</v>
      </c>
    </row>
    <row r="815" spans="1:13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region_summary__37[[#This Row],[APPROVED BY Pengawas]]+region_summary__37[[#This Row],[EDITED BY Admin Kabupaten]]</f>
        <v>0</v>
      </c>
    </row>
    <row r="816" spans="1:13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region_summary__37[[#This Row],[APPROVED BY Pengawas]]+region_summary__37[[#This Row],[EDITED BY Admin Kabupaten]]</f>
        <v>0</v>
      </c>
    </row>
    <row r="817" spans="1:13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12</v>
      </c>
      <c r="H817">
        <v>0</v>
      </c>
      <c r="I817">
        <v>0</v>
      </c>
      <c r="J817">
        <v>0</v>
      </c>
      <c r="K817">
        <v>21</v>
      </c>
      <c r="L817">
        <v>0</v>
      </c>
      <c r="M817">
        <f>region_summary__37[[#This Row],[APPROVED BY Pengawas]]+region_summary__37[[#This Row],[EDITED BY Admin Kabupaten]]</f>
        <v>0</v>
      </c>
    </row>
    <row r="818" spans="1:13" x14ac:dyDescent="0.25">
      <c r="A818" t="s">
        <v>87</v>
      </c>
      <c r="B818">
        <v>7172022005000200</v>
      </c>
      <c r="C818">
        <v>59</v>
      </c>
      <c r="D818">
        <v>8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22</v>
      </c>
      <c r="L818">
        <v>0</v>
      </c>
      <c r="M818">
        <f>region_summary__37[[#This Row],[APPROVED BY Pengawas]]+region_summary__37[[#This Row],[EDITED BY Admin Kabupaten]]</f>
        <v>8</v>
      </c>
    </row>
    <row r="819" spans="1:13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region_summary__37[[#This Row],[APPROVED BY Pengawas]]+region_summary__37[[#This Row],[EDITED BY Admin Kabupaten]]</f>
        <v>0</v>
      </c>
    </row>
    <row r="820" spans="1:13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region_summary__37[[#This Row],[APPROVED BY Pengawas]]+region_summary__37[[#This Row],[EDITED BY Admin Kabupaten]]</f>
        <v>48</v>
      </c>
    </row>
    <row r="821" spans="1:13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region_summary__37[[#This Row],[APPROVED BY Pengawas]]+region_summary__37[[#This Row],[EDITED BY Admin Kabupaten]]</f>
        <v>47</v>
      </c>
    </row>
    <row r="822" spans="1:13" x14ac:dyDescent="0.25">
      <c r="A822" t="s">
        <v>87</v>
      </c>
      <c r="B822">
        <v>7172022005000100</v>
      </c>
      <c r="C822">
        <v>45</v>
      </c>
      <c r="D822">
        <v>26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13</v>
      </c>
      <c r="L822">
        <v>0</v>
      </c>
      <c r="M822">
        <f>region_summary__37[[#This Row],[APPROVED BY Pengawas]]+region_summary__37[[#This Row],[EDITED BY Admin Kabupaten]]</f>
        <v>26</v>
      </c>
    </row>
    <row r="823" spans="1:13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region_summary__37[[#This Row],[APPROVED BY Pengawas]]+region_summary__37[[#This Row],[EDITED BY Admin Kabupaten]]</f>
        <v>2</v>
      </c>
    </row>
    <row r="824" spans="1:13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region_summary__37[[#This Row],[APPROVED BY Pengawas]]+region_summary__37[[#This Row],[EDITED BY Admin Kabupaten]]</f>
        <v>0</v>
      </c>
    </row>
    <row r="825" spans="1:13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region_summary__37[[#This Row],[APPROVED BY Pengawas]]+region_summary__37[[#This Row],[EDITED BY Admin Kabupaten]]</f>
        <v>0</v>
      </c>
    </row>
    <row r="826" spans="1:13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region_summary__37[[#This Row],[APPROVED BY Pengawas]]+region_summary__37[[#This Row],[EDITED BY Admin Kabupaten]]</f>
        <v>0</v>
      </c>
    </row>
    <row r="827" spans="1:13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region_summary__37[[#This Row],[APPROVED BY Pengawas]]+region_summary__37[[#This Row],[EDITED BY Admin Kabupaten]]</f>
        <v>0</v>
      </c>
    </row>
    <row r="828" spans="1:13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22</v>
      </c>
      <c r="L828">
        <v>0</v>
      </c>
      <c r="M828">
        <f>region_summary__37[[#This Row],[APPROVED BY Pengawas]]+region_summary__37[[#This Row],[EDITED BY Admin Kabupaten]]</f>
        <v>4</v>
      </c>
    </row>
    <row r="829" spans="1:13" x14ac:dyDescent="0.25">
      <c r="A829" t="s">
        <v>240</v>
      </c>
      <c r="B829">
        <v>7172022008000100</v>
      </c>
      <c r="C829">
        <v>69</v>
      </c>
      <c r="D829">
        <v>20</v>
      </c>
      <c r="E829">
        <v>1</v>
      </c>
      <c r="F829">
        <v>0</v>
      </c>
      <c r="G829">
        <v>17</v>
      </c>
      <c r="H829">
        <v>0</v>
      </c>
      <c r="I829">
        <v>6</v>
      </c>
      <c r="J829">
        <v>0</v>
      </c>
      <c r="K829">
        <v>25</v>
      </c>
      <c r="L829">
        <v>0</v>
      </c>
      <c r="M829">
        <f>region_summary__37[[#This Row],[APPROVED BY Pengawas]]+region_summary__37[[#This Row],[EDITED BY Admin Kabupaten]]</f>
        <v>20</v>
      </c>
    </row>
    <row r="830" spans="1:13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region_summary__37[[#This Row],[APPROVED BY Pengawas]]+region_summary__37[[#This Row],[EDITED BY Admin Kabupaten]]</f>
        <v>0</v>
      </c>
    </row>
    <row r="831" spans="1:13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43</v>
      </c>
      <c r="L831">
        <v>0</v>
      </c>
      <c r="M831">
        <f>region_summary__37[[#This Row],[APPROVED BY Pengawas]]+region_summary__37[[#This Row],[EDITED BY Admin Kabupaten]]</f>
        <v>12</v>
      </c>
    </row>
    <row r="832" spans="1:13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region_summary__37[[#This Row],[APPROVED BY Pengawas]]+region_summary__37[[#This Row],[EDITED BY Admin Kabupaten]]</f>
        <v>0</v>
      </c>
    </row>
    <row r="833" spans="1:13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region_summary__37[[#This Row],[APPROVED BY Pengawas]]+region_summary__37[[#This Row],[EDITED BY Admin Kabupaten]]</f>
        <v>0</v>
      </c>
    </row>
    <row r="834" spans="1:13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0</v>
      </c>
      <c r="G834">
        <v>10</v>
      </c>
      <c r="H834">
        <v>0</v>
      </c>
      <c r="I834">
        <v>0</v>
      </c>
      <c r="J834">
        <v>0</v>
      </c>
      <c r="K834">
        <v>14</v>
      </c>
      <c r="L834">
        <v>0</v>
      </c>
      <c r="M834">
        <f>region_summary__37[[#This Row],[APPROVED BY Pengawas]]+region_summary__37[[#This Row],[EDITED BY Admin Kabupaten]]</f>
        <v>26</v>
      </c>
    </row>
    <row r="835" spans="1:13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region_summary__37[[#This Row],[APPROVED BY Pengawas]]+region_summary__37[[#This Row],[EDITED BY Admin Kabupaten]]</f>
        <v>0</v>
      </c>
    </row>
    <row r="836" spans="1:13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region_summary__37[[#This Row],[APPROVED BY Pengawas]]+region_summary__37[[#This Row],[EDITED BY Admin Kabupaten]]</f>
        <v>2</v>
      </c>
    </row>
    <row r="837" spans="1:13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region_summary__37[[#This Row],[APPROVED BY Pengawas]]+region_summary__37[[#This Row],[EDITED BY Admin Kabupaten]]</f>
        <v>12</v>
      </c>
    </row>
    <row r="838" spans="1:13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region_summary__37[[#This Row],[APPROVED BY Pengawas]]+region_summary__37[[#This Row],[EDITED BY Admin Kabupaten]]</f>
        <v>12</v>
      </c>
    </row>
    <row r="839" spans="1:13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region_summary__37[[#This Row],[APPROVED BY Pengawas]]+region_summary__37[[#This Row],[EDITED BY Admin Kabupaten]]</f>
        <v>58</v>
      </c>
    </row>
    <row r="840" spans="1:13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region_summary__37[[#This Row],[APPROVED BY Pengawas]]+region_summary__37[[#This Row],[EDITED BY Admin Kabupaten]]</f>
        <v>18</v>
      </c>
    </row>
    <row r="841" spans="1:13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region_summary__37[[#This Row],[APPROVED BY Pengawas]]+region_summary__37[[#This Row],[EDITED BY Admin Kabupaten]]</f>
        <v>14</v>
      </c>
    </row>
    <row r="842" spans="1:13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11</v>
      </c>
      <c r="L842">
        <v>0</v>
      </c>
      <c r="M842">
        <f>region_summary__37[[#This Row],[APPROVED BY Pengawas]]+region_summary__37[[#This Row],[EDITED BY Admin Kabupaten]]</f>
        <v>13</v>
      </c>
    </row>
    <row r="843" spans="1:13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region_summary__37[[#This Row],[APPROVED BY Pengawas]]+region_summary__37[[#This Row],[EDITED BY Admin Kabupaten]]</f>
        <v>7</v>
      </c>
    </row>
    <row r="844" spans="1:13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region_summary__37[[#This Row],[APPROVED BY Pengawas]]+region_summary__37[[#This Row],[EDITED BY Admin Kabupaten]]</f>
        <v>15</v>
      </c>
    </row>
    <row r="845" spans="1:13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0</v>
      </c>
      <c r="H845">
        <v>0</v>
      </c>
      <c r="I845">
        <v>9</v>
      </c>
      <c r="J845">
        <v>0</v>
      </c>
      <c r="K845">
        <v>0</v>
      </c>
      <c r="L845">
        <v>0</v>
      </c>
      <c r="M845">
        <f>region_summary__37[[#This Row],[APPROVED BY Pengawas]]+region_summary__37[[#This Row],[EDITED BY Admin Kabupaten]]</f>
        <v>76</v>
      </c>
    </row>
    <row r="846" spans="1:13" x14ac:dyDescent="0.25">
      <c r="A846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10</v>
      </c>
      <c r="L846">
        <v>0</v>
      </c>
      <c r="M846">
        <f>region_summary__37[[#This Row],[APPROVED BY Pengawas]]+region_summary__37[[#This Row],[EDITED BY Admin Kabupaten]]</f>
        <v>46</v>
      </c>
    </row>
    <row r="847" spans="1:13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region_summary__37[[#This Row],[APPROVED BY Pengawas]]+region_summary__37[[#This Row],[EDITED BY Admin Kabupaten]]</f>
        <v>8</v>
      </c>
    </row>
    <row r="848" spans="1:13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region_summary__37[[#This Row],[APPROVED BY Pengawas]]+region_summary__37[[#This Row],[EDITED BY Admin Kabupaten]]</f>
        <v>12</v>
      </c>
    </row>
    <row r="849" spans="1:13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region_summary__37[[#This Row],[APPROVED BY Pengawas]]+region_summary__37[[#This Row],[EDITED BY Admin Kabupaten]]</f>
        <v>2</v>
      </c>
    </row>
    <row r="850" spans="1:13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region_summary__37[[#This Row],[APPROVED BY Pengawas]]+region_summary__37[[#This Row],[EDITED BY Admin Kabupaten]]</f>
        <v>10</v>
      </c>
    </row>
    <row r="851" spans="1:13" x14ac:dyDescent="0.25">
      <c r="A851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29</v>
      </c>
      <c r="L851">
        <v>0</v>
      </c>
      <c r="M851">
        <f>region_summary__37[[#This Row],[APPROVED BY Pengawas]]+region_summary__37[[#This Row],[EDITED BY Admin Kabupaten]]</f>
        <v>8</v>
      </c>
    </row>
    <row r="852" spans="1:13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region_summary__37[[#This Row],[APPROVED BY Pengawas]]+region_summary__37[[#This Row],[EDITED BY Admin Kabupaten]]</f>
        <v>0</v>
      </c>
    </row>
    <row r="853" spans="1:13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region_summary__37[[#This Row],[APPROVED BY Pengawas]]+region_summary__37[[#This Row],[EDITED BY Admin Kabupaten]]</f>
        <v>14</v>
      </c>
    </row>
    <row r="854" spans="1:13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region_summary__37[[#This Row],[APPROVED BY Pengawas]]+region_summary__37[[#This Row],[EDITED BY Admin Kabupaten]]</f>
        <v>22</v>
      </c>
    </row>
    <row r="855" spans="1:13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region_summary__37[[#This Row],[APPROVED BY Pengawas]]+region_summary__37[[#This Row],[EDITED BY Admin Kabupaten]]</f>
        <v>4</v>
      </c>
    </row>
    <row r="856" spans="1:13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region_summary__37[[#This Row],[APPROVED BY Pengawas]]+region_summary__37[[#This Row],[EDITED BY Admin Kabupaten]]</f>
        <v>0</v>
      </c>
    </row>
    <row r="857" spans="1:13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region_summary__37[[#This Row],[APPROVED BY Pengawas]]+region_summary__37[[#This Row],[EDITED BY Admin Kabupaten]]</f>
        <v>0</v>
      </c>
    </row>
    <row r="858" spans="1:13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0</v>
      </c>
      <c r="G858">
        <v>28</v>
      </c>
      <c r="H858">
        <v>0</v>
      </c>
      <c r="I858">
        <v>0</v>
      </c>
      <c r="J858">
        <v>0</v>
      </c>
      <c r="K858">
        <v>1</v>
      </c>
      <c r="L858">
        <v>0</v>
      </c>
      <c r="M858">
        <f>region_summary__37[[#This Row],[APPROVED BY Pengawas]]+region_summary__37[[#This Row],[EDITED BY Admin Kabupaten]]</f>
        <v>37</v>
      </c>
    </row>
    <row r="859" spans="1:13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region_summary__37[[#This Row],[APPROVED BY Pengawas]]+region_summary__37[[#This Row],[EDITED BY Admin Kabupaten]]</f>
        <v>0</v>
      </c>
    </row>
    <row r="860" spans="1:13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region_summary__37[[#This Row],[APPROVED BY Pengawas]]+region_summary__37[[#This Row],[EDITED BY Admin Kabupaten]]</f>
        <v>61</v>
      </c>
    </row>
    <row r="861" spans="1:13" x14ac:dyDescent="0.25">
      <c r="A861" t="s">
        <v>98</v>
      </c>
      <c r="B861">
        <v>7172030012000600</v>
      </c>
      <c r="C861">
        <v>91</v>
      </c>
      <c r="D861">
        <v>50</v>
      </c>
      <c r="E861">
        <v>7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region_summary__37[[#This Row],[APPROVED BY Pengawas]]+region_summary__37[[#This Row],[EDITED BY Admin Kabupaten]]</f>
        <v>50</v>
      </c>
    </row>
    <row r="862" spans="1:13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region_summary__37[[#This Row],[APPROVED BY Pengawas]]+region_summary__37[[#This Row],[EDITED BY Admin Kabupaten]]</f>
        <v>0</v>
      </c>
    </row>
    <row r="863" spans="1:13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region_summary__37[[#This Row],[APPROVED BY Pengawas]]+region_summary__37[[#This Row],[EDITED BY Admin Kabupaten]]</f>
        <v>42</v>
      </c>
    </row>
    <row r="864" spans="1:13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26</v>
      </c>
      <c r="L864">
        <v>0</v>
      </c>
      <c r="M864">
        <f>region_summary__37[[#This Row],[APPROVED BY Pengawas]]+region_summary__37[[#This Row],[EDITED BY Admin Kabupaten]]</f>
        <v>27</v>
      </c>
    </row>
    <row r="865" spans="1:13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3</v>
      </c>
      <c r="L865">
        <v>0</v>
      </c>
      <c r="M865">
        <f>region_summary__37[[#This Row],[APPROVED BY Pengawas]]+region_summary__37[[#This Row],[EDITED BY Admin Kabupaten]]</f>
        <v>81</v>
      </c>
    </row>
    <row r="866" spans="1:13" x14ac:dyDescent="0.25">
      <c r="A866" t="s">
        <v>241</v>
      </c>
      <c r="B866">
        <v>7172030013001200</v>
      </c>
      <c r="C866">
        <v>76</v>
      </c>
      <c r="D866">
        <v>11</v>
      </c>
      <c r="E866">
        <v>0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region_summary__37[[#This Row],[APPROVED BY Pengawas]]+region_summary__37[[#This Row],[EDITED BY Admin Kabupaten]]</f>
        <v>11</v>
      </c>
    </row>
    <row r="867" spans="1:13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region_summary__37[[#This Row],[APPROVED BY Pengawas]]+region_summary__37[[#This Row],[EDITED BY Admin Kabupaten]]</f>
        <v>16</v>
      </c>
    </row>
    <row r="868" spans="1:13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8</v>
      </c>
      <c r="L868">
        <v>0</v>
      </c>
      <c r="M868">
        <f>region_summary__37[[#This Row],[APPROVED BY Pengawas]]+region_summary__37[[#This Row],[EDITED BY Admin Kabupaten]]</f>
        <v>35</v>
      </c>
    </row>
    <row r="869" spans="1:13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region_summary__37[[#This Row],[APPROVED BY Pengawas]]+region_summary__37[[#This Row],[EDITED BY Admin Kabupaten]]</f>
        <v>12</v>
      </c>
    </row>
    <row r="870" spans="1:13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region_summary__37[[#This Row],[APPROVED BY Pengawas]]+region_summary__37[[#This Row],[EDITED BY Admin Kabupaten]]</f>
        <v>4</v>
      </c>
    </row>
    <row r="871" spans="1:13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region_summary__37[[#This Row],[APPROVED BY Pengawas]]+region_summary__37[[#This Row],[EDITED BY Admin Kabupaten]]</f>
        <v>10</v>
      </c>
    </row>
    <row r="872" spans="1:13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region_summary__37[[#This Row],[APPROVED BY Pengawas]]+region_summary__37[[#This Row],[EDITED BY Admin Kabupaten]]</f>
        <v>13</v>
      </c>
    </row>
    <row r="873" spans="1:13" x14ac:dyDescent="0.25">
      <c r="A873" t="s">
        <v>242</v>
      </c>
      <c r="B873">
        <v>7172030013001300</v>
      </c>
      <c r="C873">
        <v>132</v>
      </c>
      <c r="D873">
        <v>113</v>
      </c>
      <c r="E873">
        <v>0</v>
      </c>
      <c r="F873">
        <v>0</v>
      </c>
      <c r="G873">
        <v>17</v>
      </c>
      <c r="H873">
        <v>1</v>
      </c>
      <c r="I873">
        <v>1</v>
      </c>
      <c r="J873">
        <v>0</v>
      </c>
      <c r="K873">
        <v>0</v>
      </c>
      <c r="L873">
        <v>0</v>
      </c>
      <c r="M873">
        <f>region_summary__37[[#This Row],[APPROVED BY Pengawas]]+region_summary__37[[#This Row],[EDITED BY Admin Kabupaten]]</f>
        <v>113</v>
      </c>
    </row>
    <row r="874" spans="1:13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region_summary__37[[#This Row],[APPROVED BY Pengawas]]+region_summary__37[[#This Row],[EDITED BY Admin Kabupaten]]</f>
        <v>39</v>
      </c>
    </row>
    <row r="875" spans="1:13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region_summary__37[[#This Row],[APPROVED BY Pengawas]]+region_summary__37[[#This Row],[EDITED BY Admin Kabupaten]]</f>
        <v>20</v>
      </c>
    </row>
    <row r="876" spans="1:13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region_summary__37[[#This Row],[APPROVED BY Pengawas]]+region_summary__37[[#This Row],[EDITED BY Admin Kabupaten]]</f>
        <v>19</v>
      </c>
    </row>
    <row r="877" spans="1:13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region_summary__37[[#This Row],[APPROVED BY Pengawas]]+region_summary__37[[#This Row],[EDITED BY Admin Kabupaten]]</f>
        <v>9</v>
      </c>
    </row>
    <row r="878" spans="1:13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region_summary__37[[#This Row],[APPROVED BY Pengawas]]+region_summary__37[[#This Row],[EDITED BY Admin Kabupaten]]</f>
        <v>5</v>
      </c>
    </row>
    <row r="879" spans="1:13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region_summary__37[[#This Row],[APPROVED BY Pengawas]]+region_summary__37[[#This Row],[EDITED BY Admin Kabupaten]]</f>
        <v>57</v>
      </c>
    </row>
    <row r="880" spans="1:13" x14ac:dyDescent="0.25">
      <c r="A880" t="s">
        <v>102</v>
      </c>
      <c r="B880">
        <v>7172030014000500</v>
      </c>
      <c r="C880">
        <v>108</v>
      </c>
      <c r="D880">
        <v>28</v>
      </c>
      <c r="E880">
        <v>12</v>
      </c>
      <c r="F880">
        <v>0</v>
      </c>
      <c r="G880">
        <v>45</v>
      </c>
      <c r="H880">
        <v>0</v>
      </c>
      <c r="I880">
        <v>0</v>
      </c>
      <c r="J880">
        <v>0</v>
      </c>
      <c r="K880">
        <v>23</v>
      </c>
      <c r="L880">
        <v>0</v>
      </c>
      <c r="M880">
        <f>region_summary__37[[#This Row],[APPROVED BY Pengawas]]+region_summary__37[[#This Row],[EDITED BY Admin Kabupaten]]</f>
        <v>28</v>
      </c>
    </row>
    <row r="881" spans="1:13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region_summary__37[[#This Row],[APPROVED BY Pengawas]]+region_summary__37[[#This Row],[EDITED BY Admin Kabupaten]]</f>
        <v>25</v>
      </c>
    </row>
    <row r="882" spans="1:13" x14ac:dyDescent="0.25">
      <c r="A882" t="s">
        <v>102</v>
      </c>
      <c r="B882">
        <v>7172030014000300</v>
      </c>
      <c r="C882">
        <v>96</v>
      </c>
      <c r="D882">
        <v>93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2</v>
      </c>
      <c r="L882">
        <v>0</v>
      </c>
      <c r="M882">
        <f>region_summary__37[[#This Row],[APPROVED BY Pengawas]]+region_summary__37[[#This Row],[EDITED BY Admin Kabupaten]]</f>
        <v>93</v>
      </c>
    </row>
    <row r="883" spans="1:13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region_summary__37[[#This Row],[APPROVED BY Pengawas]]+region_summary__37[[#This Row],[EDITED BY Admin Kabupaten]]</f>
        <v>0</v>
      </c>
    </row>
    <row r="884" spans="1:13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region_summary__37[[#This Row],[APPROVED BY Pengawas]]+region_summary__37[[#This Row],[EDITED BY Admin Kabupaten]]</f>
        <v>4</v>
      </c>
    </row>
    <row r="885" spans="1:13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region_summary__37[[#This Row],[APPROVED BY Pengawas]]+region_summary__37[[#This Row],[EDITED BY Admin Kabupaten]]</f>
        <v>17</v>
      </c>
    </row>
    <row r="886" spans="1:13" x14ac:dyDescent="0.25">
      <c r="A886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region_summary__37[[#This Row],[APPROVED BY Pengawas]]+region_summary__37[[#This Row],[EDITED BY Admin Kabupaten]]</f>
        <v>53</v>
      </c>
    </row>
    <row r="887" spans="1:13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region_summary__37[[#This Row],[APPROVED BY Pengawas]]+region_summary__37[[#This Row],[EDITED BY Admin Kabupaten]]</f>
        <v>223</v>
      </c>
    </row>
    <row r="888" spans="1:13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region_summary__37[[#This Row],[APPROVED BY Pengawas]]+region_summary__37[[#This Row],[EDITED BY Admin Kabupaten]]</f>
        <v>0</v>
      </c>
    </row>
    <row r="889" spans="1:13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region_summary__37[[#This Row],[APPROVED BY Pengawas]]+region_summary__37[[#This Row],[EDITED BY Admin Kabupaten]]</f>
        <v>0</v>
      </c>
    </row>
    <row r="890" spans="1:13" x14ac:dyDescent="0.25">
      <c r="A890" t="s">
        <v>106</v>
      </c>
      <c r="B890">
        <v>7172030015001400</v>
      </c>
      <c r="C890">
        <v>56</v>
      </c>
      <c r="D890">
        <v>46</v>
      </c>
      <c r="E890">
        <v>0</v>
      </c>
      <c r="F890">
        <v>0</v>
      </c>
      <c r="G890">
        <v>10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region_summary__37[[#This Row],[APPROVED BY Pengawas]]+region_summary__37[[#This Row],[EDITED BY Admin Kabupaten]]</f>
        <v>46</v>
      </c>
    </row>
    <row r="891" spans="1:13" x14ac:dyDescent="0.25">
      <c r="A891" t="s">
        <v>107</v>
      </c>
      <c r="B891">
        <v>7172030017000400</v>
      </c>
      <c r="C891">
        <v>124</v>
      </c>
      <c r="D891">
        <v>30</v>
      </c>
      <c r="E891">
        <v>13</v>
      </c>
      <c r="F891">
        <v>0</v>
      </c>
      <c r="G891">
        <v>66</v>
      </c>
      <c r="H891">
        <v>0</v>
      </c>
      <c r="I891">
        <v>3</v>
      </c>
      <c r="J891">
        <v>0</v>
      </c>
      <c r="K891">
        <v>12</v>
      </c>
      <c r="L891">
        <v>0</v>
      </c>
      <c r="M891">
        <f>region_summary__37[[#This Row],[APPROVED BY Pengawas]]+region_summary__37[[#This Row],[EDITED BY Admin Kabupaten]]</f>
        <v>30</v>
      </c>
    </row>
    <row r="892" spans="1:13" x14ac:dyDescent="0.25">
      <c r="A892" t="s">
        <v>107</v>
      </c>
      <c r="B892">
        <v>7172030017000700</v>
      </c>
      <c r="C892">
        <v>110</v>
      </c>
      <c r="D892">
        <v>49</v>
      </c>
      <c r="E892">
        <v>7</v>
      </c>
      <c r="F892">
        <v>0</v>
      </c>
      <c r="G892">
        <v>22</v>
      </c>
      <c r="H892">
        <v>0</v>
      </c>
      <c r="I892">
        <v>2</v>
      </c>
      <c r="J892">
        <v>0</v>
      </c>
      <c r="K892">
        <v>30</v>
      </c>
      <c r="L892">
        <v>0</v>
      </c>
      <c r="M892">
        <f>region_summary__37[[#This Row],[APPROVED BY Pengawas]]+region_summary__37[[#This Row],[EDITED BY Admin Kabupaten]]</f>
        <v>49</v>
      </c>
    </row>
    <row r="893" spans="1:13" x14ac:dyDescent="0.25">
      <c r="A893" t="s">
        <v>107</v>
      </c>
      <c r="B893">
        <v>7172030017000600</v>
      </c>
      <c r="C893">
        <v>97</v>
      </c>
      <c r="D893">
        <v>14</v>
      </c>
      <c r="E893">
        <v>9</v>
      </c>
      <c r="F893">
        <v>0</v>
      </c>
      <c r="G893">
        <v>57</v>
      </c>
      <c r="H893">
        <v>0</v>
      </c>
      <c r="I893">
        <v>0</v>
      </c>
      <c r="J893">
        <v>0</v>
      </c>
      <c r="K893">
        <v>17</v>
      </c>
      <c r="L893">
        <v>0</v>
      </c>
      <c r="M893">
        <f>region_summary__37[[#This Row],[APPROVED BY Pengawas]]+region_summary__37[[#This Row],[EDITED BY Admin Kabupaten]]</f>
        <v>14</v>
      </c>
    </row>
    <row r="894" spans="1:13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region_summary__37[[#This Row],[APPROVED BY Pengawas]]+region_summary__37[[#This Row],[EDITED BY Admin Kabupaten]]</f>
        <v>0</v>
      </c>
    </row>
    <row r="895" spans="1:13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0</v>
      </c>
      <c r="G895">
        <v>10</v>
      </c>
      <c r="H895">
        <v>0</v>
      </c>
      <c r="I895">
        <v>8</v>
      </c>
      <c r="J895">
        <v>0</v>
      </c>
      <c r="K895">
        <v>3</v>
      </c>
      <c r="L895">
        <v>0</v>
      </c>
      <c r="M895">
        <f>region_summary__37[[#This Row],[APPROVED BY Pengawas]]+region_summary__37[[#This Row],[EDITED BY Admin Kabupaten]]</f>
        <v>22</v>
      </c>
    </row>
    <row r="896" spans="1:13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2</v>
      </c>
      <c r="L896">
        <v>0</v>
      </c>
      <c r="M896">
        <f>region_summary__37[[#This Row],[APPROVED BY Pengawas]]+region_summary__37[[#This Row],[EDITED BY Admin Kabupaten]]</f>
        <v>1</v>
      </c>
    </row>
    <row r="897" spans="1:13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region_summary__37[[#This Row],[APPROVED BY Pengawas]]+region_summary__37[[#This Row],[EDITED BY Admin Kabupaten]]</f>
        <v>4</v>
      </c>
    </row>
    <row r="898" spans="1:13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0</v>
      </c>
      <c r="G898">
        <v>1</v>
      </c>
      <c r="H898">
        <v>0</v>
      </c>
      <c r="I898">
        <v>4</v>
      </c>
      <c r="J898">
        <v>0</v>
      </c>
      <c r="K898">
        <v>10</v>
      </c>
      <c r="L898">
        <v>0</v>
      </c>
      <c r="M898">
        <f>region_summary__37[[#This Row],[APPROVED BY Pengawas]]+region_summary__37[[#This Row],[EDITED BY Admin Kabupaten]]</f>
        <v>16</v>
      </c>
    </row>
    <row r="899" spans="1:13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region_summary__37[[#This Row],[APPROVED BY Pengawas]]+region_summary__37[[#This Row],[EDITED BY Admin Kabupaten]]</f>
        <v>0</v>
      </c>
    </row>
    <row r="900" spans="1:13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region_summary__37[[#This Row],[APPROVED BY Pengawas]]+region_summary__37[[#This Row],[EDITED BY Admin Kabupaten]]</f>
        <v>0</v>
      </c>
    </row>
    <row r="901" spans="1:13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0</v>
      </c>
      <c r="G901">
        <v>61</v>
      </c>
      <c r="H901">
        <v>0</v>
      </c>
      <c r="I901">
        <v>1</v>
      </c>
      <c r="J901">
        <v>0</v>
      </c>
      <c r="K901">
        <v>15</v>
      </c>
      <c r="L901">
        <v>0</v>
      </c>
      <c r="M901">
        <f>region_summary__37[[#This Row],[APPROVED BY Pengawas]]+region_summary__37[[#This Row],[EDITED BY Admin Kabupaten]]</f>
        <v>36</v>
      </c>
    </row>
    <row r="902" spans="1:13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0</v>
      </c>
      <c r="G902">
        <v>76</v>
      </c>
      <c r="H902">
        <v>0</v>
      </c>
      <c r="I902">
        <v>0</v>
      </c>
      <c r="J902">
        <v>0</v>
      </c>
      <c r="K902">
        <v>28</v>
      </c>
      <c r="L902">
        <v>0</v>
      </c>
      <c r="M902">
        <f>region_summary__37[[#This Row],[APPROVED BY Pengawas]]+region_summary__37[[#This Row],[EDITED BY Admin Kabupaten]]</f>
        <v>1</v>
      </c>
    </row>
    <row r="903" spans="1:13" x14ac:dyDescent="0.25">
      <c r="A903" t="s">
        <v>108</v>
      </c>
      <c r="B903">
        <v>7172030017001700</v>
      </c>
      <c r="C903">
        <v>99</v>
      </c>
      <c r="D903">
        <v>0</v>
      </c>
      <c r="E903">
        <v>17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11</v>
      </c>
      <c r="L903">
        <v>0</v>
      </c>
      <c r="M903">
        <f>region_summary__37[[#This Row],[APPROVED BY Pengawas]]+region_summary__37[[#This Row],[EDITED BY Admin Kabupaten]]</f>
        <v>0</v>
      </c>
    </row>
    <row r="904" spans="1:13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0</v>
      </c>
      <c r="G904">
        <v>68</v>
      </c>
      <c r="H904">
        <v>0</v>
      </c>
      <c r="I904">
        <v>0</v>
      </c>
      <c r="J904">
        <v>0</v>
      </c>
      <c r="K904">
        <v>23</v>
      </c>
      <c r="L904">
        <v>0</v>
      </c>
      <c r="M904">
        <f>region_summary__37[[#This Row],[APPROVED BY Pengawas]]+region_summary__37[[#This Row],[EDITED BY Admin Kabupaten]]</f>
        <v>0</v>
      </c>
    </row>
    <row r="905" spans="1:13" x14ac:dyDescent="0.25">
      <c r="A905" t="s">
        <v>108</v>
      </c>
      <c r="B905">
        <v>7172030017001400</v>
      </c>
      <c r="C905">
        <v>84</v>
      </c>
      <c r="D905">
        <v>67</v>
      </c>
      <c r="E905">
        <v>8</v>
      </c>
      <c r="F905">
        <v>0</v>
      </c>
      <c r="G905">
        <v>3</v>
      </c>
      <c r="H905">
        <v>0</v>
      </c>
      <c r="I905">
        <v>1</v>
      </c>
      <c r="J905">
        <v>0</v>
      </c>
      <c r="K905">
        <v>5</v>
      </c>
      <c r="L905">
        <v>0</v>
      </c>
      <c r="M905">
        <f>region_summary__37[[#This Row],[APPROVED BY Pengawas]]+region_summary__37[[#This Row],[EDITED BY Admin Kabupaten]]</f>
        <v>67</v>
      </c>
    </row>
    <row r="906" spans="1:13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0</v>
      </c>
      <c r="G906">
        <v>67</v>
      </c>
      <c r="H906">
        <v>0</v>
      </c>
      <c r="I906">
        <v>0</v>
      </c>
      <c r="J906">
        <v>0</v>
      </c>
      <c r="K906">
        <v>11</v>
      </c>
      <c r="L906">
        <v>0</v>
      </c>
      <c r="M906">
        <f>region_summary__37[[#This Row],[APPROVED BY Pengawas]]+region_summary__37[[#This Row],[EDITED BY Admin Kabupaten]]</f>
        <v>0</v>
      </c>
    </row>
    <row r="907" spans="1:13" x14ac:dyDescent="0.25">
      <c r="A907" t="s">
        <v>108</v>
      </c>
      <c r="B907">
        <v>7172030017001600</v>
      </c>
      <c r="C907">
        <v>66</v>
      </c>
      <c r="D907">
        <v>0</v>
      </c>
      <c r="E907">
        <v>4</v>
      </c>
      <c r="F907">
        <v>0</v>
      </c>
      <c r="G907">
        <v>34</v>
      </c>
      <c r="H907">
        <v>0</v>
      </c>
      <c r="I907">
        <v>0</v>
      </c>
      <c r="J907">
        <v>0</v>
      </c>
      <c r="K907">
        <v>28</v>
      </c>
      <c r="L907">
        <v>0</v>
      </c>
      <c r="M907">
        <f>region_summary__37[[#This Row],[APPROVED BY Pengawas]]+region_summary__37[[#This Row],[EDITED BY Admin Kabupaten]]</f>
        <v>0</v>
      </c>
    </row>
    <row r="908" spans="1:13" x14ac:dyDescent="0.25">
      <c r="A908" t="s">
        <v>110</v>
      </c>
      <c r="B908">
        <v>7172031002000100</v>
      </c>
      <c r="C908">
        <v>227</v>
      </c>
      <c r="D908">
        <v>180</v>
      </c>
      <c r="E908">
        <v>8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35</v>
      </c>
      <c r="L908">
        <v>0</v>
      </c>
      <c r="M908">
        <f>region_summary__37[[#This Row],[APPROVED BY Pengawas]]+region_summary__37[[#This Row],[EDITED BY Admin Kabupaten]]</f>
        <v>180</v>
      </c>
    </row>
    <row r="909" spans="1:13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0</v>
      </c>
      <c r="G909">
        <v>13</v>
      </c>
      <c r="H909">
        <v>0</v>
      </c>
      <c r="I909">
        <v>0</v>
      </c>
      <c r="J909">
        <v>0</v>
      </c>
      <c r="K909">
        <v>10</v>
      </c>
      <c r="L909">
        <v>0</v>
      </c>
      <c r="M909">
        <f>region_summary__37[[#This Row],[APPROVED BY Pengawas]]+region_summary__37[[#This Row],[EDITED BY Admin Kabupaten]]</f>
        <v>158</v>
      </c>
    </row>
    <row r="910" spans="1:13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123</v>
      </c>
      <c r="H910">
        <v>0</v>
      </c>
      <c r="I910">
        <v>0</v>
      </c>
      <c r="J910">
        <v>0</v>
      </c>
      <c r="K910">
        <v>4</v>
      </c>
      <c r="L910">
        <v>0</v>
      </c>
      <c r="M910">
        <f>region_summary__37[[#This Row],[APPROVED BY Pengawas]]+region_summary__37[[#This Row],[EDITED BY Admin Kabupaten]]</f>
        <v>0</v>
      </c>
    </row>
    <row r="911" spans="1:13" x14ac:dyDescent="0.25">
      <c r="A911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0</v>
      </c>
      <c r="H911">
        <v>0</v>
      </c>
      <c r="I911">
        <v>4</v>
      </c>
      <c r="J911">
        <v>0</v>
      </c>
      <c r="K911">
        <v>14</v>
      </c>
      <c r="L911">
        <v>0</v>
      </c>
      <c r="M911">
        <f>region_summary__37[[#This Row],[APPROVED BY Pengawas]]+region_summary__37[[#This Row],[EDITED BY Admin Kabupaten]]</f>
        <v>71</v>
      </c>
    </row>
    <row r="912" spans="1:13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f>region_summary__37[[#This Row],[APPROVED BY Pengawas]]+region_summary__37[[#This Row],[EDITED BY Admin Kabupaten]]</f>
        <v>92</v>
      </c>
    </row>
    <row r="913" spans="1:13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region_summary__37[[#This Row],[APPROVED BY Pengawas]]+region_summary__37[[#This Row],[EDITED BY Admin Kabupaten]]</f>
        <v>103</v>
      </c>
    </row>
    <row r="914" spans="1:13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0</v>
      </c>
      <c r="G914">
        <v>66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region_summary__37[[#This Row],[APPROVED BY Pengawas]]+region_summary__37[[#This Row],[EDITED BY Admin Kabupaten]]</f>
        <v>29</v>
      </c>
    </row>
    <row r="915" spans="1:13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region_summary__37[[#This Row],[APPROVED BY Pengawas]]+region_summary__37[[#This Row],[EDITED BY Admin Kabupaten]]</f>
        <v>4</v>
      </c>
    </row>
    <row r="916" spans="1:13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region_summary__37[[#This Row],[APPROVED BY Pengawas]]+region_summary__37[[#This Row],[EDITED BY Admin Kabupaten]]</f>
        <v>0</v>
      </c>
    </row>
    <row r="917" spans="1:13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region_summary__37[[#This Row],[APPROVED BY Pengawas]]+region_summary__37[[#This Row],[EDITED BY Admin Kabupaten]]</f>
        <v>20</v>
      </c>
    </row>
    <row r="918" spans="1:13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region_summary__37[[#This Row],[APPROVED BY Pengawas]]+region_summary__37[[#This Row],[EDITED BY Admin Kabupaten]]</f>
        <v>0</v>
      </c>
    </row>
    <row r="919" spans="1:13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region_summary__37[[#This Row],[APPROVED BY Pengawas]]+region_summary__37[[#This Row],[EDITED BY Admin Kabupaten]]</f>
        <v>0</v>
      </c>
    </row>
    <row r="920" spans="1:13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0</v>
      </c>
      <c r="G920">
        <v>77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region_summary__37[[#This Row],[APPROVED BY Pengawas]]+region_summary__37[[#This Row],[EDITED BY Admin Kabupaten]]</f>
        <v>39</v>
      </c>
    </row>
    <row r="921" spans="1:13" x14ac:dyDescent="0.25">
      <c r="A921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region_summary__37[[#This Row],[APPROVED BY Pengawas]]+region_summary__37[[#This Row],[EDITED BY Admin Kabupaten]]</f>
        <v>95</v>
      </c>
    </row>
    <row r="922" spans="1:13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region_summary__37[[#This Row],[APPROVED BY Pengawas]]+region_summary__37[[#This Row],[EDITED BY Admin Kabupaten]]</f>
        <v>53</v>
      </c>
    </row>
    <row r="923" spans="1:13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region_summary__37[[#This Row],[APPROVED BY Pengawas]]+region_summary__37[[#This Row],[EDITED BY Admin Kabupaten]]</f>
        <v>0</v>
      </c>
    </row>
    <row r="924" spans="1:13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region_summary__37[[#This Row],[APPROVED BY Pengawas]]+region_summary__37[[#This Row],[EDITED BY Admin Kabupaten]]</f>
        <v>0</v>
      </c>
    </row>
    <row r="925" spans="1:13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region_summary__37[[#This Row],[APPROVED BY Pengawas]]+region_summary__37[[#This Row],[EDITED BY Admin Kabupaten]]</f>
        <v>57</v>
      </c>
    </row>
    <row r="926" spans="1:13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region_summary__37[[#This Row],[APPROVED BY Pengawas]]+region_summary__37[[#This Row],[EDITED BY Admin Kabupaten]]</f>
        <v>1</v>
      </c>
    </row>
    <row r="927" spans="1:13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region_summary__37[[#This Row],[APPROVED BY Pengawas]]+region_summary__37[[#This Row],[EDITED BY Admin Kabupaten]]</f>
        <v>30</v>
      </c>
    </row>
    <row r="928" spans="1:13" x14ac:dyDescent="0.25">
      <c r="A928" t="s">
        <v>115</v>
      </c>
      <c r="B928">
        <v>7172031003002000</v>
      </c>
      <c r="C928">
        <v>199</v>
      </c>
      <c r="D928">
        <v>140</v>
      </c>
      <c r="E928">
        <v>5</v>
      </c>
      <c r="F928">
        <v>38</v>
      </c>
      <c r="G928">
        <v>13</v>
      </c>
      <c r="H928">
        <v>0</v>
      </c>
      <c r="I928">
        <v>3</v>
      </c>
      <c r="J928">
        <v>0</v>
      </c>
      <c r="K928">
        <v>0</v>
      </c>
      <c r="L928">
        <v>0</v>
      </c>
      <c r="M928">
        <f>region_summary__37[[#This Row],[APPROVED BY Pengawas]]+region_summary__37[[#This Row],[EDITED BY Admin Kabupaten]]</f>
        <v>178</v>
      </c>
    </row>
    <row r="929" spans="1:13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region_summary__37[[#This Row],[APPROVED BY Pengawas]]+region_summary__37[[#This Row],[EDITED BY Admin Kabupaten]]</f>
        <v>44</v>
      </c>
    </row>
    <row r="930" spans="1:13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0</v>
      </c>
      <c r="G930">
        <v>101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region_summary__37[[#This Row],[APPROVED BY Pengawas]]+region_summary__37[[#This Row],[EDITED BY Admin Kabupaten]]</f>
        <v>37</v>
      </c>
    </row>
    <row r="931" spans="1:13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0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region_summary__37[[#This Row],[APPROVED BY Pengawas]]+region_summary__37[[#This Row],[EDITED BY Admin Kabupaten]]</f>
        <v>28</v>
      </c>
    </row>
    <row r="932" spans="1:13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region_summary__37[[#This Row],[APPROVED BY Pengawas]]+region_summary__37[[#This Row],[EDITED BY Admin Kabupaten]]</f>
        <v>0</v>
      </c>
    </row>
    <row r="933" spans="1:13" x14ac:dyDescent="0.25">
      <c r="A933" t="s">
        <v>243</v>
      </c>
      <c r="B933">
        <v>7172031003001800</v>
      </c>
      <c r="C933">
        <v>146</v>
      </c>
      <c r="D933">
        <v>109</v>
      </c>
      <c r="E933">
        <v>0</v>
      </c>
      <c r="F933">
        <v>23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region_summary__37[[#This Row],[APPROVED BY Pengawas]]+region_summary__37[[#This Row],[EDITED BY Admin Kabupaten]]</f>
        <v>132</v>
      </c>
    </row>
    <row r="934" spans="1:13" x14ac:dyDescent="0.25">
      <c r="A934" t="s">
        <v>243</v>
      </c>
      <c r="B934">
        <v>7172031003002500</v>
      </c>
      <c r="C934">
        <v>108</v>
      </c>
      <c r="D934">
        <v>75</v>
      </c>
      <c r="E934">
        <v>2</v>
      </c>
      <c r="F934">
        <v>12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region_summary__37[[#This Row],[APPROVED BY Pengawas]]+region_summary__37[[#This Row],[EDITED BY Admin Kabupaten]]</f>
        <v>87</v>
      </c>
    </row>
    <row r="935" spans="1:13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region_summary__37[[#This Row],[APPROVED BY Pengawas]]+region_summary__37[[#This Row],[EDITED BY Admin Kabupaten]]</f>
        <v>3</v>
      </c>
    </row>
    <row r="936" spans="1:13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region_summary__37[[#This Row],[APPROVED BY Pengawas]]+region_summary__37[[#This Row],[EDITED BY Admin Kabupaten]]</f>
        <v>0</v>
      </c>
    </row>
    <row r="937" spans="1:13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0</v>
      </c>
      <c r="G937">
        <v>36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region_summary__37[[#This Row],[APPROVED BY Pengawas]]+region_summary__37[[#This Row],[EDITED BY Admin Kabupaten]]</f>
        <v>36</v>
      </c>
    </row>
    <row r="938" spans="1:13" x14ac:dyDescent="0.25">
      <c r="A938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region_summary__37[[#This Row],[APPROVED BY Pengawas]]+region_summary__37[[#This Row],[EDITED BY Admin Kabupaten]]</f>
        <v>51</v>
      </c>
    </row>
    <row r="939" spans="1:13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region_summary__37[[#This Row],[APPROVED BY Pengawas]]+region_summary__37[[#This Row],[EDITED BY Admin Kabupaten]]</f>
        <v>1</v>
      </c>
    </row>
    <row r="940" spans="1:13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region_summary__37[[#This Row],[APPROVED BY Pengawas]]+region_summary__37[[#This Row],[EDITED BY Admin Kabupaten]]</f>
        <v>23</v>
      </c>
    </row>
    <row r="941" spans="1:13" x14ac:dyDescent="0.25">
      <c r="A941" t="s">
        <v>117</v>
      </c>
      <c r="B941">
        <v>7172031004000900</v>
      </c>
      <c r="C941">
        <v>79</v>
      </c>
      <c r="D941">
        <v>67</v>
      </c>
      <c r="E941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region_summary__37[[#This Row],[APPROVED BY Pengawas]]+region_summary__37[[#This Row],[EDITED BY Admin Kabupaten]]</f>
        <v>76</v>
      </c>
    </row>
    <row r="942" spans="1:13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region_summary__37[[#This Row],[APPROVED BY Pengawas]]+region_summary__37[[#This Row],[EDITED BY Admin Kabupaten]]</f>
        <v>15</v>
      </c>
    </row>
    <row r="943" spans="1:13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region_summary__37[[#This Row],[APPROVED BY Pengawas]]+region_summary__37[[#This Row],[EDITED BY Admin Kabupaten]]</f>
        <v>21</v>
      </c>
    </row>
    <row r="944" spans="1:13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region_summary__37[[#This Row],[APPROVED BY Pengawas]]+region_summary__37[[#This Row],[EDITED BY Admin Kabupaten]]</f>
        <v>15</v>
      </c>
    </row>
    <row r="945" spans="1:13" x14ac:dyDescent="0.25">
      <c r="A945" t="s">
        <v>117</v>
      </c>
      <c r="B945">
        <v>7172031004001000</v>
      </c>
      <c r="C945">
        <v>49</v>
      </c>
      <c r="D945">
        <v>13</v>
      </c>
      <c r="E945">
        <v>32</v>
      </c>
      <c r="F945">
        <v>0</v>
      </c>
      <c r="G945">
        <v>4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region_summary__37[[#This Row],[APPROVED BY Pengawas]]+region_summary__37[[#This Row],[EDITED BY Admin Kabupaten]]</f>
        <v>13</v>
      </c>
    </row>
    <row r="946" spans="1:13" x14ac:dyDescent="0.25">
      <c r="A946" t="s">
        <v>117</v>
      </c>
      <c r="B946">
        <v>7172031004001100</v>
      </c>
      <c r="C946">
        <v>48</v>
      </c>
      <c r="D946">
        <v>8</v>
      </c>
      <c r="E946">
        <v>0</v>
      </c>
      <c r="F946">
        <v>0</v>
      </c>
      <c r="G946">
        <v>40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region_summary__37[[#This Row],[APPROVED BY Pengawas]]+region_summary__37[[#This Row],[EDITED BY Admin Kabupaten]]</f>
        <v>8</v>
      </c>
    </row>
    <row r="947" spans="1:13" x14ac:dyDescent="0.25">
      <c r="A947" t="s">
        <v>117</v>
      </c>
      <c r="B947">
        <v>7172031004000500</v>
      </c>
      <c r="C947">
        <v>47</v>
      </c>
      <c r="D947">
        <v>19</v>
      </c>
      <c r="E947">
        <v>22</v>
      </c>
      <c r="F947">
        <v>0</v>
      </c>
      <c r="G947">
        <v>4</v>
      </c>
      <c r="H947">
        <v>0</v>
      </c>
      <c r="I947">
        <v>0</v>
      </c>
      <c r="J947">
        <v>0</v>
      </c>
      <c r="K947">
        <v>2</v>
      </c>
      <c r="L947">
        <v>0</v>
      </c>
      <c r="M947">
        <f>region_summary__37[[#This Row],[APPROVED BY Pengawas]]+region_summary__37[[#This Row],[EDITED BY Admin Kabupaten]]</f>
        <v>19</v>
      </c>
    </row>
    <row r="948" spans="1:13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region_summary__37[[#This Row],[APPROVED BY Pengawas]]+region_summary__37[[#This Row],[EDITED BY Admin Kabupaten]]</f>
        <v>10</v>
      </c>
    </row>
    <row r="949" spans="1:13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region_summary__37[[#This Row],[APPROVED BY Pengawas]]+region_summary__37[[#This Row],[EDITED BY Admin Kabupaten]]</f>
        <v>14</v>
      </c>
    </row>
    <row r="950" spans="1:13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region_summary__37[[#This Row],[APPROVED BY Pengawas]]+region_summary__37[[#This Row],[EDITED BY Admin Kabupaten]]</f>
        <v>12</v>
      </c>
    </row>
    <row r="951" spans="1:13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region_summary__37[[#This Row],[APPROVED BY Pengawas]]+region_summary__37[[#This Row],[EDITED BY Admin Kabupaten]]</f>
        <v>221</v>
      </c>
    </row>
    <row r="952" spans="1:13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region_summary__37[[#This Row],[APPROVED BY Pengawas]]+region_summary__37[[#This Row],[EDITED BY Admin Kabupaten]]</f>
        <v>15</v>
      </c>
    </row>
    <row r="953" spans="1:13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region_summary__37[[#This Row],[APPROVED BY Pengawas]]+region_summary__37[[#This Row],[EDITED BY Admin Kabupaten]]</f>
        <v>0</v>
      </c>
    </row>
    <row r="954" spans="1:13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region_summary__37[[#This Row],[APPROVED BY Pengawas]]+region_summary__37[[#This Row],[EDITED BY Admin Kabupaten]]</f>
        <v>0</v>
      </c>
    </row>
    <row r="955" spans="1:13" x14ac:dyDescent="0.25">
      <c r="A955" t="s">
        <v>120</v>
      </c>
      <c r="B955">
        <v>7172031006000102</v>
      </c>
      <c r="C955">
        <v>78</v>
      </c>
      <c r="D955">
        <v>30</v>
      </c>
      <c r="E955">
        <v>32</v>
      </c>
      <c r="F955">
        <v>0</v>
      </c>
      <c r="G955">
        <v>16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region_summary__37[[#This Row],[APPROVED BY Pengawas]]+region_summary__37[[#This Row],[EDITED BY Admin Kabupaten]]</f>
        <v>30</v>
      </c>
    </row>
    <row r="956" spans="1:13" x14ac:dyDescent="0.25">
      <c r="A956" t="s">
        <v>122</v>
      </c>
      <c r="B956">
        <v>7172031006000900</v>
      </c>
      <c r="C956">
        <v>192</v>
      </c>
      <c r="D956">
        <v>126</v>
      </c>
      <c r="E956">
        <v>18</v>
      </c>
      <c r="F956">
        <v>0</v>
      </c>
      <c r="G956">
        <v>46</v>
      </c>
      <c r="H956">
        <v>0</v>
      </c>
      <c r="I956">
        <v>2</v>
      </c>
      <c r="J956">
        <v>0</v>
      </c>
      <c r="K956">
        <v>0</v>
      </c>
      <c r="L956">
        <v>0</v>
      </c>
      <c r="M956">
        <f>region_summary__37[[#This Row],[APPROVED BY Pengawas]]+region_summary__37[[#This Row],[EDITED BY Admin Kabupaten]]</f>
        <v>126</v>
      </c>
    </row>
    <row r="957" spans="1:13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region_summary__37[[#This Row],[APPROVED BY Pengawas]]+region_summary__37[[#This Row],[EDITED BY Admin Kabupaten]]</f>
        <v>0</v>
      </c>
    </row>
    <row r="958" spans="1:13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region_summary__37[[#This Row],[APPROVED BY Pengawas]]+region_summary__37[[#This Row],[EDITED BY Admin Kabupaten]]</f>
        <v>110</v>
      </c>
    </row>
    <row r="959" spans="1:13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region_summary__37[[#This Row],[APPROVED BY Pengawas]]+region_summary__37[[#This Row],[EDITED BY Admin Kabupaten]]</f>
        <v>0</v>
      </c>
    </row>
    <row r="960" spans="1:13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region_summary__37[[#This Row],[APPROVED BY Pengawas]]+region_summary__37[[#This Row],[EDITED BY Admin Kabupaten]]</f>
        <v>0</v>
      </c>
    </row>
    <row r="961" spans="1:13" x14ac:dyDescent="0.25">
      <c r="A961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0</v>
      </c>
      <c r="H961">
        <v>0</v>
      </c>
      <c r="I961">
        <v>5</v>
      </c>
      <c r="J961">
        <v>0</v>
      </c>
      <c r="K961">
        <v>1</v>
      </c>
      <c r="L961">
        <v>0</v>
      </c>
      <c r="M961">
        <f>region_summary__37[[#This Row],[APPROVED BY Pengawas]]+region_summary__37[[#This Row],[EDITED BY Admin Kabupaten]]</f>
        <v>156</v>
      </c>
    </row>
    <row r="962" spans="1:13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0</v>
      </c>
      <c r="G962">
        <v>9</v>
      </c>
      <c r="H962">
        <v>0</v>
      </c>
      <c r="I962">
        <v>3</v>
      </c>
      <c r="J962">
        <v>0</v>
      </c>
      <c r="K962">
        <v>0</v>
      </c>
      <c r="L962">
        <v>0</v>
      </c>
      <c r="M962">
        <f>region_summary__37[[#This Row],[APPROVED BY Pengawas]]+region_summary__37[[#This Row],[EDITED BY Admin Kabupaten]]</f>
        <v>122</v>
      </c>
    </row>
    <row r="963" spans="1:13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region_summary__37[[#This Row],[APPROVED BY Pengawas]]+region_summary__37[[#This Row],[EDITED BY Admin Kabupaten]]</f>
        <v>0</v>
      </c>
    </row>
    <row r="964" spans="1:13" x14ac:dyDescent="0.25">
      <c r="A964" t="s">
        <v>124</v>
      </c>
      <c r="B964">
        <v>7172031006001600</v>
      </c>
      <c r="C964">
        <v>97</v>
      </c>
      <c r="D964">
        <v>50</v>
      </c>
      <c r="E964">
        <v>16</v>
      </c>
      <c r="F964">
        <v>0</v>
      </c>
      <c r="G964">
        <v>25</v>
      </c>
      <c r="H964">
        <v>0</v>
      </c>
      <c r="I964">
        <v>1</v>
      </c>
      <c r="J964">
        <v>0</v>
      </c>
      <c r="K964">
        <v>5</v>
      </c>
      <c r="L964">
        <v>0</v>
      </c>
      <c r="M964">
        <f>region_summary__37[[#This Row],[APPROVED BY Pengawas]]+region_summary__37[[#This Row],[EDITED BY Admin Kabupaten]]</f>
        <v>50</v>
      </c>
    </row>
    <row r="965" spans="1:13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region_summary__37[[#This Row],[APPROVED BY Pengawas]]+region_summary__37[[#This Row],[EDITED BY Admin Kabupaten]]</f>
        <v>0</v>
      </c>
    </row>
    <row r="966" spans="1:13" x14ac:dyDescent="0.25">
      <c r="A966" t="s">
        <v>127</v>
      </c>
      <c r="B966">
        <v>7172031007001600</v>
      </c>
      <c r="C966">
        <v>137</v>
      </c>
      <c r="D966">
        <v>83</v>
      </c>
      <c r="E966">
        <v>5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region_summary__37[[#This Row],[APPROVED BY Pengawas]]+region_summary__37[[#This Row],[EDITED BY Admin Kabupaten]]</f>
        <v>83</v>
      </c>
    </row>
    <row r="967" spans="1:13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0</v>
      </c>
      <c r="G967">
        <v>100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region_summary__37[[#This Row],[APPROVED BY Pengawas]]+region_summary__37[[#This Row],[EDITED BY Admin Kabupaten]]</f>
        <v>17</v>
      </c>
    </row>
    <row r="968" spans="1:13" x14ac:dyDescent="0.25">
      <c r="A968" t="s">
        <v>127</v>
      </c>
      <c r="B968">
        <v>7172031007001200</v>
      </c>
      <c r="C968">
        <v>106</v>
      </c>
      <c r="D968">
        <v>88</v>
      </c>
      <c r="E968">
        <v>4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region_summary__37[[#This Row],[APPROVED BY Pengawas]]+region_summary__37[[#This Row],[EDITED BY Admin Kabupaten]]</f>
        <v>88</v>
      </c>
    </row>
    <row r="969" spans="1:13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0</v>
      </c>
      <c r="G969">
        <v>5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region_summary__37[[#This Row],[APPROVED BY Pengawas]]+region_summary__37[[#This Row],[EDITED BY Admin Kabupaten]]</f>
        <v>94</v>
      </c>
    </row>
    <row r="970" spans="1:13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region_summary__37[[#This Row],[APPROVED BY Pengawas]]+region_summary__37[[#This Row],[EDITED BY Admin Kabupaten]]</f>
        <v>0</v>
      </c>
    </row>
    <row r="971" spans="1:13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region_summary__37[[#This Row],[APPROVED BY Pengawas]]+region_summary__37[[#This Row],[EDITED BY Admin Kabupaten]]</f>
        <v>0</v>
      </c>
    </row>
    <row r="972" spans="1:13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region_summary__37[[#This Row],[APPROVED BY Pengawas]]+region_summary__37[[#This Row],[EDITED BY Admin Kabupaten]]</f>
        <v>92</v>
      </c>
    </row>
    <row r="973" spans="1:13" x14ac:dyDescent="0.25">
      <c r="A973" t="s">
        <v>129</v>
      </c>
      <c r="B973">
        <v>7172031008000900</v>
      </c>
      <c r="C973">
        <v>89</v>
      </c>
      <c r="D973">
        <v>8</v>
      </c>
      <c r="E973">
        <v>22</v>
      </c>
      <c r="F973">
        <v>0</v>
      </c>
      <c r="G973">
        <v>59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region_summary__37[[#This Row],[APPROVED BY Pengawas]]+region_summary__37[[#This Row],[EDITED BY Admin Kabupaten]]</f>
        <v>8</v>
      </c>
    </row>
    <row r="974" spans="1:13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region_summary__37[[#This Row],[APPROVED BY Pengawas]]+region_summary__37[[#This Row],[EDITED BY Admin Kabupaten]]</f>
        <v>0</v>
      </c>
    </row>
    <row r="975" spans="1:13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region_summary__37[[#This Row],[APPROVED BY Pengawas]]+region_summary__37[[#This Row],[EDITED BY Admin Kabupaten]]</f>
        <v>0</v>
      </c>
    </row>
    <row r="976" spans="1:13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region_summary__37[[#This Row],[APPROVED BY Pengawas]]+region_summary__37[[#This Row],[EDITED BY Admin Kabupaten]]</f>
        <v>0</v>
      </c>
    </row>
    <row r="977" spans="1:13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region_summary__37[[#This Row],[APPROVED BY Pengawas]]+region_summary__37[[#This Row],[EDITED BY Admin Kabupaten]]</f>
        <v>0</v>
      </c>
    </row>
    <row r="978" spans="1:13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region_summary__37[[#This Row],[APPROVED BY Pengawas]]+region_summary__37[[#This Row],[EDITED BY Admin Kabupaten]]</f>
        <v>47</v>
      </c>
    </row>
    <row r="979" spans="1:13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region_summary__37[[#This Row],[APPROVED BY Pengawas]]+region_summary__37[[#This Row],[EDITED BY Admin Kabupaten]]</f>
        <v>39</v>
      </c>
    </row>
    <row r="980" spans="1:13" x14ac:dyDescent="0.25">
      <c r="A980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region_summary__37[[#This Row],[APPROVED BY Pengawas]]+region_summary__37[[#This Row],[EDITED BY Admin Kabupaten]]</f>
        <v>25</v>
      </c>
    </row>
    <row r="981" spans="1:13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region_summary__37[[#This Row],[APPROVED BY Pengawas]]+region_summary__37[[#This Row],[EDITED BY Admin Kabupaten]]</f>
        <v>19</v>
      </c>
    </row>
    <row r="982" spans="1:13" x14ac:dyDescent="0.25">
      <c r="A982" t="s">
        <v>130</v>
      </c>
      <c r="B982">
        <v>7172040009000500</v>
      </c>
      <c r="C982">
        <v>96</v>
      </c>
      <c r="D982">
        <v>0</v>
      </c>
      <c r="E982">
        <v>23</v>
      </c>
      <c r="F982">
        <v>0</v>
      </c>
      <c r="G982">
        <v>36</v>
      </c>
      <c r="H982">
        <v>0</v>
      </c>
      <c r="I982">
        <v>0</v>
      </c>
      <c r="J982">
        <v>0</v>
      </c>
      <c r="K982">
        <v>37</v>
      </c>
      <c r="L982">
        <v>0</v>
      </c>
      <c r="M982">
        <f>region_summary__37[[#This Row],[APPROVED BY Pengawas]]+region_summary__37[[#This Row],[EDITED BY Admin Kabupaten]]</f>
        <v>0</v>
      </c>
    </row>
    <row r="983" spans="1:13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region_summary__37[[#This Row],[APPROVED BY Pengawas]]+region_summary__37[[#This Row],[EDITED BY Admin Kabupaten]]</f>
        <v>0</v>
      </c>
    </row>
    <row r="984" spans="1:13" x14ac:dyDescent="0.25">
      <c r="A984" t="s">
        <v>130</v>
      </c>
      <c r="B984">
        <v>7172040009000600</v>
      </c>
      <c r="C984">
        <v>84</v>
      </c>
      <c r="D984">
        <v>42</v>
      </c>
      <c r="E984">
        <v>10</v>
      </c>
      <c r="F984">
        <v>0</v>
      </c>
      <c r="G984">
        <v>12</v>
      </c>
      <c r="H984">
        <v>0</v>
      </c>
      <c r="I984">
        <v>7</v>
      </c>
      <c r="J984">
        <v>0</v>
      </c>
      <c r="K984">
        <v>13</v>
      </c>
      <c r="L984">
        <v>0</v>
      </c>
      <c r="M984">
        <f>region_summary__37[[#This Row],[APPROVED BY Pengawas]]+region_summary__37[[#This Row],[EDITED BY Admin Kabupaten]]</f>
        <v>42</v>
      </c>
    </row>
    <row r="985" spans="1:13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region_summary__37[[#This Row],[APPROVED BY Pengawas]]+region_summary__37[[#This Row],[EDITED BY Admin Kabupaten]]</f>
        <v>0</v>
      </c>
    </row>
    <row r="986" spans="1:13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region_summary__37[[#This Row],[APPROVED BY Pengawas]]+region_summary__37[[#This Row],[EDITED BY Admin Kabupaten]]</f>
        <v>0</v>
      </c>
    </row>
    <row r="987" spans="1:13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region_summary__37[[#This Row],[APPROVED BY Pengawas]]+region_summary__37[[#This Row],[EDITED BY Admin Kabupaten]]</f>
        <v>0</v>
      </c>
    </row>
    <row r="988" spans="1:13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region_summary__37[[#This Row],[APPROVED BY Pengawas]]+region_summary__37[[#This Row],[EDITED BY Admin Kabupaten]]</f>
        <v>0</v>
      </c>
    </row>
    <row r="989" spans="1:13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region_summary__37[[#This Row],[APPROVED BY Pengawas]]+region_summary__37[[#This Row],[EDITED BY Admin Kabupaten]]</f>
        <v>0</v>
      </c>
    </row>
    <row r="990" spans="1:13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region_summary__37[[#This Row],[APPROVED BY Pengawas]]+region_summary__37[[#This Row],[EDITED BY Admin Kabupaten]]</f>
        <v>0</v>
      </c>
    </row>
    <row r="991" spans="1:13" x14ac:dyDescent="0.25">
      <c r="A991" t="s">
        <v>132</v>
      </c>
      <c r="B991">
        <v>7172040003000601</v>
      </c>
      <c r="C991">
        <v>198</v>
      </c>
      <c r="D991">
        <v>177</v>
      </c>
      <c r="E991">
        <v>18</v>
      </c>
      <c r="F991">
        <v>0</v>
      </c>
      <c r="G991">
        <v>2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region_summary__37[[#This Row],[APPROVED BY Pengawas]]+region_summary__37[[#This Row],[EDITED BY Admin Kabupaten]]</f>
        <v>177</v>
      </c>
    </row>
    <row r="992" spans="1:13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region_summary__37[[#This Row],[APPROVED BY Pengawas]]+region_summary__37[[#This Row],[EDITED BY Admin Kabupaten]]</f>
        <v>6</v>
      </c>
    </row>
    <row r="993" spans="1:13" x14ac:dyDescent="0.25">
      <c r="A993" t="s">
        <v>132</v>
      </c>
      <c r="B993">
        <v>7172040005001900</v>
      </c>
      <c r="C993">
        <v>97</v>
      </c>
      <c r="D993">
        <v>21</v>
      </c>
      <c r="E993">
        <v>4</v>
      </c>
      <c r="F993">
        <v>0</v>
      </c>
      <c r="G993">
        <v>72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region_summary__37[[#This Row],[APPROVED BY Pengawas]]+region_summary__37[[#This Row],[EDITED BY Admin Kabupaten]]</f>
        <v>21</v>
      </c>
    </row>
    <row r="994" spans="1:13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region_summary__37[[#This Row],[APPROVED BY Pengawas]]+region_summary__37[[#This Row],[EDITED BY Admin Kabupaten]]</f>
        <v>0</v>
      </c>
    </row>
    <row r="995" spans="1:13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0</v>
      </c>
      <c r="G995">
        <v>22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region_summary__37[[#This Row],[APPROVED BY Pengawas]]+region_summary__37[[#This Row],[EDITED BY Admin Kabupaten]]</f>
        <v>37</v>
      </c>
    </row>
    <row r="996" spans="1:13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region_summary__37[[#This Row],[APPROVED BY Pengawas]]+region_summary__37[[#This Row],[EDITED BY Admin Kabupaten]]</f>
        <v>66</v>
      </c>
    </row>
    <row r="997" spans="1:13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0</v>
      </c>
      <c r="G997">
        <v>84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region_summary__37[[#This Row],[APPROVED BY Pengawas]]+region_summary__37[[#This Row],[EDITED BY Admin Kabupaten]]</f>
        <v>53</v>
      </c>
    </row>
    <row r="998" spans="1:13" x14ac:dyDescent="0.25">
      <c r="A998" t="s">
        <v>133</v>
      </c>
      <c r="B998">
        <v>7172040003000602</v>
      </c>
      <c r="C998">
        <v>98</v>
      </c>
      <c r="D998">
        <v>92</v>
      </c>
      <c r="E998">
        <v>1</v>
      </c>
      <c r="F998">
        <v>0</v>
      </c>
      <c r="G998">
        <v>2</v>
      </c>
      <c r="H998">
        <v>0</v>
      </c>
      <c r="I998">
        <v>0</v>
      </c>
      <c r="J998">
        <v>0</v>
      </c>
      <c r="K998">
        <v>2</v>
      </c>
      <c r="L998">
        <v>1</v>
      </c>
      <c r="M998">
        <f>region_summary__37[[#This Row],[APPROVED BY Pengawas]]+region_summary__37[[#This Row],[EDITED BY Admin Kabupaten]]</f>
        <v>92</v>
      </c>
    </row>
    <row r="999" spans="1:13" x14ac:dyDescent="0.25">
      <c r="A999" t="s">
        <v>133</v>
      </c>
      <c r="B999">
        <v>7172040003000400</v>
      </c>
      <c r="C999">
        <v>75</v>
      </c>
      <c r="D999">
        <v>12</v>
      </c>
      <c r="E999">
        <v>0</v>
      </c>
      <c r="F999">
        <v>0</v>
      </c>
      <c r="G999">
        <v>63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region_summary__37[[#This Row],[APPROVED BY Pengawas]]+region_summary__37[[#This Row],[EDITED BY Admin Kabupaten]]</f>
        <v>12</v>
      </c>
    </row>
    <row r="1000" spans="1:13" x14ac:dyDescent="0.25">
      <c r="A1000" t="s">
        <v>133</v>
      </c>
      <c r="B1000">
        <v>7172040003000700</v>
      </c>
      <c r="C1000">
        <v>75</v>
      </c>
      <c r="D1000">
        <v>16</v>
      </c>
      <c r="E1000">
        <v>0</v>
      </c>
      <c r="F1000">
        <v>0</v>
      </c>
      <c r="G1000">
        <v>59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region_summary__37[[#This Row],[APPROVED BY Pengawas]]+region_summary__37[[#This Row],[EDITED BY Admin Kabupaten]]</f>
        <v>16</v>
      </c>
    </row>
    <row r="1001" spans="1:13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region_summary__37[[#This Row],[APPROVED BY Pengawas]]+region_summary__37[[#This Row],[EDITED BY Admin Kabupaten]]</f>
        <v>0</v>
      </c>
    </row>
    <row r="1002" spans="1:13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region_summary__37[[#This Row],[APPROVED BY Pengawas]]+region_summary__37[[#This Row],[EDITED BY Admin Kabupaten]]</f>
        <v>0</v>
      </c>
    </row>
    <row r="1003" spans="1:13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region_summary__37[[#This Row],[APPROVED BY Pengawas]]+region_summary__37[[#This Row],[EDITED BY Admin Kabupaten]]</f>
        <v>0</v>
      </c>
    </row>
    <row r="1004" spans="1:13" x14ac:dyDescent="0.25">
      <c r="A1004" t="s">
        <v>136</v>
      </c>
      <c r="B1004">
        <v>7172040004000500</v>
      </c>
      <c r="C1004">
        <v>90</v>
      </c>
      <c r="D1004">
        <v>5</v>
      </c>
      <c r="E1004">
        <v>0</v>
      </c>
      <c r="F1004">
        <v>0</v>
      </c>
      <c r="G1004">
        <v>85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region_summary__37[[#This Row],[APPROVED BY Pengawas]]+region_summary__37[[#This Row],[EDITED BY Admin Kabupaten]]</f>
        <v>5</v>
      </c>
    </row>
    <row r="1005" spans="1:13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region_summary__37[[#This Row],[APPROVED BY Pengawas]]+region_summary__37[[#This Row],[EDITED BY Admin Kabupaten]]</f>
        <v>0</v>
      </c>
    </row>
    <row r="1006" spans="1:13" x14ac:dyDescent="0.25">
      <c r="A1006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region_summary__37[[#This Row],[APPROVED BY Pengawas]]+region_summary__37[[#This Row],[EDITED BY Admin Kabupaten]]</f>
        <v>45</v>
      </c>
    </row>
    <row r="1007" spans="1:13" x14ac:dyDescent="0.25">
      <c r="A1007" t="s">
        <v>136</v>
      </c>
      <c r="B1007">
        <v>7172040004000100</v>
      </c>
      <c r="C1007">
        <v>54</v>
      </c>
      <c r="D1007">
        <v>4</v>
      </c>
      <c r="E1007">
        <v>0</v>
      </c>
      <c r="F1007">
        <v>0</v>
      </c>
      <c r="G1007">
        <v>50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region_summary__37[[#This Row],[APPROVED BY Pengawas]]+region_summary__37[[#This Row],[EDITED BY Admin Kabupaten]]</f>
        <v>4</v>
      </c>
    </row>
    <row r="1008" spans="1:13" x14ac:dyDescent="0.25">
      <c r="A1008" t="s">
        <v>136</v>
      </c>
      <c r="B1008">
        <v>7172040008000300</v>
      </c>
      <c r="C1008">
        <v>52</v>
      </c>
      <c r="D1008">
        <v>42</v>
      </c>
      <c r="E1008">
        <v>8</v>
      </c>
      <c r="F1008">
        <v>0</v>
      </c>
      <c r="G1008">
        <v>2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region_summary__37[[#This Row],[APPROVED BY Pengawas]]+region_summary__37[[#This Row],[EDITED BY Admin Kabupaten]]</f>
        <v>42</v>
      </c>
    </row>
    <row r="1009" spans="1:13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region_summary__37[[#This Row],[APPROVED BY Pengawas]]+region_summary__37[[#This Row],[EDITED BY Admin Kabupaten]]</f>
        <v>0</v>
      </c>
    </row>
    <row r="1010" spans="1:13" x14ac:dyDescent="0.25">
      <c r="A1010" t="s">
        <v>136</v>
      </c>
      <c r="B1010">
        <v>7172040004000400</v>
      </c>
      <c r="C1010">
        <v>42</v>
      </c>
      <c r="D1010">
        <v>7</v>
      </c>
      <c r="E1010">
        <v>4</v>
      </c>
      <c r="F1010">
        <v>0</v>
      </c>
      <c r="G1010">
        <v>30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f>region_summary__37[[#This Row],[APPROVED BY Pengawas]]+region_summary__37[[#This Row],[EDITED BY Admin Kabupaten]]</f>
        <v>7</v>
      </c>
    </row>
    <row r="1011" spans="1:13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region_summary__37[[#This Row],[APPROVED BY Pengawas]]+region_summary__37[[#This Row],[EDITED BY Admin Kabupaten]]</f>
        <v>42</v>
      </c>
    </row>
    <row r="1012" spans="1:13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region_summary__37[[#This Row],[APPROVED BY Pengawas]]+region_summary__37[[#This Row],[EDITED BY Admin Kabupaten]]</f>
        <v>39</v>
      </c>
    </row>
    <row r="1013" spans="1:13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0</v>
      </c>
      <c r="G1013">
        <v>3</v>
      </c>
      <c r="H1013">
        <v>0</v>
      </c>
      <c r="I1013">
        <v>1</v>
      </c>
      <c r="J1013">
        <v>0</v>
      </c>
      <c r="K1013">
        <v>1</v>
      </c>
      <c r="L1013">
        <v>0</v>
      </c>
      <c r="M1013">
        <f>region_summary__37[[#This Row],[APPROVED BY Pengawas]]+region_summary__37[[#This Row],[EDITED BY Admin Kabupaten]]</f>
        <v>72</v>
      </c>
    </row>
    <row r="1014" spans="1:13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region_summary__37[[#This Row],[APPROVED BY Pengawas]]+region_summary__37[[#This Row],[EDITED BY Admin Kabupaten]]</f>
        <v>1</v>
      </c>
    </row>
    <row r="1015" spans="1:13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0</v>
      </c>
      <c r="G1015">
        <v>23</v>
      </c>
      <c r="H1015">
        <v>0</v>
      </c>
      <c r="I1015">
        <v>4</v>
      </c>
      <c r="J1015">
        <v>0</v>
      </c>
      <c r="K1015">
        <v>1</v>
      </c>
      <c r="L1015">
        <v>0</v>
      </c>
      <c r="M1015">
        <f>region_summary__37[[#This Row],[APPROVED BY Pengawas]]+region_summary__37[[#This Row],[EDITED BY Admin Kabupaten]]</f>
        <v>42</v>
      </c>
    </row>
    <row r="1016" spans="1:13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0</v>
      </c>
      <c r="G1016">
        <v>38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region_summary__37[[#This Row],[APPROVED BY Pengawas]]+region_summary__37[[#This Row],[EDITED BY Admin Kabupaten]]</f>
        <v>5</v>
      </c>
    </row>
    <row r="1017" spans="1:13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f>region_summary__37[[#This Row],[APPROVED BY Pengawas]]+region_summary__37[[#This Row],[EDITED BY Admin Kabupaten]]</f>
        <v>0</v>
      </c>
    </row>
    <row r="1018" spans="1:13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region_summary__37[[#This Row],[APPROVED BY Pengawas]]+region_summary__37[[#This Row],[EDITED BY Admin Kabupaten]]</f>
        <v>1</v>
      </c>
    </row>
    <row r="1019" spans="1:13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region_summary__37[[#This Row],[APPROVED BY Pengawas]]+region_summary__37[[#This Row],[EDITED BY Admin Kabupaten]]</f>
        <v>0</v>
      </c>
    </row>
    <row r="1020" spans="1:13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region_summary__37[[#This Row],[APPROVED BY Pengawas]]+region_summary__37[[#This Row],[EDITED BY Admin Kabupaten]]</f>
        <v>0</v>
      </c>
    </row>
    <row r="1021" spans="1:13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region_summary__37[[#This Row],[APPROVED BY Pengawas]]+region_summary__37[[#This Row],[EDITED BY Admin Kabupaten]]</f>
        <v>0</v>
      </c>
    </row>
    <row r="1022" spans="1:13" x14ac:dyDescent="0.25">
      <c r="A1022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50</v>
      </c>
      <c r="L1022">
        <v>0</v>
      </c>
      <c r="M1022">
        <f>region_summary__37[[#This Row],[APPROVED BY Pengawas]]+region_summary__37[[#This Row],[EDITED BY Admin Kabupaten]]</f>
        <v>27</v>
      </c>
    </row>
    <row r="1023" spans="1:13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58</v>
      </c>
      <c r="L1023">
        <v>0</v>
      </c>
      <c r="M1023">
        <f>region_summary__37[[#This Row],[APPROVED BY Pengawas]]+region_summary__37[[#This Row],[EDITED BY Admin Kabupaten]]</f>
        <v>33</v>
      </c>
    </row>
    <row r="1024" spans="1:13" x14ac:dyDescent="0.25">
      <c r="A102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38</v>
      </c>
      <c r="L1024">
        <v>0</v>
      </c>
      <c r="M1024">
        <f>region_summary__37[[#This Row],[APPROVED BY Pengawas]]+region_summary__37[[#This Row],[EDITED BY Admin Kabupaten]]</f>
        <v>21</v>
      </c>
    </row>
    <row r="1025" spans="1:13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9</v>
      </c>
      <c r="L1025">
        <v>0</v>
      </c>
      <c r="M1025">
        <f>region_summary__37[[#This Row],[APPROVED BY Pengawas]]+region_summary__37[[#This Row],[EDITED BY Admin Kabupaten]]</f>
        <v>0</v>
      </c>
    </row>
    <row r="1026" spans="1:13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region_summary__37[[#This Row],[APPROVED BY Pengawas]]+region_summary__37[[#This Row],[EDITED BY Admin Kabupaten]]</f>
        <v>0</v>
      </c>
    </row>
    <row r="1027" spans="1:13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region_summary__37[[#This Row],[APPROVED BY Pengawas]]+region_summary__37[[#This Row],[EDITED BY Admin Kabupaten]]</f>
        <v>0</v>
      </c>
    </row>
    <row r="1028" spans="1:13" x14ac:dyDescent="0.25">
      <c r="A1028" t="s">
        <v>140</v>
      </c>
      <c r="B1028">
        <v>7172040012000500</v>
      </c>
      <c r="C1028">
        <v>43</v>
      </c>
      <c r="D1028">
        <v>15</v>
      </c>
      <c r="E1028">
        <v>4</v>
      </c>
      <c r="F1028">
        <v>0</v>
      </c>
      <c r="G1028">
        <v>5</v>
      </c>
      <c r="H1028">
        <v>0</v>
      </c>
      <c r="I1028">
        <v>0</v>
      </c>
      <c r="J1028">
        <v>0</v>
      </c>
      <c r="K1028">
        <v>19</v>
      </c>
      <c r="L1028">
        <v>0</v>
      </c>
      <c r="M1028">
        <f>region_summary__37[[#This Row],[APPROVED BY Pengawas]]+region_summary__37[[#This Row],[EDITED BY Admin Kabupaten]]</f>
        <v>15</v>
      </c>
    </row>
    <row r="1029" spans="1:13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region_summary__37[[#This Row],[APPROVED BY Pengawas]]+region_summary__37[[#This Row],[EDITED BY Admin Kabupaten]]</f>
        <v>0</v>
      </c>
    </row>
    <row r="1030" spans="1:13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region_summary__37[[#This Row],[APPROVED BY Pengawas]]+region_summary__37[[#This Row],[EDITED BY Admin Kabupaten]]</f>
        <v>0</v>
      </c>
    </row>
    <row r="1031" spans="1:13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region_summary__37[[#This Row],[APPROVED BY Pengawas]]+region_summary__37[[#This Row],[EDITED BY Admin Kabupaten]]</f>
        <v>0</v>
      </c>
    </row>
    <row r="1032" spans="1:13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f>region_summary__37[[#This Row],[APPROVED BY Pengawas]]+region_summary__37[[#This Row],[EDITED BY Admin Kabupaten]]</f>
        <v>5</v>
      </c>
    </row>
    <row r="1033" spans="1:13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region_summary__37[[#This Row],[APPROVED BY Pengawas]]+region_summary__37[[#This Row],[EDITED BY Admin Kabupaten]]</f>
        <v>3</v>
      </c>
    </row>
    <row r="1034" spans="1:13" x14ac:dyDescent="0.25">
      <c r="A1034" t="s">
        <v>118</v>
      </c>
      <c r="B1034">
        <v>7172031004001400</v>
      </c>
      <c r="C1034">
        <v>129</v>
      </c>
      <c r="D1034">
        <v>67</v>
      </c>
      <c r="E1034">
        <v>6</v>
      </c>
      <c r="F1034">
        <v>1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region_summary__37[[#This Row],[APPROVED BY Pengawas]]+region_summary__37[[#This Row],[EDITED BY Admin Kabupaten]]</f>
        <v>68</v>
      </c>
    </row>
    <row r="1035" spans="1:13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0</v>
      </c>
      <c r="G1035">
        <v>70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region_summary__37[[#This Row],[APPROVED BY Pengawas]]+region_summary__37[[#This Row],[EDITED BY Admin Kabupaten]]</f>
        <v>21</v>
      </c>
    </row>
    <row r="1036" spans="1:13" x14ac:dyDescent="0.25">
      <c r="A1036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region_summary__37[[#This Row],[APPROVED BY Pengawas]]+region_summary__37[[#This Row],[EDITED BY Admin Kabupaten]]</f>
        <v>29</v>
      </c>
    </row>
    <row r="1037" spans="1:13" x14ac:dyDescent="0.25">
      <c r="A1037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region_summary__37[[#This Row],[APPROVED BY Pengawas]]+region_summary__37[[#This Row],[EDITED BY Admin Kabupaten]]</f>
        <v>57</v>
      </c>
    </row>
    <row r="1038" spans="1:13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0</v>
      </c>
      <c r="G1038">
        <v>24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region_summary__37[[#This Row],[APPROVED BY Pengawas]]+region_summary__37[[#This Row],[EDITED BY Admin Kabupaten]]</f>
        <v>24</v>
      </c>
    </row>
    <row r="1039" spans="1:13" x14ac:dyDescent="0.25">
      <c r="A1039" t="s">
        <v>118</v>
      </c>
      <c r="B1039">
        <v>7172031004001500</v>
      </c>
      <c r="C1039">
        <v>40</v>
      </c>
      <c r="D1039">
        <v>32</v>
      </c>
      <c r="E1039">
        <v>2</v>
      </c>
      <c r="F1039">
        <v>0</v>
      </c>
      <c r="G1039">
        <v>6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region_summary__37[[#This Row],[APPROVED BY Pengawas]]+region_summary__37[[#This Row],[EDITED BY Admin Kabupaten]]</f>
        <v>32</v>
      </c>
    </row>
    <row r="1040" spans="1:13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region_summary__37[[#This Row],[APPROVED BY Pengawas]]+region_summary__37[[#This Row],[EDITED BY Admin Kabupaten]]</f>
        <v>0</v>
      </c>
    </row>
    <row r="1041" spans="1:13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148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region_summary__37[[#This Row],[APPROVED BY Pengawas]]+region_summary__37[[#This Row],[EDITED BY Admin Kabupaten]]</f>
        <v>0</v>
      </c>
    </row>
    <row r="1042" spans="1:13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134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region_summary__37[[#This Row],[APPROVED BY Pengawas]]+region_summary__37[[#This Row],[EDITED BY Admin Kabupaten]]</f>
        <v>0</v>
      </c>
    </row>
    <row r="1043" spans="1:13" x14ac:dyDescent="0.25">
      <c r="A1043" t="s">
        <v>389</v>
      </c>
      <c r="B1043">
        <v>7172012004001702</v>
      </c>
      <c r="C1043">
        <v>127</v>
      </c>
      <c r="D1043">
        <v>46</v>
      </c>
      <c r="E1043">
        <v>0</v>
      </c>
      <c r="F1043">
        <v>1</v>
      </c>
      <c r="G1043">
        <v>80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region_summary__37[[#This Row],[APPROVED BY Pengawas]]+region_summary__37[[#This Row],[EDITED BY Admin Kabupaten]]</f>
        <v>47</v>
      </c>
    </row>
    <row r="1044" spans="1:13" x14ac:dyDescent="0.25">
      <c r="A104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0</v>
      </c>
      <c r="G1044">
        <v>17</v>
      </c>
      <c r="H1044">
        <v>0</v>
      </c>
      <c r="I1044">
        <v>0</v>
      </c>
      <c r="J1044">
        <v>0</v>
      </c>
      <c r="K1044">
        <v>2</v>
      </c>
      <c r="L1044">
        <v>0</v>
      </c>
      <c r="M1044">
        <f>region_summary__37[[#This Row],[APPROVED BY Pengawas]]+region_summary__37[[#This Row],[EDITED BY Admin Kabupaten]]</f>
        <v>86</v>
      </c>
    </row>
    <row r="1045" spans="1:13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0</v>
      </c>
      <c r="G1045">
        <v>106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region_summary__37[[#This Row],[APPROVED BY Pengawas]]+region_summary__37[[#This Row],[EDITED BY Admin Kabupaten]]</f>
        <v>0</v>
      </c>
    </row>
    <row r="1046" spans="1:13" x14ac:dyDescent="0.25">
      <c r="A1046" t="s">
        <v>389</v>
      </c>
      <c r="B1046">
        <v>7172012004001300</v>
      </c>
      <c r="C1046">
        <v>96</v>
      </c>
      <c r="D1046">
        <v>85</v>
      </c>
      <c r="E1046">
        <v>6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1</v>
      </c>
      <c r="L1046">
        <v>0</v>
      </c>
      <c r="M1046">
        <f>region_summary__37[[#This Row],[APPROVED BY Pengawas]]+region_summary__37[[#This Row],[EDITED BY Admin Kabupaten]]</f>
        <v>85</v>
      </c>
    </row>
    <row r="1047" spans="1:13" x14ac:dyDescent="0.25">
      <c r="A1047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0</v>
      </c>
      <c r="G1047">
        <v>15</v>
      </c>
      <c r="H1047">
        <v>0</v>
      </c>
      <c r="I1047">
        <v>0</v>
      </c>
      <c r="J1047">
        <v>0</v>
      </c>
      <c r="K1047">
        <v>2</v>
      </c>
      <c r="L1047">
        <v>0</v>
      </c>
      <c r="M1047">
        <f>region_summary__37[[#This Row],[APPROVED BY Pengawas]]+region_summary__37[[#This Row],[EDITED BY Admin Kabupaten]]</f>
        <v>230</v>
      </c>
    </row>
    <row r="1048" spans="1:13" x14ac:dyDescent="0.25">
      <c r="A1048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0</v>
      </c>
      <c r="G1048">
        <v>151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region_summary__37[[#This Row],[APPROVED BY Pengawas]]+region_summary__37[[#This Row],[EDITED BY Admin Kabupaten]]</f>
        <v>39</v>
      </c>
    </row>
    <row r="1049" spans="1:13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region_summary__37[[#This Row],[APPROVED BY Pengawas]]+region_summary__37[[#This Row],[EDITED BY Admin Kabupaten]]</f>
        <v>0</v>
      </c>
    </row>
    <row r="1050" spans="1:13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region_summary__37[[#This Row],[APPROVED BY Pengawas]]+region_summary__37[[#This Row],[EDITED BY Admin Kabupaten]]</f>
        <v>0</v>
      </c>
    </row>
    <row r="1051" spans="1:13" x14ac:dyDescent="0.25">
      <c r="A1051" t="s">
        <v>390</v>
      </c>
      <c r="B1051">
        <v>7172040003000800</v>
      </c>
      <c r="C1051">
        <v>88</v>
      </c>
      <c r="D1051">
        <v>70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1</v>
      </c>
      <c r="K1051">
        <v>3</v>
      </c>
      <c r="L1051">
        <v>0</v>
      </c>
      <c r="M1051">
        <f>region_summary__37[[#This Row],[APPROVED BY Pengawas]]+region_summary__37[[#This Row],[EDITED BY Admin Kabupaten]]</f>
        <v>71</v>
      </c>
    </row>
    <row r="1052" spans="1:13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region_summary__37[[#This Row],[APPROVED BY Pengawas]]+region_summary__37[[#This Row],[EDITED BY Admin Kabupaten]]</f>
        <v>0</v>
      </c>
    </row>
    <row r="1053" spans="1:13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0</v>
      </c>
      <c r="H1053">
        <v>0</v>
      </c>
      <c r="I1053">
        <v>5</v>
      </c>
      <c r="J1053">
        <v>0</v>
      </c>
      <c r="K1053">
        <v>26</v>
      </c>
      <c r="L1053">
        <v>0</v>
      </c>
      <c r="M1053">
        <f>region_summary__37[[#This Row],[APPROVED BY Pengawas]]+region_summary__37[[#This Row],[EDITED BY Admin Kabupaten]]</f>
        <v>154</v>
      </c>
    </row>
    <row r="1054" spans="1:13" x14ac:dyDescent="0.25">
      <c r="A105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0</v>
      </c>
      <c r="G1054">
        <v>76</v>
      </c>
      <c r="H1054">
        <v>0</v>
      </c>
      <c r="I1054">
        <v>0</v>
      </c>
      <c r="J1054">
        <v>0</v>
      </c>
      <c r="K1054">
        <v>33</v>
      </c>
      <c r="L1054">
        <v>0</v>
      </c>
      <c r="M1054">
        <f>region_summary__37[[#This Row],[APPROVED BY Pengawas]]+region_summary__37[[#This Row],[EDITED BY Admin Kabupaten]]</f>
        <v>10</v>
      </c>
    </row>
    <row r="1055" spans="1:13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region_summary__37[[#This Row],[APPROVED BY Pengawas]]+region_summary__37[[#This Row],[EDITED BY Admin Kabupaten]]</f>
        <v>0</v>
      </c>
    </row>
    <row r="1056" spans="1:13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region_summary__37[[#This Row],[APPROVED BY Pengawas]]+region_summary__37[[#This Row],[EDITED BY Admin Kabupaten]]</f>
        <v>0</v>
      </c>
    </row>
    <row r="1057" spans="1:13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44</v>
      </c>
      <c r="L1057">
        <v>0</v>
      </c>
      <c r="M1057">
        <f>region_summary__37[[#This Row],[APPROVED BY Pengawas]]+region_summary__37[[#This Row],[EDITED BY Admin Kabupaten]]</f>
        <v>28</v>
      </c>
    </row>
    <row r="1058" spans="1:13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region_summary__37[[#This Row],[APPROVED BY Pengawas]]+region_summary__37[[#This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abSelected="1"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402</v>
      </c>
    </row>
    <row r="2" spans="1:1" x14ac:dyDescent="0.25">
      <c r="A2" s="1">
        <f ca="1">TODAY()-1</f>
        <v>46216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DATA</vt:lpstr>
      <vt:lpstr>HARIAN</vt:lpstr>
      <vt:lpstr>PPL</vt:lpstr>
      <vt:lpstr>PML</vt:lpstr>
      <vt:lpstr>region_summary (37)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2026-07-14T01:23:49Z</dcterms:modified>
</cp:coreProperties>
</file>