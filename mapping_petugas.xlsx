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717964D3-2279-430D-B709-2C8AF179F788}" xr6:coauthVersionLast="47" xr6:coauthVersionMax="47" xr10:uidLastSave="{00000000-0000-0000-0000-000000000000}"/>
  <bookViews>
    <workbookView xWindow="0" yWindow="0" windowWidth="28800" windowHeight="15480" activeTab="1" xr2:uid="{00000000-000D-0000-FFFF-FFFF00000000}"/>
  </bookViews>
  <sheets>
    <sheet name="Sheet1" sheetId="1" r:id="rId1"/>
    <sheet name="DATA" sheetId="2" r:id="rId2"/>
    <sheet name="HARIAN" sheetId="9" r:id="rId3"/>
    <sheet name="PPL" sheetId="4" r:id="rId4"/>
    <sheet name="PML" sheetId="5" r:id="rId5"/>
    <sheet name="region_summary (39)" sheetId="30" r:id="rId6"/>
    <sheet name="TARGET" sheetId="11" r:id="rId7"/>
    <sheet name="INFO" sheetId="28" r:id="rId8"/>
  </sheets>
  <definedNames>
    <definedName name="_xlnm._FilterDatabase" localSheetId="1" hidden="1">DATA!$A$1:$J$1058</definedName>
    <definedName name="_xlnm._FilterDatabase" localSheetId="2" hidden="1">HARIAN!$A$1:$I$158</definedName>
    <definedName name="_xlnm._FilterDatabase" localSheetId="0" hidden="1">Sheet1!$A$1:$E$139</definedName>
    <definedName name="ExternalData_1" localSheetId="5" hidden="1">'region_summary (39)'!$A$1:$L$1058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0" l="1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1005" i="30"/>
  <c r="M1006" i="30"/>
  <c r="M1007" i="30"/>
  <c r="M1008" i="30"/>
  <c r="M1009" i="30"/>
  <c r="M1010" i="30"/>
  <c r="M1011" i="30"/>
  <c r="M1012" i="30"/>
  <c r="M1013" i="30"/>
  <c r="M1014" i="30"/>
  <c r="M1015" i="30"/>
  <c r="M1016" i="30"/>
  <c r="M1017" i="30"/>
  <c r="M1018" i="30"/>
  <c r="M1019" i="30"/>
  <c r="M1020" i="30"/>
  <c r="M1021" i="30"/>
  <c r="M1022" i="30"/>
  <c r="M1023" i="30"/>
  <c r="M1024" i="30"/>
  <c r="M1025" i="30"/>
  <c r="M1026" i="30"/>
  <c r="M1027" i="30"/>
  <c r="M1028" i="30"/>
  <c r="M1029" i="30"/>
  <c r="M1030" i="30"/>
  <c r="M1031" i="30"/>
  <c r="M1032" i="30"/>
  <c r="M1033" i="30"/>
  <c r="M1034" i="30"/>
  <c r="M1035" i="30"/>
  <c r="M1036" i="30"/>
  <c r="M1037" i="30"/>
  <c r="M1038" i="30"/>
  <c r="M1039" i="30"/>
  <c r="M1040" i="30"/>
  <c r="M1041" i="30"/>
  <c r="M1042" i="30"/>
  <c r="M1043" i="30"/>
  <c r="M1044" i="30"/>
  <c r="M1045" i="30"/>
  <c r="M1046" i="30"/>
  <c r="M1047" i="30"/>
  <c r="M1048" i="30"/>
  <c r="M1049" i="30"/>
  <c r="M1050" i="30"/>
  <c r="M1051" i="30"/>
  <c r="M1052" i="30"/>
  <c r="M1053" i="30"/>
  <c r="M1054" i="30"/>
  <c r="M1055" i="30"/>
  <c r="M1056" i="30"/>
  <c r="M1057" i="30"/>
  <c r="M1058" i="30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G137" i="9"/>
  <c r="G131" i="9"/>
  <c r="H20" i="5"/>
  <c r="G126" i="9"/>
  <c r="H17" i="5"/>
  <c r="G108" i="9"/>
  <c r="G105" i="9"/>
  <c r="G99" i="9"/>
  <c r="H15" i="5"/>
  <c r="D14" i="5"/>
  <c r="K14" i="5" s="1"/>
  <c r="G75" i="9"/>
  <c r="H11" i="5"/>
  <c r="G63" i="9"/>
  <c r="G58" i="9"/>
  <c r="H9" i="5"/>
  <c r="G34" i="9"/>
  <c r="G28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2" i="9"/>
  <c r="G130" i="9"/>
  <c r="G121" i="9"/>
  <c r="H18" i="5"/>
  <c r="D17" i="5"/>
  <c r="K17" i="5" s="1"/>
  <c r="G106" i="9"/>
  <c r="G103" i="9"/>
  <c r="G100" i="9"/>
  <c r="G97" i="9"/>
  <c r="G94" i="9"/>
  <c r="H13" i="5"/>
  <c r="G85" i="9"/>
  <c r="G82" i="9"/>
  <c r="G70" i="9"/>
  <c r="G64" i="9"/>
  <c r="G61" i="9"/>
  <c r="G56" i="9"/>
  <c r="G53" i="9"/>
  <c r="G50" i="9"/>
  <c r="H10" i="5"/>
  <c r="D9" i="5"/>
  <c r="K9" i="5" s="1"/>
  <c r="G44" i="9"/>
  <c r="G38" i="9"/>
  <c r="H7" i="5"/>
  <c r="H6" i="5"/>
  <c r="G23" i="9"/>
  <c r="G20" i="9"/>
  <c r="G17" i="9"/>
  <c r="G14" i="9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33" i="9"/>
  <c r="G128" i="9"/>
  <c r="H19" i="5"/>
  <c r="G125" i="9"/>
  <c r="G122" i="9"/>
  <c r="G119" i="9"/>
  <c r="G116" i="9"/>
  <c r="D18" i="5"/>
  <c r="K18" i="5" s="1"/>
  <c r="H16" i="5"/>
  <c r="G92" i="9"/>
  <c r="G89" i="9"/>
  <c r="H14" i="5"/>
  <c r="G86" i="9"/>
  <c r="G83" i="9"/>
  <c r="G80" i="9"/>
  <c r="H12" i="5"/>
  <c r="G77" i="9"/>
  <c r="G68" i="9"/>
  <c r="G59" i="9"/>
  <c r="G54" i="9"/>
  <c r="H8" i="5"/>
  <c r="G39" i="9"/>
  <c r="G36" i="9"/>
  <c r="G33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102" i="9" l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105" i="9"/>
  <c r="I105" i="9"/>
  <c r="H77" i="9"/>
  <c r="I77" i="9"/>
  <c r="G144" i="9"/>
  <c r="H119" i="9"/>
  <c r="I119" i="9"/>
  <c r="H23" i="9"/>
  <c r="I23" i="9"/>
  <c r="H50" i="9"/>
  <c r="I50" i="9"/>
  <c r="H75" i="9"/>
  <c r="I75" i="9"/>
  <c r="H108" i="9"/>
  <c r="I108" i="9"/>
  <c r="H137" i="9"/>
  <c r="I137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121" i="9"/>
  <c r="I121" i="9"/>
  <c r="H116" i="9"/>
  <c r="I116" i="9"/>
  <c r="H20" i="9"/>
  <c r="I20" i="9"/>
  <c r="H47" i="9"/>
  <c r="I47" i="9"/>
  <c r="H30" i="9"/>
  <c r="I30" i="9"/>
  <c r="H92" i="9"/>
  <c r="I92" i="9"/>
  <c r="H125" i="9"/>
  <c r="I125" i="9"/>
  <c r="H56" i="9"/>
  <c r="I56" i="9"/>
  <c r="H2" i="9"/>
  <c r="I2" i="9"/>
  <c r="H33" i="9"/>
  <c r="I33" i="9"/>
  <c r="H61" i="9"/>
  <c r="I61" i="9"/>
  <c r="H94" i="9"/>
  <c r="I94" i="9"/>
  <c r="H22" i="9"/>
  <c r="I22" i="9"/>
  <c r="H84" i="9"/>
  <c r="I84" i="9"/>
  <c r="H38" i="9"/>
  <c r="I38" i="9"/>
  <c r="H36" i="9"/>
  <c r="I36" i="9"/>
  <c r="H68" i="9"/>
  <c r="I68" i="9"/>
  <c r="H128" i="9"/>
  <c r="I128" i="9"/>
  <c r="H64" i="9"/>
  <c r="I64" i="9"/>
  <c r="H97" i="9"/>
  <c r="I97" i="9"/>
  <c r="H130" i="9"/>
  <c r="I130" i="9"/>
  <c r="H39" i="9"/>
  <c r="I39" i="9"/>
  <c r="H133" i="9"/>
  <c r="I133" i="9"/>
  <c r="H67" i="9"/>
  <c r="H100" i="9"/>
  <c r="I100" i="9"/>
  <c r="H132" i="9"/>
  <c r="I132" i="9"/>
  <c r="H58" i="9"/>
  <c r="I58" i="9"/>
  <c r="H5" i="9"/>
  <c r="I5" i="9"/>
  <c r="H70" i="9"/>
  <c r="I70" i="9"/>
  <c r="H103" i="9"/>
  <c r="I103" i="9"/>
  <c r="H135" i="9"/>
  <c r="I135" i="9"/>
  <c r="H28" i="9"/>
  <c r="I28" i="9"/>
  <c r="I90" i="9"/>
  <c r="H126" i="9"/>
  <c r="I126" i="9"/>
  <c r="H11" i="9"/>
  <c r="I11" i="9"/>
  <c r="H34" i="9"/>
  <c r="I34" i="9"/>
  <c r="H106" i="9"/>
  <c r="I106" i="9"/>
  <c r="H63" i="9"/>
  <c r="I63" i="9"/>
  <c r="H3" i="9"/>
  <c r="I3" i="9"/>
  <c r="H80" i="9"/>
  <c r="I80" i="9"/>
  <c r="H14" i="9"/>
  <c r="I14" i="9"/>
  <c r="H44" i="9"/>
  <c r="I44" i="9"/>
  <c r="I79" i="9"/>
  <c r="H99" i="9"/>
  <c r="I99" i="9"/>
  <c r="H83" i="9"/>
  <c r="I83" i="9"/>
  <c r="H17" i="9"/>
  <c r="I17" i="9"/>
  <c r="H82" i="9"/>
  <c r="I82" i="9"/>
  <c r="H102" i="9"/>
  <c r="I102" i="9"/>
  <c r="H131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32" i="9" l="1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2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3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<sst xmlns="http://schemas.openxmlformats.org/spreadsheetml/2006/main" count="3656" uniqueCount="403">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</sst>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1A92F53-D66D-4DBB-BF28-724E1E11B3E4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8838C3-07EA-41A2-BE57-50FD3E79628B}" name="region_summary__39" displayName="region_summary__39" ref="A1:M1058" tableType="queryTable" totalsRowShown="0">
  <autoFilter ref="A1:M1058" xr:uid="{5B8838C3-07EA-41A2-BE57-50FD3E79628B}"/>
  <tableColumns count="13">
    <tableColumn id="1" xr3:uid="{FB5AC433-8C89-47A3-83A4-5848EAAB72FB}" uniqueName="1" name="email" queryTableFieldId="1" dataDxfId="1"/>
    <tableColumn id="2" xr3:uid="{75DEEC4E-E2DE-4BD0-BFD4-A83993CC682F}" uniqueName="2" name="regionCode" queryTableFieldId="2"/>
    <tableColumn id="3" xr3:uid="{716A0330-9843-44F3-854B-9407DFEF3BA9}" uniqueName="3" name="total" queryTableFieldId="3"/>
    <tableColumn id="4" xr3:uid="{D0A56161-9E69-4471-8CAB-8CD00782D61E}" uniqueName="4" name="APPROVED BY Pengawas" queryTableFieldId="4"/>
    <tableColumn id="5" xr3:uid="{C12FC864-3AEB-4062-9BEB-D99C0DD1E92A}" uniqueName="5" name="DRAFT" queryTableFieldId="5"/>
    <tableColumn id="6" xr3:uid="{92633B12-A548-4BBC-A714-28C10BD10541}" uniqueName="6" name="EDITED BY Admin Kabupaten" queryTableFieldId="6"/>
    <tableColumn id="7" xr3:uid="{804BC124-8BF6-43E7-90ED-BDB79ACEA79E}" uniqueName="7" name="OPEN" queryTableFieldId="7"/>
    <tableColumn id="8" xr3:uid="{3D171E03-25B5-473B-BF63-E523AA8EFF29}" uniqueName="8" name="REJECTED BY Admin Kabupaten" queryTableFieldId="8"/>
    <tableColumn id="9" xr3:uid="{2FB34AD0-224A-4E66-877E-31E576362AB3}" uniqueName="9" name="REJECTED BY Pengawas" queryTableFieldId="9"/>
    <tableColumn id="10" xr3:uid="{3CCDF358-5799-4F0D-BC47-77AAF02D337F}" uniqueName="10" name="REVOKED BY Pengawas" queryTableFieldId="10"/>
    <tableColumn id="11" xr3:uid="{4F48E45E-EC9E-4718-B36F-704856E93C15}" uniqueName="11" name="SUBMITTED BY Pencacah" queryTableFieldId="11"/>
    <tableColumn id="12" xr3:uid="{5C9806E9-560B-4AB5-8201-CC144E22888B}" uniqueName="12" name="SUBMITTED RESPONDENT" queryTableFieldId="12"/>
    <tableColumn id="13" xr3:uid="{92BE85D1-CC9E-4BF1-BEA7-481832455DC0}" uniqueName="13" name="Column1" queryTableFieldId="13" dataDxfId="0">
      <calculatedColumnFormula>region_summary__39[[#This Row],[APPROVED BY Pengawas]]+region_summary__39[[#This Row],[EDITED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topLeftCell="A1028" workbookViewId="0">
      <selection activeCell="A1058" sqref="A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104</v>
      </c>
      <c r="D2">
        <v>95</v>
      </c>
      <c r="E2">
        <v>4</v>
      </c>
      <c r="F2">
        <v>5</v>
      </c>
      <c r="G2">
        <v>0</v>
      </c>
      <c r="H2">
        <v>0</v>
      </c>
      <c r="I2">
        <v>0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98</v>
      </c>
      <c r="E3">
        <v>1</v>
      </c>
      <c r="F3">
        <v>0</v>
      </c>
      <c r="G3">
        <v>1</v>
      </c>
      <c r="H3">
        <v>0</v>
      </c>
      <c r="I3">
        <v>3</v>
      </c>
      <c r="J3">
        <v>0</v>
      </c>
    </row>
    <row r="4" spans="1:10" x14ac:dyDescent="0.25">
      <c r="A4" t="s">
        <v>10</v>
      </c>
      <c r="B4">
        <v>7172010009002600</v>
      </c>
      <c r="C4">
        <v>93</v>
      </c>
      <c r="D4">
        <v>86</v>
      </c>
      <c r="E4">
        <v>0</v>
      </c>
      <c r="F4">
        <v>7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83</v>
      </c>
      <c r="D5">
        <v>2</v>
      </c>
      <c r="E5">
        <v>7</v>
      </c>
      <c r="F5">
        <v>66</v>
      </c>
      <c r="G5">
        <v>0</v>
      </c>
      <c r="H5">
        <v>0</v>
      </c>
      <c r="I5">
        <v>8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30</v>
      </c>
      <c r="E11">
        <v>0</v>
      </c>
      <c r="F11">
        <v>99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84</v>
      </c>
      <c r="D12">
        <v>80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3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16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23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62</v>
      </c>
      <c r="D21">
        <v>16</v>
      </c>
      <c r="E21">
        <v>7</v>
      </c>
      <c r="F21">
        <v>34</v>
      </c>
      <c r="G21">
        <v>0</v>
      </c>
      <c r="H21">
        <v>0</v>
      </c>
      <c r="I21">
        <v>5</v>
      </c>
      <c r="J21">
        <v>0</v>
      </c>
    </row>
    <row r="22" spans="1:10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5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39</v>
      </c>
      <c r="D26">
        <v>29</v>
      </c>
      <c r="E26">
        <v>0</v>
      </c>
      <c r="F26">
        <v>10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7172010012001500</v>
      </c>
      <c r="C31">
        <v>78</v>
      </c>
      <c r="D31">
        <v>71</v>
      </c>
      <c r="E31">
        <v>1</v>
      </c>
      <c r="F31">
        <v>6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7172010012001400</v>
      </c>
      <c r="C32">
        <v>65</v>
      </c>
      <c r="D32">
        <v>60</v>
      </c>
      <c r="E32">
        <v>4</v>
      </c>
      <c r="F32">
        <v>1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7172010012002100</v>
      </c>
      <c r="C33">
        <v>61</v>
      </c>
      <c r="D33">
        <v>49</v>
      </c>
      <c r="E33">
        <v>0</v>
      </c>
      <c r="F33">
        <v>12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7172010012002200</v>
      </c>
      <c r="C34">
        <v>61</v>
      </c>
      <c r="D34">
        <v>0</v>
      </c>
      <c r="E34">
        <v>0</v>
      </c>
      <c r="F34">
        <v>61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7172010012001800</v>
      </c>
      <c r="C35">
        <v>59</v>
      </c>
      <c r="D35">
        <v>0</v>
      </c>
      <c r="E35">
        <v>0</v>
      </c>
      <c r="F35">
        <v>59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51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7172010015003300</v>
      </c>
      <c r="C43">
        <v>205</v>
      </c>
      <c r="D43">
        <v>67</v>
      </c>
      <c r="E43">
        <v>6</v>
      </c>
      <c r="F43">
        <v>132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6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31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4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60</v>
      </c>
      <c r="D55">
        <v>15</v>
      </c>
      <c r="E55">
        <v>1</v>
      </c>
      <c r="F55">
        <v>20</v>
      </c>
      <c r="G55">
        <v>0</v>
      </c>
      <c r="H55">
        <v>0</v>
      </c>
      <c r="I55">
        <v>24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7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132</v>
      </c>
      <c r="E59">
        <v>4</v>
      </c>
      <c r="F59">
        <v>0</v>
      </c>
      <c r="G59">
        <v>13</v>
      </c>
      <c r="H59">
        <v>0</v>
      </c>
      <c r="I59">
        <v>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31</v>
      </c>
      <c r="E61">
        <v>0</v>
      </c>
      <c r="F61">
        <v>57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7172010017001900</v>
      </c>
      <c r="C62">
        <v>76</v>
      </c>
      <c r="D62">
        <v>61</v>
      </c>
      <c r="E62">
        <v>3</v>
      </c>
      <c r="F62">
        <v>12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7172010017001500</v>
      </c>
      <c r="C63">
        <v>71</v>
      </c>
      <c r="D63">
        <v>0</v>
      </c>
      <c r="E63">
        <v>1</v>
      </c>
      <c r="F63">
        <v>70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7172010015002100</v>
      </c>
      <c r="C68">
        <v>149</v>
      </c>
      <c r="D68">
        <v>128</v>
      </c>
      <c r="E68">
        <v>5</v>
      </c>
      <c r="F68">
        <v>16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22</v>
      </c>
      <c r="B69">
        <v>7172010015002400</v>
      </c>
      <c r="C69">
        <v>138</v>
      </c>
      <c r="D69">
        <v>96</v>
      </c>
      <c r="E69">
        <v>0</v>
      </c>
      <c r="F69">
        <v>41</v>
      </c>
      <c r="G69">
        <v>1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96</v>
      </c>
      <c r="E70">
        <v>1</v>
      </c>
      <c r="F70">
        <v>21</v>
      </c>
      <c r="G70">
        <v>1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81</v>
      </c>
      <c r="D72">
        <v>7</v>
      </c>
      <c r="E72">
        <v>5</v>
      </c>
      <c r="F72">
        <v>69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3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4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71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60</v>
      </c>
      <c r="E79">
        <v>0</v>
      </c>
      <c r="F79">
        <v>5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2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7172010016001000</v>
      </c>
      <c r="C81">
        <v>55</v>
      </c>
      <c r="D81">
        <v>47</v>
      </c>
      <c r="E81">
        <v>0</v>
      </c>
      <c r="F81">
        <v>8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7172010016000600</v>
      </c>
      <c r="C82">
        <v>54</v>
      </c>
      <c r="D82">
        <v>0</v>
      </c>
      <c r="E82">
        <v>0</v>
      </c>
      <c r="F82">
        <v>54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1</v>
      </c>
      <c r="E84">
        <v>0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102</v>
      </c>
      <c r="E87">
        <v>23</v>
      </c>
      <c r="F87">
        <v>19</v>
      </c>
      <c r="G87">
        <v>2</v>
      </c>
      <c r="H87">
        <v>0</v>
      </c>
      <c r="I87">
        <v>8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5</v>
      </c>
      <c r="F88">
        <v>98</v>
      </c>
      <c r="G88">
        <v>0</v>
      </c>
      <c r="H88">
        <v>0</v>
      </c>
      <c r="I88">
        <v>5</v>
      </c>
      <c r="J88">
        <v>0</v>
      </c>
    </row>
    <row r="89" spans="1:10" x14ac:dyDescent="0.25">
      <c r="A89" t="s">
        <v>26</v>
      </c>
      <c r="B89">
        <v>7172011001000600</v>
      </c>
      <c r="C89">
        <v>96</v>
      </c>
      <c r="D89">
        <v>25</v>
      </c>
      <c r="E89">
        <v>42</v>
      </c>
      <c r="F89">
        <v>19</v>
      </c>
      <c r="G89">
        <v>0</v>
      </c>
      <c r="H89">
        <v>0</v>
      </c>
      <c r="I89">
        <v>10</v>
      </c>
      <c r="J89">
        <v>0</v>
      </c>
    </row>
    <row r="90" spans="1:10" x14ac:dyDescent="0.25">
      <c r="A90" t="s">
        <v>26</v>
      </c>
      <c r="B90">
        <v>7172011001000300</v>
      </c>
      <c r="C90">
        <v>79</v>
      </c>
      <c r="D90">
        <v>12</v>
      </c>
      <c r="E90">
        <v>5</v>
      </c>
      <c r="F90">
        <v>55</v>
      </c>
      <c r="G90">
        <v>0</v>
      </c>
      <c r="H90">
        <v>0</v>
      </c>
      <c r="I90">
        <v>7</v>
      </c>
      <c r="J90">
        <v>0</v>
      </c>
    </row>
    <row r="91" spans="1:10" x14ac:dyDescent="0.25">
      <c r="A91" t="s">
        <v>26</v>
      </c>
      <c r="B91">
        <v>7172011004002100</v>
      </c>
      <c r="C91">
        <v>76</v>
      </c>
      <c r="D91">
        <v>0</v>
      </c>
      <c r="E91">
        <v>4</v>
      </c>
      <c r="F91">
        <v>55</v>
      </c>
      <c r="G91">
        <v>0</v>
      </c>
      <c r="H91">
        <v>0</v>
      </c>
      <c r="I91">
        <v>17</v>
      </c>
      <c r="J91">
        <v>0</v>
      </c>
    </row>
    <row r="92" spans="1:10" x14ac:dyDescent="0.25">
      <c r="A92" t="s">
        <v>26</v>
      </c>
      <c r="B92">
        <v>7172011001000200</v>
      </c>
      <c r="C92">
        <v>74</v>
      </c>
      <c r="D92">
        <v>22</v>
      </c>
      <c r="E92">
        <v>10</v>
      </c>
      <c r="F92">
        <v>42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52</v>
      </c>
      <c r="E93">
        <v>9</v>
      </c>
      <c r="F93">
        <v>8</v>
      </c>
      <c r="G93">
        <v>1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7</v>
      </c>
      <c r="E94">
        <v>2</v>
      </c>
      <c r="F94">
        <v>47</v>
      </c>
      <c r="G94">
        <v>0</v>
      </c>
      <c r="H94">
        <v>0</v>
      </c>
      <c r="I94">
        <v>2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129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99</v>
      </c>
      <c r="E96">
        <v>0</v>
      </c>
      <c r="F96">
        <v>0</v>
      </c>
      <c r="G96">
        <v>0</v>
      </c>
      <c r="H96">
        <v>0</v>
      </c>
      <c r="I96">
        <v>8</v>
      </c>
      <c r="J96">
        <v>0</v>
      </c>
    </row>
    <row r="97" spans="1:10" x14ac:dyDescent="0.25">
      <c r="A97" t="s">
        <v>19</v>
      </c>
      <c r="B97">
        <v>7172010017000400</v>
      </c>
      <c r="C97">
        <v>90</v>
      </c>
      <c r="D97">
        <v>16</v>
      </c>
      <c r="E97">
        <v>0</v>
      </c>
      <c r="F97">
        <v>74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83</v>
      </c>
      <c r="D98">
        <v>19</v>
      </c>
      <c r="E98">
        <v>0</v>
      </c>
      <c r="F98">
        <v>63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2</v>
      </c>
      <c r="E101">
        <v>0</v>
      </c>
      <c r="F101">
        <v>44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7172010016002600</v>
      </c>
      <c r="C102">
        <v>43</v>
      </c>
      <c r="D102">
        <v>20</v>
      </c>
      <c r="E102">
        <v>0</v>
      </c>
      <c r="F102">
        <v>23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43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25</v>
      </c>
      <c r="E104">
        <v>2</v>
      </c>
      <c r="F104">
        <v>139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116</v>
      </c>
      <c r="D105">
        <v>103</v>
      </c>
      <c r="E105">
        <v>2</v>
      </c>
      <c r="F105">
        <v>11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28</v>
      </c>
      <c r="B106">
        <v>7172011002000500</v>
      </c>
      <c r="C106">
        <v>109</v>
      </c>
      <c r="D106">
        <v>97</v>
      </c>
      <c r="E106">
        <v>4</v>
      </c>
      <c r="F106">
        <v>8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19</v>
      </c>
      <c r="E108">
        <v>0</v>
      </c>
      <c r="F108">
        <v>66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85</v>
      </c>
      <c r="D109">
        <v>47</v>
      </c>
      <c r="E109">
        <v>3</v>
      </c>
      <c r="F109">
        <v>35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8</v>
      </c>
      <c r="E110">
        <v>0</v>
      </c>
      <c r="F110">
        <v>27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12</v>
      </c>
      <c r="E111">
        <v>0</v>
      </c>
      <c r="F111">
        <v>159</v>
      </c>
      <c r="G111">
        <v>0</v>
      </c>
      <c r="H111">
        <v>0</v>
      </c>
      <c r="I111">
        <v>4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86</v>
      </c>
      <c r="E112">
        <v>39</v>
      </c>
      <c r="F112">
        <v>0</v>
      </c>
      <c r="G112">
        <v>0</v>
      </c>
      <c r="H112">
        <v>0</v>
      </c>
      <c r="I112">
        <v>2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89</v>
      </c>
      <c r="G113">
        <v>0</v>
      </c>
      <c r="H113">
        <v>0</v>
      </c>
      <c r="I113">
        <v>1</v>
      </c>
      <c r="J113">
        <v>0</v>
      </c>
    </row>
    <row r="114" spans="1:10" x14ac:dyDescent="0.25">
      <c r="A114" t="s">
        <v>42</v>
      </c>
      <c r="B114">
        <v>7172011014001703</v>
      </c>
      <c r="C114">
        <v>84</v>
      </c>
      <c r="D114">
        <v>67</v>
      </c>
      <c r="E114">
        <v>1</v>
      </c>
      <c r="F114">
        <v>0</v>
      </c>
      <c r="G114">
        <v>0</v>
      </c>
      <c r="H114">
        <v>0</v>
      </c>
      <c r="I114">
        <v>16</v>
      </c>
      <c r="J114">
        <v>0</v>
      </c>
    </row>
    <row r="115" spans="1:10" x14ac:dyDescent="0.25">
      <c r="A115" t="s">
        <v>42</v>
      </c>
      <c r="B115">
        <v>7172011014001500</v>
      </c>
      <c r="C115">
        <v>78</v>
      </c>
      <c r="D115">
        <v>9</v>
      </c>
      <c r="E115">
        <v>24</v>
      </c>
      <c r="F115">
        <v>20</v>
      </c>
      <c r="G115">
        <v>0</v>
      </c>
      <c r="H115">
        <v>0</v>
      </c>
      <c r="I115">
        <v>25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11</v>
      </c>
      <c r="E116">
        <v>2</v>
      </c>
      <c r="F116">
        <v>51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7</v>
      </c>
      <c r="E117">
        <v>0</v>
      </c>
      <c r="F117">
        <v>6</v>
      </c>
      <c r="G117">
        <v>0</v>
      </c>
      <c r="H117">
        <v>0</v>
      </c>
      <c r="I117">
        <v>32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29</v>
      </c>
      <c r="E118">
        <v>0</v>
      </c>
      <c r="F118">
        <v>147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130</v>
      </c>
      <c r="D119">
        <v>33</v>
      </c>
      <c r="E119">
        <v>7</v>
      </c>
      <c r="F119">
        <v>88</v>
      </c>
      <c r="G119">
        <v>0</v>
      </c>
      <c r="H119">
        <v>0</v>
      </c>
      <c r="I119">
        <v>2</v>
      </c>
      <c r="J119">
        <v>0</v>
      </c>
    </row>
    <row r="120" spans="1:10" x14ac:dyDescent="0.25">
      <c r="A120" t="s">
        <v>45</v>
      </c>
      <c r="B120">
        <v>7172011012001300</v>
      </c>
      <c r="C120">
        <v>125</v>
      </c>
      <c r="D120">
        <v>94</v>
      </c>
      <c r="E120">
        <v>3</v>
      </c>
      <c r="F120">
        <v>28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112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56</v>
      </c>
      <c r="E122">
        <v>2</v>
      </c>
      <c r="F122">
        <v>2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57</v>
      </c>
      <c r="E123">
        <v>0</v>
      </c>
      <c r="F123">
        <v>2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245</v>
      </c>
      <c r="D125">
        <v>25</v>
      </c>
      <c r="E125">
        <v>5</v>
      </c>
      <c r="F125">
        <v>204</v>
      </c>
      <c r="G125">
        <v>0</v>
      </c>
      <c r="H125">
        <v>0</v>
      </c>
      <c r="I125">
        <v>11</v>
      </c>
      <c r="J125">
        <v>0</v>
      </c>
    </row>
    <row r="126" spans="1:10" x14ac:dyDescent="0.25">
      <c r="A126" t="s">
        <v>35</v>
      </c>
      <c r="B126">
        <v>7172011003001900</v>
      </c>
      <c r="C126">
        <v>132</v>
      </c>
      <c r="D126">
        <v>76</v>
      </c>
      <c r="E126">
        <v>16</v>
      </c>
      <c r="F126">
        <v>1</v>
      </c>
      <c r="G126">
        <v>0</v>
      </c>
      <c r="H126">
        <v>0</v>
      </c>
      <c r="I126">
        <v>39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28</v>
      </c>
      <c r="E127">
        <v>0</v>
      </c>
      <c r="F127">
        <v>42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70</v>
      </c>
      <c r="D128">
        <v>8</v>
      </c>
      <c r="E128">
        <v>2</v>
      </c>
      <c r="F128">
        <v>54</v>
      </c>
      <c r="G128">
        <v>0</v>
      </c>
      <c r="H128">
        <v>0</v>
      </c>
      <c r="I128">
        <v>6</v>
      </c>
      <c r="J128">
        <v>0</v>
      </c>
    </row>
    <row r="129" spans="1:10" x14ac:dyDescent="0.25">
      <c r="A129" t="s">
        <v>35</v>
      </c>
      <c r="B129">
        <v>7172011003001300</v>
      </c>
      <c r="C129">
        <v>66</v>
      </c>
      <c r="D129">
        <v>64</v>
      </c>
      <c r="E129">
        <v>2</v>
      </c>
      <c r="F129">
        <v>0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47</v>
      </c>
      <c r="G130">
        <v>0</v>
      </c>
      <c r="H130">
        <v>0</v>
      </c>
      <c r="I130">
        <v>5</v>
      </c>
      <c r="J130">
        <v>0</v>
      </c>
    </row>
    <row r="131" spans="1:10" x14ac:dyDescent="0.25">
      <c r="A131" t="s">
        <v>37</v>
      </c>
      <c r="B131">
        <v>7172011003002602</v>
      </c>
      <c r="C131">
        <v>224</v>
      </c>
      <c r="D131">
        <v>138</v>
      </c>
      <c r="E131">
        <v>4</v>
      </c>
      <c r="F131">
        <v>16</v>
      </c>
      <c r="G131">
        <v>0</v>
      </c>
      <c r="H131">
        <v>0</v>
      </c>
      <c r="I131">
        <v>66</v>
      </c>
      <c r="J131">
        <v>0</v>
      </c>
    </row>
    <row r="132" spans="1:10" x14ac:dyDescent="0.25">
      <c r="A132" t="s">
        <v>37</v>
      </c>
      <c r="B132">
        <v>7172011003002500</v>
      </c>
      <c r="C132">
        <v>186</v>
      </c>
      <c r="D132">
        <v>62</v>
      </c>
      <c r="E132">
        <v>3</v>
      </c>
      <c r="F132">
        <v>85</v>
      </c>
      <c r="G132">
        <v>0</v>
      </c>
      <c r="H132">
        <v>0</v>
      </c>
      <c r="I132">
        <v>36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121</v>
      </c>
      <c r="D134">
        <v>6</v>
      </c>
      <c r="E134">
        <v>4</v>
      </c>
      <c r="F134">
        <v>101</v>
      </c>
      <c r="G134">
        <v>1</v>
      </c>
      <c r="H134">
        <v>0</v>
      </c>
      <c r="I134">
        <v>9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37</v>
      </c>
      <c r="G135">
        <v>0</v>
      </c>
      <c r="H135">
        <v>0</v>
      </c>
      <c r="I135">
        <v>2</v>
      </c>
      <c r="J135">
        <v>0</v>
      </c>
    </row>
    <row r="136" spans="1:10" x14ac:dyDescent="0.25">
      <c r="A136" t="s">
        <v>31</v>
      </c>
      <c r="B136">
        <v>7172011003001100</v>
      </c>
      <c r="C136">
        <v>264</v>
      </c>
      <c r="D136">
        <v>179</v>
      </c>
      <c r="E136">
        <v>1</v>
      </c>
      <c r="F136">
        <v>84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98</v>
      </c>
      <c r="E137">
        <v>1</v>
      </c>
      <c r="F137">
        <v>93</v>
      </c>
      <c r="G137">
        <v>1</v>
      </c>
      <c r="H137">
        <v>0</v>
      </c>
      <c r="I137">
        <v>57</v>
      </c>
      <c r="J137">
        <v>0</v>
      </c>
    </row>
    <row r="138" spans="1:10" x14ac:dyDescent="0.25">
      <c r="A138" t="s">
        <v>31</v>
      </c>
      <c r="B138">
        <v>7172011003000201</v>
      </c>
      <c r="C138">
        <v>126</v>
      </c>
      <c r="D138">
        <v>0</v>
      </c>
      <c r="E138">
        <v>0</v>
      </c>
      <c r="F138">
        <v>118</v>
      </c>
      <c r="G138">
        <v>0</v>
      </c>
      <c r="H138">
        <v>0</v>
      </c>
      <c r="I138">
        <v>8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273</v>
      </c>
      <c r="D140">
        <v>122</v>
      </c>
      <c r="E140">
        <v>6</v>
      </c>
      <c r="F140">
        <v>22</v>
      </c>
      <c r="G140">
        <v>2</v>
      </c>
      <c r="H140">
        <v>3</v>
      </c>
      <c r="I140">
        <v>118</v>
      </c>
      <c r="J140">
        <v>0</v>
      </c>
    </row>
    <row r="141" spans="1:10" x14ac:dyDescent="0.25">
      <c r="A141" t="s">
        <v>41</v>
      </c>
      <c r="B141">
        <v>7172011004001500</v>
      </c>
      <c r="C141">
        <v>153</v>
      </c>
      <c r="D141">
        <v>106</v>
      </c>
      <c r="E141">
        <v>13</v>
      </c>
      <c r="F141">
        <v>20</v>
      </c>
      <c r="G141">
        <v>0</v>
      </c>
      <c r="H141">
        <v>0</v>
      </c>
      <c r="I141">
        <v>14</v>
      </c>
      <c r="J141">
        <v>0</v>
      </c>
    </row>
    <row r="142" spans="1:10" x14ac:dyDescent="0.25">
      <c r="A142" t="s">
        <v>41</v>
      </c>
      <c r="B142">
        <v>7172011004001900</v>
      </c>
      <c r="C142">
        <v>103</v>
      </c>
      <c r="D142">
        <v>28</v>
      </c>
      <c r="E142">
        <v>10</v>
      </c>
      <c r="F142">
        <v>25</v>
      </c>
      <c r="G142">
        <v>0</v>
      </c>
      <c r="H142">
        <v>0</v>
      </c>
      <c r="I142">
        <v>40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9</v>
      </c>
      <c r="E147">
        <v>12</v>
      </c>
      <c r="F147">
        <v>23</v>
      </c>
      <c r="G147">
        <v>25</v>
      </c>
      <c r="H147">
        <v>0</v>
      </c>
      <c r="I147">
        <v>23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12</v>
      </c>
      <c r="G148">
        <v>38</v>
      </c>
      <c r="H148">
        <v>0</v>
      </c>
      <c r="I148">
        <v>22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7172011013000600</v>
      </c>
      <c r="C151">
        <v>51</v>
      </c>
      <c r="D151">
        <v>10</v>
      </c>
      <c r="E151">
        <v>1</v>
      </c>
      <c r="F151">
        <v>36</v>
      </c>
      <c r="G151">
        <v>0</v>
      </c>
      <c r="H151">
        <v>0</v>
      </c>
      <c r="I151">
        <v>4</v>
      </c>
      <c r="J151">
        <v>0</v>
      </c>
    </row>
    <row r="152" spans="1:10" x14ac:dyDescent="0.25">
      <c r="A152" t="s">
        <v>46</v>
      </c>
      <c r="B152">
        <v>7172011013000500</v>
      </c>
      <c r="C152">
        <v>50</v>
      </c>
      <c r="D152">
        <v>0</v>
      </c>
      <c r="E152">
        <v>0</v>
      </c>
      <c r="F152">
        <v>50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7172011013001100</v>
      </c>
      <c r="C153">
        <v>48</v>
      </c>
      <c r="D153">
        <v>0</v>
      </c>
      <c r="E153">
        <v>0</v>
      </c>
      <c r="F153">
        <v>48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7172011013000400</v>
      </c>
      <c r="C155">
        <v>36</v>
      </c>
      <c r="D155">
        <v>0</v>
      </c>
      <c r="E155">
        <v>1</v>
      </c>
      <c r="F155">
        <v>18</v>
      </c>
      <c r="G155">
        <v>1</v>
      </c>
      <c r="H155">
        <v>0</v>
      </c>
      <c r="I155">
        <v>16</v>
      </c>
      <c r="J155">
        <v>0</v>
      </c>
    </row>
    <row r="156" spans="1:10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157</v>
      </c>
      <c r="D161">
        <v>56</v>
      </c>
      <c r="E161">
        <v>55</v>
      </c>
      <c r="F161">
        <v>44</v>
      </c>
      <c r="G161">
        <v>2</v>
      </c>
      <c r="H161">
        <v>0</v>
      </c>
      <c r="I161">
        <v>0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82</v>
      </c>
      <c r="E164">
        <v>6</v>
      </c>
      <c r="F164">
        <v>1</v>
      </c>
      <c r="G164">
        <v>9</v>
      </c>
      <c r="H164">
        <v>0</v>
      </c>
      <c r="I164">
        <v>1</v>
      </c>
      <c r="J164">
        <v>0</v>
      </c>
    </row>
    <row r="165" spans="1:10" x14ac:dyDescent="0.25">
      <c r="A165" t="s">
        <v>39</v>
      </c>
      <c r="B165">
        <v>7172011004000200</v>
      </c>
      <c r="C165">
        <v>98</v>
      </c>
      <c r="D165">
        <v>4</v>
      </c>
      <c r="E165">
        <v>9</v>
      </c>
      <c r="F165">
        <v>85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26</v>
      </c>
      <c r="E166">
        <v>21</v>
      </c>
      <c r="F166">
        <v>28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152</v>
      </c>
      <c r="D167">
        <v>16</v>
      </c>
      <c r="E167">
        <v>8</v>
      </c>
      <c r="F167">
        <v>106</v>
      </c>
      <c r="G167">
        <v>0</v>
      </c>
      <c r="H167">
        <v>0</v>
      </c>
      <c r="I167">
        <v>22</v>
      </c>
      <c r="J167">
        <v>0</v>
      </c>
    </row>
    <row r="168" spans="1:10" x14ac:dyDescent="0.25">
      <c r="A168" t="s">
        <v>50</v>
      </c>
      <c r="B168">
        <v>7172012001000900</v>
      </c>
      <c r="C168">
        <v>143</v>
      </c>
      <c r="D168">
        <v>47</v>
      </c>
      <c r="E168">
        <v>6</v>
      </c>
      <c r="F168">
        <v>11</v>
      </c>
      <c r="G168">
        <v>0</v>
      </c>
      <c r="H168">
        <v>0</v>
      </c>
      <c r="I168">
        <v>79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122</v>
      </c>
      <c r="D171">
        <v>89</v>
      </c>
      <c r="E171">
        <v>6</v>
      </c>
      <c r="F171">
        <v>2</v>
      </c>
      <c r="G171">
        <v>0</v>
      </c>
      <c r="H171">
        <v>0</v>
      </c>
      <c r="I171">
        <v>25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126</v>
      </c>
      <c r="E172">
        <v>7</v>
      </c>
      <c r="F172">
        <v>34</v>
      </c>
      <c r="G172">
        <v>1</v>
      </c>
      <c r="H172">
        <v>0</v>
      </c>
      <c r="I172">
        <v>0</v>
      </c>
      <c r="J172">
        <v>0</v>
      </c>
    </row>
    <row r="173" spans="1:10" x14ac:dyDescent="0.25">
      <c r="A173" t="s">
        <v>44</v>
      </c>
      <c r="B173">
        <v>7172011012000200</v>
      </c>
      <c r="C173">
        <v>125</v>
      </c>
      <c r="D173">
        <v>80</v>
      </c>
      <c r="E173">
        <v>3</v>
      </c>
      <c r="F173">
        <v>42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86</v>
      </c>
      <c r="D174">
        <v>36</v>
      </c>
      <c r="E174">
        <v>0</v>
      </c>
      <c r="F174">
        <v>50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71</v>
      </c>
      <c r="D175">
        <v>42</v>
      </c>
      <c r="E175">
        <v>0</v>
      </c>
      <c r="F175">
        <v>29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130</v>
      </c>
      <c r="D181">
        <v>126</v>
      </c>
      <c r="E181">
        <v>3</v>
      </c>
      <c r="F181">
        <v>1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118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86</v>
      </c>
      <c r="E183">
        <v>2</v>
      </c>
      <c r="F183">
        <v>19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81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93</v>
      </c>
      <c r="D185">
        <v>31</v>
      </c>
      <c r="E185">
        <v>4</v>
      </c>
      <c r="F185">
        <v>58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85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154</v>
      </c>
      <c r="D187">
        <v>99</v>
      </c>
      <c r="E187">
        <v>8</v>
      </c>
      <c r="F187">
        <v>45</v>
      </c>
      <c r="G187">
        <v>0</v>
      </c>
      <c r="H187">
        <v>0</v>
      </c>
      <c r="I187">
        <v>2</v>
      </c>
      <c r="J187">
        <v>0</v>
      </c>
    </row>
    <row r="188" spans="1:10" x14ac:dyDescent="0.25">
      <c r="A188" t="s">
        <v>229</v>
      </c>
      <c r="B188">
        <v>7172012002001302</v>
      </c>
      <c r="C188">
        <v>154</v>
      </c>
      <c r="D188">
        <v>138</v>
      </c>
      <c r="E188">
        <v>5</v>
      </c>
      <c r="F188">
        <v>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5</v>
      </c>
      <c r="E189">
        <v>0</v>
      </c>
      <c r="F189">
        <v>106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12</v>
      </c>
      <c r="E190">
        <v>0</v>
      </c>
      <c r="F190">
        <v>83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8</v>
      </c>
      <c r="E191">
        <v>0</v>
      </c>
      <c r="F191">
        <v>82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75</v>
      </c>
      <c r="D192">
        <v>10</v>
      </c>
      <c r="E192">
        <v>1</v>
      </c>
      <c r="F192">
        <v>64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211</v>
      </c>
      <c r="D193">
        <v>95</v>
      </c>
      <c r="E193">
        <v>9</v>
      </c>
      <c r="F193">
        <v>2</v>
      </c>
      <c r="G193">
        <v>0</v>
      </c>
      <c r="H193">
        <v>0</v>
      </c>
      <c r="I193">
        <v>105</v>
      </c>
      <c r="J193">
        <v>0</v>
      </c>
    </row>
    <row r="194" spans="1:10" x14ac:dyDescent="0.25">
      <c r="A194" t="s">
        <v>38</v>
      </c>
      <c r="B194">
        <v>7172011003003000</v>
      </c>
      <c r="C194">
        <v>135</v>
      </c>
      <c r="D194">
        <v>83</v>
      </c>
      <c r="E194">
        <v>4</v>
      </c>
      <c r="F194">
        <v>8</v>
      </c>
      <c r="G194">
        <v>0</v>
      </c>
      <c r="H194">
        <v>0</v>
      </c>
      <c r="I194">
        <v>40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176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135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99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91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49</v>
      </c>
      <c r="E203">
        <v>18</v>
      </c>
      <c r="F203">
        <v>21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342</v>
      </c>
      <c r="D204">
        <v>190</v>
      </c>
      <c r="E204">
        <v>25</v>
      </c>
      <c r="F204">
        <v>127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17</v>
      </c>
      <c r="E205">
        <v>1</v>
      </c>
      <c r="F205">
        <v>152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66</v>
      </c>
      <c r="D206">
        <v>14</v>
      </c>
      <c r="E206">
        <v>0</v>
      </c>
      <c r="F206">
        <v>52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34</v>
      </c>
      <c r="D207">
        <v>32</v>
      </c>
      <c r="E207">
        <v>1</v>
      </c>
      <c r="F207">
        <v>1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119</v>
      </c>
      <c r="E209">
        <v>2</v>
      </c>
      <c r="F209">
        <v>14</v>
      </c>
      <c r="G209">
        <v>3</v>
      </c>
      <c r="H209">
        <v>0</v>
      </c>
      <c r="I209">
        <v>33</v>
      </c>
      <c r="J209">
        <v>0</v>
      </c>
    </row>
    <row r="210" spans="1:10" x14ac:dyDescent="0.25">
      <c r="A210" t="s">
        <v>64</v>
      </c>
      <c r="B210">
        <v>7172012004002500</v>
      </c>
      <c r="C210">
        <v>157</v>
      </c>
      <c r="D210">
        <v>32</v>
      </c>
      <c r="E210">
        <v>9</v>
      </c>
      <c r="F210">
        <v>91</v>
      </c>
      <c r="G210">
        <v>0</v>
      </c>
      <c r="H210">
        <v>0</v>
      </c>
      <c r="I210">
        <v>25</v>
      </c>
      <c r="J210">
        <v>0</v>
      </c>
    </row>
    <row r="211" spans="1:10" x14ac:dyDescent="0.25">
      <c r="A211" t="s">
        <v>64</v>
      </c>
      <c r="B211">
        <v>7172012004002401</v>
      </c>
      <c r="C211">
        <v>144</v>
      </c>
      <c r="D211">
        <v>115</v>
      </c>
      <c r="E211">
        <v>4</v>
      </c>
      <c r="F211">
        <v>20</v>
      </c>
      <c r="G211">
        <v>0</v>
      </c>
      <c r="H211">
        <v>0</v>
      </c>
      <c r="I211">
        <v>5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131</v>
      </c>
      <c r="D213">
        <v>75</v>
      </c>
      <c r="E213">
        <v>1</v>
      </c>
      <c r="F213">
        <v>5</v>
      </c>
      <c r="G213">
        <v>0</v>
      </c>
      <c r="H213">
        <v>0</v>
      </c>
      <c r="I213">
        <v>50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87</v>
      </c>
      <c r="E214">
        <v>2</v>
      </c>
      <c r="F214">
        <v>3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53</v>
      </c>
      <c r="D218">
        <v>47</v>
      </c>
      <c r="E218">
        <v>1</v>
      </c>
      <c r="F218">
        <v>5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117</v>
      </c>
      <c r="D219">
        <v>64</v>
      </c>
      <c r="E219">
        <v>4</v>
      </c>
      <c r="F219">
        <v>35</v>
      </c>
      <c r="G219">
        <v>0</v>
      </c>
      <c r="H219">
        <v>0</v>
      </c>
      <c r="I219">
        <v>14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7</v>
      </c>
      <c r="F220">
        <v>73</v>
      </c>
      <c r="G220">
        <v>0</v>
      </c>
      <c r="H220">
        <v>0</v>
      </c>
      <c r="I220">
        <v>6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37</v>
      </c>
      <c r="E221">
        <v>13</v>
      </c>
      <c r="F221">
        <v>49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7172012006001200</v>
      </c>
      <c r="C222">
        <v>84</v>
      </c>
      <c r="D222">
        <v>0</v>
      </c>
      <c r="E222">
        <v>19</v>
      </c>
      <c r="F222">
        <v>48</v>
      </c>
      <c r="G222">
        <v>0</v>
      </c>
      <c r="H222">
        <v>0</v>
      </c>
      <c r="I222">
        <v>17</v>
      </c>
      <c r="J222">
        <v>0</v>
      </c>
    </row>
    <row r="223" spans="1:10" x14ac:dyDescent="0.25">
      <c r="A223" t="s">
        <v>70</v>
      </c>
      <c r="B223">
        <v>7172012006001300</v>
      </c>
      <c r="C223">
        <v>80</v>
      </c>
      <c r="D223">
        <v>0</v>
      </c>
      <c r="E223">
        <v>3</v>
      </c>
      <c r="F223">
        <v>76</v>
      </c>
      <c r="G223">
        <v>0</v>
      </c>
      <c r="H223">
        <v>0</v>
      </c>
      <c r="I223">
        <v>1</v>
      </c>
      <c r="J223">
        <v>0</v>
      </c>
    </row>
    <row r="224" spans="1:10" x14ac:dyDescent="0.25">
      <c r="A224" t="s">
        <v>70</v>
      </c>
      <c r="B224">
        <v>7172012006000903</v>
      </c>
      <c r="C224">
        <v>74</v>
      </c>
      <c r="D224">
        <v>0</v>
      </c>
      <c r="E224">
        <v>8</v>
      </c>
      <c r="F224">
        <v>65</v>
      </c>
      <c r="G224">
        <v>0</v>
      </c>
      <c r="H224">
        <v>0</v>
      </c>
      <c r="I224">
        <v>1</v>
      </c>
      <c r="J224">
        <v>0</v>
      </c>
    </row>
    <row r="225" spans="1:10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5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49</v>
      </c>
      <c r="E226">
        <v>0</v>
      </c>
      <c r="F226">
        <v>0</v>
      </c>
      <c r="G226">
        <v>0</v>
      </c>
      <c r="H226">
        <v>0</v>
      </c>
      <c r="I226">
        <v>1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105</v>
      </c>
      <c r="D228">
        <v>0</v>
      </c>
      <c r="E228">
        <v>10</v>
      </c>
      <c r="F228">
        <v>95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102</v>
      </c>
      <c r="D229">
        <v>77</v>
      </c>
      <c r="E229">
        <v>2</v>
      </c>
      <c r="F229">
        <v>19</v>
      </c>
      <c r="G229">
        <v>2</v>
      </c>
      <c r="H229">
        <v>0</v>
      </c>
      <c r="I229">
        <v>2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43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7172012005001200</v>
      </c>
      <c r="C231">
        <v>58</v>
      </c>
      <c r="D231">
        <v>7</v>
      </c>
      <c r="E231">
        <v>2</v>
      </c>
      <c r="F231">
        <v>39</v>
      </c>
      <c r="G231">
        <v>0</v>
      </c>
      <c r="H231">
        <v>0</v>
      </c>
      <c r="I231">
        <v>10</v>
      </c>
      <c r="J231">
        <v>0</v>
      </c>
    </row>
    <row r="232" spans="1:10" x14ac:dyDescent="0.25">
      <c r="A232" t="s">
        <v>67</v>
      </c>
      <c r="B232">
        <v>7172012005001600</v>
      </c>
      <c r="C232">
        <v>58</v>
      </c>
      <c r="D232">
        <v>46</v>
      </c>
      <c r="E232">
        <v>5</v>
      </c>
      <c r="F232">
        <v>6</v>
      </c>
      <c r="G232">
        <v>0</v>
      </c>
      <c r="H232">
        <v>0</v>
      </c>
      <c r="I232">
        <v>1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2</v>
      </c>
      <c r="G233">
        <v>0</v>
      </c>
      <c r="H233">
        <v>1</v>
      </c>
      <c r="I233">
        <v>0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30</v>
      </c>
      <c r="E234">
        <v>1</v>
      </c>
      <c r="F234">
        <v>8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37</v>
      </c>
      <c r="E235">
        <v>0</v>
      </c>
      <c r="F235">
        <v>1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166</v>
      </c>
      <c r="D237">
        <v>0</v>
      </c>
      <c r="E237">
        <v>0</v>
      </c>
      <c r="F237">
        <v>161</v>
      </c>
      <c r="G237">
        <v>0</v>
      </c>
      <c r="H237">
        <v>0</v>
      </c>
      <c r="I237">
        <v>5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106</v>
      </c>
      <c r="E238">
        <v>9</v>
      </c>
      <c r="F238">
        <v>19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97</v>
      </c>
      <c r="E239">
        <v>3</v>
      </c>
      <c r="F239">
        <v>25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230</v>
      </c>
      <c r="B240">
        <v>7172012007000400</v>
      </c>
      <c r="C240">
        <v>114</v>
      </c>
      <c r="D240">
        <v>77</v>
      </c>
      <c r="E240">
        <v>2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161</v>
      </c>
      <c r="D242">
        <v>57</v>
      </c>
      <c r="E242">
        <v>24</v>
      </c>
      <c r="F242">
        <v>74</v>
      </c>
      <c r="G242">
        <v>1</v>
      </c>
      <c r="H242">
        <v>0</v>
      </c>
      <c r="I242">
        <v>5</v>
      </c>
      <c r="J242">
        <v>0</v>
      </c>
    </row>
    <row r="243" spans="1:10" x14ac:dyDescent="0.25">
      <c r="A243" t="s">
        <v>72</v>
      </c>
      <c r="B243">
        <v>7172012007000900</v>
      </c>
      <c r="C243">
        <v>125</v>
      </c>
      <c r="D243">
        <v>115</v>
      </c>
      <c r="E243">
        <v>6</v>
      </c>
      <c r="F243">
        <v>1</v>
      </c>
      <c r="G243">
        <v>0</v>
      </c>
      <c r="H243">
        <v>0</v>
      </c>
      <c r="I243">
        <v>3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25</v>
      </c>
      <c r="E244">
        <v>9</v>
      </c>
      <c r="F244">
        <v>48</v>
      </c>
      <c r="G244">
        <v>0</v>
      </c>
      <c r="H244">
        <v>0</v>
      </c>
      <c r="I244">
        <v>10</v>
      </c>
      <c r="J244">
        <v>0</v>
      </c>
    </row>
    <row r="245" spans="1:10" x14ac:dyDescent="0.25">
      <c r="A245" t="s">
        <v>72</v>
      </c>
      <c r="B245">
        <v>7172012007001000</v>
      </c>
      <c r="C245">
        <v>90</v>
      </c>
      <c r="D245">
        <v>37</v>
      </c>
      <c r="E245">
        <v>0</v>
      </c>
      <c r="F245">
        <v>52</v>
      </c>
      <c r="G245">
        <v>0</v>
      </c>
      <c r="H245">
        <v>0</v>
      </c>
      <c r="I245">
        <v>1</v>
      </c>
      <c r="J245">
        <v>0</v>
      </c>
    </row>
    <row r="246" spans="1:10" x14ac:dyDescent="0.25">
      <c r="A246" t="s">
        <v>75</v>
      </c>
      <c r="B246">
        <v>7172021003000800</v>
      </c>
      <c r="C246">
        <v>106</v>
      </c>
      <c r="D246">
        <v>44</v>
      </c>
      <c r="E246">
        <v>9</v>
      </c>
      <c r="F246">
        <v>49</v>
      </c>
      <c r="G246">
        <v>0</v>
      </c>
      <c r="H246">
        <v>4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22</v>
      </c>
      <c r="E247">
        <v>0</v>
      </c>
      <c r="F247">
        <v>69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22</v>
      </c>
      <c r="E248">
        <v>0</v>
      </c>
      <c r="F248">
        <v>68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52</v>
      </c>
      <c r="E249">
        <v>10</v>
      </c>
      <c r="F249">
        <v>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15</v>
      </c>
      <c r="E250">
        <v>0</v>
      </c>
      <c r="F250">
        <v>42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28</v>
      </c>
      <c r="E251">
        <v>9</v>
      </c>
      <c r="F251">
        <v>1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3</v>
      </c>
      <c r="E252">
        <v>0</v>
      </c>
      <c r="F252">
        <v>22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38</v>
      </c>
      <c r="E253">
        <v>1</v>
      </c>
      <c r="F253">
        <v>68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63</v>
      </c>
      <c r="E254">
        <v>5</v>
      </c>
      <c r="F254">
        <v>2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61</v>
      </c>
      <c r="D258">
        <v>61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42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36</v>
      </c>
      <c r="E260">
        <v>5</v>
      </c>
      <c r="F260">
        <v>57</v>
      </c>
      <c r="G260">
        <v>0</v>
      </c>
      <c r="H260">
        <v>2</v>
      </c>
      <c r="I260">
        <v>0</v>
      </c>
      <c r="J260">
        <v>0</v>
      </c>
    </row>
    <row r="261" spans="1:10" x14ac:dyDescent="0.25">
      <c r="A261" t="s">
        <v>74</v>
      </c>
      <c r="B261">
        <v>7172021002000200</v>
      </c>
      <c r="C261">
        <v>85</v>
      </c>
      <c r="D261">
        <v>55</v>
      </c>
      <c r="E261">
        <v>2</v>
      </c>
      <c r="F261">
        <v>27</v>
      </c>
      <c r="G261">
        <v>0</v>
      </c>
      <c r="H261">
        <v>1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14</v>
      </c>
      <c r="E263">
        <v>0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41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37</v>
      </c>
      <c r="E265">
        <v>2</v>
      </c>
      <c r="F265">
        <v>2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8</v>
      </c>
      <c r="E266">
        <v>0</v>
      </c>
      <c r="F266">
        <v>28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15</v>
      </c>
      <c r="E267">
        <v>4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88</v>
      </c>
      <c r="E268">
        <v>3</v>
      </c>
      <c r="F268">
        <v>9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81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7172021004000200</v>
      </c>
      <c r="C270">
        <v>80</v>
      </c>
      <c r="D270">
        <v>26</v>
      </c>
      <c r="E270">
        <v>0</v>
      </c>
      <c r="F270">
        <v>53</v>
      </c>
      <c r="G270">
        <v>0</v>
      </c>
      <c r="H270">
        <v>1</v>
      </c>
      <c r="I270">
        <v>0</v>
      </c>
      <c r="J270">
        <v>0</v>
      </c>
    </row>
    <row r="271" spans="1:10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61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8</v>
      </c>
      <c r="E272">
        <v>0</v>
      </c>
      <c r="F272">
        <v>65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2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39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7172021006000400</v>
      </c>
      <c r="C275">
        <v>89</v>
      </c>
      <c r="D275">
        <v>65</v>
      </c>
      <c r="E275">
        <v>9</v>
      </c>
      <c r="F275">
        <v>15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24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7172021006000300</v>
      </c>
      <c r="C277">
        <v>83</v>
      </c>
      <c r="D277">
        <v>25</v>
      </c>
      <c r="E277">
        <v>2</v>
      </c>
      <c r="F277">
        <v>56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31</v>
      </c>
      <c r="E278">
        <v>5</v>
      </c>
      <c r="F278">
        <v>43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9</v>
      </c>
      <c r="E279">
        <v>0</v>
      </c>
      <c r="F279">
        <v>47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38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32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15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12</v>
      </c>
      <c r="E283">
        <v>20</v>
      </c>
      <c r="F283">
        <v>34</v>
      </c>
      <c r="G283">
        <v>9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6</v>
      </c>
      <c r="E284">
        <v>3</v>
      </c>
      <c r="F284">
        <v>55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50</v>
      </c>
      <c r="E286">
        <v>1</v>
      </c>
      <c r="F286">
        <v>2</v>
      </c>
      <c r="G286">
        <v>9</v>
      </c>
      <c r="H286">
        <v>0</v>
      </c>
      <c r="I286">
        <v>0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1</v>
      </c>
      <c r="E289">
        <v>0</v>
      </c>
      <c r="F289">
        <v>47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6</v>
      </c>
      <c r="E290">
        <v>0</v>
      </c>
      <c r="F290">
        <v>100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89</v>
      </c>
      <c r="E291">
        <v>3</v>
      </c>
      <c r="F291">
        <v>6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61</v>
      </c>
      <c r="D293">
        <v>39</v>
      </c>
      <c r="E293">
        <v>2</v>
      </c>
      <c r="F293">
        <v>16</v>
      </c>
      <c r="G293">
        <v>0</v>
      </c>
      <c r="H293">
        <v>0</v>
      </c>
      <c r="I293">
        <v>4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41</v>
      </c>
      <c r="E294">
        <v>3</v>
      </c>
      <c r="F294">
        <v>3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11</v>
      </c>
      <c r="E295">
        <v>2</v>
      </c>
      <c r="F295">
        <v>31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7172030006000600</v>
      </c>
      <c r="C297">
        <v>95</v>
      </c>
      <c r="D297">
        <v>25</v>
      </c>
      <c r="E297">
        <v>0</v>
      </c>
      <c r="F297">
        <v>69</v>
      </c>
      <c r="G297">
        <v>1</v>
      </c>
      <c r="H297">
        <v>0</v>
      </c>
      <c r="I297">
        <v>0</v>
      </c>
      <c r="J297">
        <v>0</v>
      </c>
    </row>
    <row r="298" spans="1:10" x14ac:dyDescent="0.25">
      <c r="A298" t="s">
        <v>90</v>
      </c>
      <c r="B298">
        <v>7172030006000900</v>
      </c>
      <c r="C298">
        <v>88</v>
      </c>
      <c r="D298">
        <v>34</v>
      </c>
      <c r="E298">
        <v>0</v>
      </c>
      <c r="F298">
        <v>52</v>
      </c>
      <c r="G298">
        <v>0</v>
      </c>
      <c r="H298">
        <v>0</v>
      </c>
      <c r="I298">
        <v>2</v>
      </c>
      <c r="J298">
        <v>0</v>
      </c>
    </row>
    <row r="299" spans="1:10" x14ac:dyDescent="0.25">
      <c r="A299" t="s">
        <v>90</v>
      </c>
      <c r="B299">
        <v>7172030006000800</v>
      </c>
      <c r="C299">
        <v>84</v>
      </c>
      <c r="D299">
        <v>55</v>
      </c>
      <c r="E299">
        <v>0</v>
      </c>
      <c r="F299">
        <v>27</v>
      </c>
      <c r="G299">
        <v>0</v>
      </c>
      <c r="H299">
        <v>0</v>
      </c>
      <c r="I299">
        <v>2</v>
      </c>
      <c r="J299">
        <v>0</v>
      </c>
    </row>
    <row r="300" spans="1:10" x14ac:dyDescent="0.25">
      <c r="A300" t="s">
        <v>90</v>
      </c>
      <c r="B300">
        <v>7172030006000700</v>
      </c>
      <c r="C300">
        <v>72</v>
      </c>
      <c r="D300">
        <v>23</v>
      </c>
      <c r="E300">
        <v>1</v>
      </c>
      <c r="F300">
        <v>47</v>
      </c>
      <c r="G300">
        <v>0</v>
      </c>
      <c r="H300">
        <v>0</v>
      </c>
      <c r="I300">
        <v>1</v>
      </c>
      <c r="J300">
        <v>0</v>
      </c>
    </row>
    <row r="301" spans="1:10" x14ac:dyDescent="0.25">
      <c r="A301" t="s">
        <v>90</v>
      </c>
      <c r="B301">
        <v>7172030006000300</v>
      </c>
      <c r="C301">
        <v>70</v>
      </c>
      <c r="D301">
        <v>39</v>
      </c>
      <c r="E301">
        <v>0</v>
      </c>
      <c r="F301">
        <v>25</v>
      </c>
      <c r="G301">
        <v>0</v>
      </c>
      <c r="H301">
        <v>1</v>
      </c>
      <c r="I301">
        <v>5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30</v>
      </c>
      <c r="E304">
        <v>0</v>
      </c>
      <c r="F304">
        <v>20</v>
      </c>
      <c r="G304">
        <v>0</v>
      </c>
      <c r="H304">
        <v>0</v>
      </c>
      <c r="I304">
        <v>1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109</v>
      </c>
      <c r="E305">
        <v>0</v>
      </c>
      <c r="F305">
        <v>4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85</v>
      </c>
      <c r="B306">
        <v>7172022003000400</v>
      </c>
      <c r="C306">
        <v>65</v>
      </c>
      <c r="D306">
        <v>16</v>
      </c>
      <c r="E306">
        <v>0</v>
      </c>
      <c r="F306">
        <v>49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55</v>
      </c>
      <c r="E307">
        <v>0</v>
      </c>
      <c r="F307">
        <v>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46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7172030012000700</v>
      </c>
      <c r="C314">
        <v>116</v>
      </c>
      <c r="D314">
        <v>111</v>
      </c>
      <c r="E314">
        <v>1</v>
      </c>
      <c r="F314">
        <v>4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31</v>
      </c>
      <c r="D320">
        <v>3</v>
      </c>
      <c r="E320">
        <v>6</v>
      </c>
      <c r="F320">
        <v>19</v>
      </c>
      <c r="G320">
        <v>0</v>
      </c>
      <c r="H320">
        <v>0</v>
      </c>
      <c r="I320">
        <v>3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155</v>
      </c>
      <c r="D322">
        <v>132</v>
      </c>
      <c r="E322">
        <v>2</v>
      </c>
      <c r="F322">
        <v>3</v>
      </c>
      <c r="G322">
        <v>0</v>
      </c>
      <c r="H322">
        <v>0</v>
      </c>
      <c r="I322">
        <v>18</v>
      </c>
      <c r="J322">
        <v>0</v>
      </c>
    </row>
    <row r="323" spans="1:10" x14ac:dyDescent="0.25">
      <c r="A323" t="s">
        <v>233</v>
      </c>
      <c r="B323">
        <v>7172030007000900</v>
      </c>
      <c r="C323">
        <v>88</v>
      </c>
      <c r="D323">
        <v>78</v>
      </c>
      <c r="E323">
        <v>2</v>
      </c>
      <c r="F323">
        <v>6</v>
      </c>
      <c r="G323">
        <v>0</v>
      </c>
      <c r="H323">
        <v>0</v>
      </c>
      <c r="I323">
        <v>2</v>
      </c>
      <c r="J323">
        <v>0</v>
      </c>
    </row>
    <row r="324" spans="1:10" x14ac:dyDescent="0.25">
      <c r="A324" t="s">
        <v>233</v>
      </c>
      <c r="B324">
        <v>7172030007000800</v>
      </c>
      <c r="C324">
        <v>81</v>
      </c>
      <c r="D324">
        <v>12</v>
      </c>
      <c r="E324">
        <v>8</v>
      </c>
      <c r="F324">
        <v>55</v>
      </c>
      <c r="G324">
        <v>0</v>
      </c>
      <c r="H324">
        <v>0</v>
      </c>
      <c r="I324">
        <v>6</v>
      </c>
      <c r="J324">
        <v>0</v>
      </c>
    </row>
    <row r="325" spans="1:10" x14ac:dyDescent="0.25">
      <c r="A325" t="s">
        <v>233</v>
      </c>
      <c r="B325">
        <v>7172030007000500</v>
      </c>
      <c r="C325">
        <v>79</v>
      </c>
      <c r="D325">
        <v>0</v>
      </c>
      <c r="E325">
        <v>0</v>
      </c>
      <c r="F325">
        <v>79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7172030006001100</v>
      </c>
      <c r="C327">
        <v>103</v>
      </c>
      <c r="D327">
        <v>19</v>
      </c>
      <c r="E327">
        <v>1</v>
      </c>
      <c r="F327">
        <v>83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1</v>
      </c>
      <c r="E329">
        <v>0</v>
      </c>
      <c r="F329">
        <v>72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68</v>
      </c>
      <c r="D330">
        <v>57</v>
      </c>
      <c r="E330">
        <v>0</v>
      </c>
      <c r="F330">
        <v>11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57</v>
      </c>
      <c r="D332">
        <v>49</v>
      </c>
      <c r="E332">
        <v>0</v>
      </c>
      <c r="F332">
        <v>8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46</v>
      </c>
      <c r="E333">
        <v>0</v>
      </c>
      <c r="F333">
        <v>6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6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41</v>
      </c>
      <c r="E335">
        <v>2</v>
      </c>
      <c r="F335">
        <v>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7172030006001400</v>
      </c>
      <c r="C336">
        <v>45</v>
      </c>
      <c r="D336">
        <v>15</v>
      </c>
      <c r="E336">
        <v>0</v>
      </c>
      <c r="F336">
        <v>30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56</v>
      </c>
      <c r="E337">
        <v>0</v>
      </c>
      <c r="F337">
        <v>7</v>
      </c>
      <c r="G337">
        <v>1</v>
      </c>
      <c r="H337">
        <v>0</v>
      </c>
      <c r="I337">
        <v>29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87</v>
      </c>
      <c r="E338">
        <v>0</v>
      </c>
      <c r="F338">
        <v>0</v>
      </c>
      <c r="G338">
        <v>1</v>
      </c>
      <c r="H338">
        <v>0</v>
      </c>
      <c r="I338">
        <v>3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4</v>
      </c>
      <c r="E339">
        <v>0</v>
      </c>
      <c r="F339">
        <v>58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60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38</v>
      </c>
      <c r="E341">
        <v>0</v>
      </c>
      <c r="F341">
        <v>19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8</v>
      </c>
      <c r="E342">
        <v>0</v>
      </c>
      <c r="F342">
        <v>49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6</v>
      </c>
      <c r="E343">
        <v>0</v>
      </c>
      <c r="F343">
        <v>41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7</v>
      </c>
      <c r="E344">
        <v>0</v>
      </c>
      <c r="F344">
        <v>39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42</v>
      </c>
      <c r="D345">
        <v>13</v>
      </c>
      <c r="E345">
        <v>1</v>
      </c>
      <c r="F345">
        <v>9</v>
      </c>
      <c r="G345">
        <v>0</v>
      </c>
      <c r="H345">
        <v>0</v>
      </c>
      <c r="I345">
        <v>19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2</v>
      </c>
      <c r="E346">
        <v>0</v>
      </c>
      <c r="F346">
        <v>30</v>
      </c>
      <c r="G346">
        <v>0</v>
      </c>
      <c r="H346">
        <v>0</v>
      </c>
      <c r="I346">
        <v>1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2</v>
      </c>
      <c r="E347">
        <v>0</v>
      </c>
      <c r="F347">
        <v>31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28</v>
      </c>
      <c r="E348">
        <v>0</v>
      </c>
      <c r="F348">
        <v>145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28</v>
      </c>
      <c r="G349">
        <v>1</v>
      </c>
      <c r="H349">
        <v>1</v>
      </c>
      <c r="I349">
        <v>0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68</v>
      </c>
      <c r="E350">
        <v>0</v>
      </c>
      <c r="F350">
        <v>10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41</v>
      </c>
      <c r="E351">
        <v>10</v>
      </c>
      <c r="F351">
        <v>25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34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36</v>
      </c>
      <c r="E353">
        <v>0</v>
      </c>
      <c r="F353">
        <v>24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25</v>
      </c>
      <c r="E354">
        <v>2</v>
      </c>
      <c r="F354">
        <v>23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7172030013000300</v>
      </c>
      <c r="C355">
        <v>50</v>
      </c>
      <c r="D355">
        <v>25</v>
      </c>
      <c r="E355">
        <v>0</v>
      </c>
      <c r="F355">
        <v>25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137</v>
      </c>
      <c r="E356">
        <v>1</v>
      </c>
      <c r="F356">
        <v>9</v>
      </c>
      <c r="G356">
        <v>0</v>
      </c>
      <c r="H356">
        <v>1</v>
      </c>
      <c r="I356">
        <v>0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17</v>
      </c>
      <c r="E359">
        <v>0</v>
      </c>
      <c r="F359">
        <v>43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57</v>
      </c>
      <c r="D361">
        <v>53</v>
      </c>
      <c r="E361">
        <v>0</v>
      </c>
      <c r="F361">
        <v>3</v>
      </c>
      <c r="G361">
        <v>1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52</v>
      </c>
      <c r="D362">
        <v>48</v>
      </c>
      <c r="E362">
        <v>0</v>
      </c>
      <c r="F362">
        <v>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42</v>
      </c>
      <c r="D363">
        <v>16</v>
      </c>
      <c r="E363">
        <v>0</v>
      </c>
      <c r="F363">
        <v>26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162</v>
      </c>
      <c r="D367">
        <v>14</v>
      </c>
      <c r="E367">
        <v>2</v>
      </c>
      <c r="F367">
        <v>146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123</v>
      </c>
      <c r="D368">
        <v>79</v>
      </c>
      <c r="E368">
        <v>4</v>
      </c>
      <c r="F368">
        <v>40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7172030015000400</v>
      </c>
      <c r="C369">
        <v>85</v>
      </c>
      <c r="D369">
        <v>48</v>
      </c>
      <c r="E369">
        <v>2</v>
      </c>
      <c r="F369">
        <v>35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235</v>
      </c>
      <c r="B370">
        <v>7172030015001000</v>
      </c>
      <c r="C370">
        <v>84</v>
      </c>
      <c r="D370">
        <v>70</v>
      </c>
      <c r="E370">
        <v>5</v>
      </c>
      <c r="F370">
        <v>8</v>
      </c>
      <c r="G370">
        <v>0</v>
      </c>
      <c r="H370">
        <v>1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45</v>
      </c>
      <c r="E371">
        <v>1</v>
      </c>
      <c r="F371">
        <v>15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7172030015000700</v>
      </c>
      <c r="C372">
        <v>52</v>
      </c>
      <c r="D372">
        <v>38</v>
      </c>
      <c r="E372">
        <v>2</v>
      </c>
      <c r="F372">
        <v>11</v>
      </c>
      <c r="G372">
        <v>0</v>
      </c>
      <c r="H372">
        <v>0</v>
      </c>
      <c r="I372">
        <v>1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1</v>
      </c>
      <c r="E374">
        <v>0</v>
      </c>
      <c r="F374">
        <v>37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1</v>
      </c>
      <c r="F375">
        <v>23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217</v>
      </c>
      <c r="E376">
        <v>2</v>
      </c>
      <c r="F376">
        <v>24</v>
      </c>
      <c r="G376">
        <v>1</v>
      </c>
      <c r="H376">
        <v>1</v>
      </c>
      <c r="I376">
        <v>3</v>
      </c>
      <c r="J376">
        <v>0</v>
      </c>
    </row>
    <row r="377" spans="1:10" x14ac:dyDescent="0.25">
      <c r="A377" t="s">
        <v>236</v>
      </c>
      <c r="B377">
        <v>7172030014001000</v>
      </c>
      <c r="C377">
        <v>139</v>
      </c>
      <c r="D377">
        <v>104</v>
      </c>
      <c r="E377">
        <v>6</v>
      </c>
      <c r="F377">
        <v>28</v>
      </c>
      <c r="G377">
        <v>1</v>
      </c>
      <c r="H377">
        <v>0</v>
      </c>
      <c r="I377">
        <v>0</v>
      </c>
      <c r="J377">
        <v>0</v>
      </c>
    </row>
    <row r="378" spans="1:10" x14ac:dyDescent="0.25">
      <c r="A378" t="s">
        <v>236</v>
      </c>
      <c r="B378">
        <v>7172030014001200</v>
      </c>
      <c r="C378">
        <v>122</v>
      </c>
      <c r="D378">
        <v>36</v>
      </c>
      <c r="E378">
        <v>0</v>
      </c>
      <c r="F378">
        <v>84</v>
      </c>
      <c r="G378">
        <v>1</v>
      </c>
      <c r="H378">
        <v>0</v>
      </c>
      <c r="I378">
        <v>1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7172030015001701</v>
      </c>
      <c r="C381">
        <v>126</v>
      </c>
      <c r="D381">
        <v>69</v>
      </c>
      <c r="E381">
        <v>19</v>
      </c>
      <c r="F381">
        <v>35</v>
      </c>
      <c r="G381">
        <v>1</v>
      </c>
      <c r="H381">
        <v>0</v>
      </c>
      <c r="I381">
        <v>2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81</v>
      </c>
      <c r="E383">
        <v>3</v>
      </c>
      <c r="F383">
        <v>11</v>
      </c>
      <c r="G383">
        <v>0</v>
      </c>
      <c r="H383">
        <v>0</v>
      </c>
      <c r="I383">
        <v>1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7172030015001703</v>
      </c>
      <c r="C385">
        <v>38</v>
      </c>
      <c r="D385">
        <v>0</v>
      </c>
      <c r="E385">
        <v>4</v>
      </c>
      <c r="F385">
        <v>32</v>
      </c>
      <c r="G385">
        <v>0</v>
      </c>
      <c r="H385">
        <v>0</v>
      </c>
      <c r="I385">
        <v>2</v>
      </c>
      <c r="J385">
        <v>0</v>
      </c>
    </row>
    <row r="386" spans="1:10" x14ac:dyDescent="0.25">
      <c r="A386" t="s">
        <v>109</v>
      </c>
      <c r="B386">
        <v>7172031001000700</v>
      </c>
      <c r="C386">
        <v>83</v>
      </c>
      <c r="D386">
        <v>8</v>
      </c>
      <c r="E386">
        <v>6</v>
      </c>
      <c r="F386">
        <v>64</v>
      </c>
      <c r="G386">
        <v>0</v>
      </c>
      <c r="H386">
        <v>0</v>
      </c>
      <c r="I386">
        <v>5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50</v>
      </c>
      <c r="E387">
        <v>8</v>
      </c>
      <c r="F387">
        <v>1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47</v>
      </c>
      <c r="E389">
        <v>7</v>
      </c>
      <c r="F389">
        <v>2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27</v>
      </c>
      <c r="E394">
        <v>6</v>
      </c>
      <c r="F394">
        <v>6</v>
      </c>
      <c r="G394">
        <v>0</v>
      </c>
      <c r="H394">
        <v>0</v>
      </c>
      <c r="I394">
        <v>1</v>
      </c>
      <c r="J394">
        <v>0</v>
      </c>
    </row>
    <row r="395" spans="1:10" x14ac:dyDescent="0.25">
      <c r="A395" t="s">
        <v>109</v>
      </c>
      <c r="B395">
        <v>7172031001000200</v>
      </c>
      <c r="C395">
        <v>39</v>
      </c>
      <c r="D395">
        <v>34</v>
      </c>
      <c r="E395">
        <v>4</v>
      </c>
      <c r="F395">
        <v>1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38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34</v>
      </c>
      <c r="D397">
        <v>29</v>
      </c>
      <c r="E397">
        <v>2</v>
      </c>
      <c r="F397">
        <v>1</v>
      </c>
      <c r="G397">
        <v>1</v>
      </c>
      <c r="H397">
        <v>0</v>
      </c>
      <c r="I397">
        <v>1</v>
      </c>
      <c r="J397">
        <v>0</v>
      </c>
    </row>
    <row r="398" spans="1:10" x14ac:dyDescent="0.25">
      <c r="A398" t="s">
        <v>109</v>
      </c>
      <c r="B398">
        <v>7172031001000100</v>
      </c>
      <c r="C398">
        <v>33</v>
      </c>
      <c r="D398">
        <v>29</v>
      </c>
      <c r="E398">
        <v>2</v>
      </c>
      <c r="F398">
        <v>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28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116</v>
      </c>
      <c r="D400">
        <v>46</v>
      </c>
      <c r="E400">
        <v>3</v>
      </c>
      <c r="F400">
        <v>59</v>
      </c>
      <c r="G400">
        <v>0</v>
      </c>
      <c r="H400">
        <v>0</v>
      </c>
      <c r="I400">
        <v>8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79</v>
      </c>
      <c r="E402">
        <v>2</v>
      </c>
      <c r="F402">
        <v>0</v>
      </c>
      <c r="G402">
        <v>0</v>
      </c>
      <c r="H402">
        <v>1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80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7172031005001600</v>
      </c>
      <c r="C404">
        <v>78</v>
      </c>
      <c r="D404">
        <v>71</v>
      </c>
      <c r="E404">
        <v>7</v>
      </c>
      <c r="F404">
        <v>0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6</v>
      </c>
      <c r="E405">
        <v>0</v>
      </c>
      <c r="F405">
        <v>68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2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84</v>
      </c>
      <c r="E408">
        <v>1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7172031003001000</v>
      </c>
      <c r="C409">
        <v>73</v>
      </c>
      <c r="D409">
        <v>68</v>
      </c>
      <c r="E409">
        <v>0</v>
      </c>
      <c r="F409">
        <v>4</v>
      </c>
      <c r="G409">
        <v>0</v>
      </c>
      <c r="H409">
        <v>1</v>
      </c>
      <c r="I409">
        <v>0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13</v>
      </c>
      <c r="E410">
        <v>0</v>
      </c>
      <c r="F410">
        <v>54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57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7</v>
      </c>
      <c r="E414">
        <v>0</v>
      </c>
      <c r="F414">
        <v>35</v>
      </c>
      <c r="G414">
        <v>0</v>
      </c>
      <c r="H414">
        <v>0</v>
      </c>
      <c r="I414">
        <v>1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7172031003001100</v>
      </c>
      <c r="C418">
        <v>37</v>
      </c>
      <c r="D418">
        <v>30</v>
      </c>
      <c r="E418">
        <v>4</v>
      </c>
      <c r="F418">
        <v>3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7172031003000400</v>
      </c>
      <c r="C419">
        <v>34</v>
      </c>
      <c r="D419">
        <v>11</v>
      </c>
      <c r="E419">
        <v>0</v>
      </c>
      <c r="F419">
        <v>23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2</v>
      </c>
      <c r="E420">
        <v>0</v>
      </c>
      <c r="F420">
        <v>26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85</v>
      </c>
      <c r="D421">
        <v>63</v>
      </c>
      <c r="E421">
        <v>9</v>
      </c>
      <c r="F421">
        <v>13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76</v>
      </c>
      <c r="D422">
        <v>14</v>
      </c>
      <c r="E422">
        <v>8</v>
      </c>
      <c r="F422">
        <v>52</v>
      </c>
      <c r="G422">
        <v>2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57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50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45</v>
      </c>
      <c r="E425">
        <v>5</v>
      </c>
      <c r="F425">
        <v>3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41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35</v>
      </c>
      <c r="E427">
        <v>0</v>
      </c>
      <c r="F427">
        <v>12</v>
      </c>
      <c r="G427">
        <v>0</v>
      </c>
      <c r="H427">
        <v>0</v>
      </c>
      <c r="I427">
        <v>1</v>
      </c>
      <c r="J427">
        <v>0</v>
      </c>
    </row>
    <row r="428" spans="1:10" x14ac:dyDescent="0.25">
      <c r="A428" t="s">
        <v>119</v>
      </c>
      <c r="B428">
        <v>7172031005000600</v>
      </c>
      <c r="C428">
        <v>47</v>
      </c>
      <c r="D428">
        <v>26</v>
      </c>
      <c r="E428">
        <v>2</v>
      </c>
      <c r="F428">
        <v>19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37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33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25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207</v>
      </c>
      <c r="D433">
        <v>178</v>
      </c>
      <c r="E433">
        <v>3</v>
      </c>
      <c r="F433">
        <v>7</v>
      </c>
      <c r="G433">
        <v>1</v>
      </c>
      <c r="H433">
        <v>0</v>
      </c>
      <c r="I433">
        <v>18</v>
      </c>
      <c r="J433">
        <v>0</v>
      </c>
    </row>
    <row r="434" spans="1:10" x14ac:dyDescent="0.25">
      <c r="A434" t="s">
        <v>121</v>
      </c>
      <c r="B434">
        <v>7172031006000500</v>
      </c>
      <c r="C434">
        <v>193</v>
      </c>
      <c r="D434">
        <v>5</v>
      </c>
      <c r="E434">
        <v>13</v>
      </c>
      <c r="F434">
        <v>173</v>
      </c>
      <c r="G434">
        <v>0</v>
      </c>
      <c r="H434">
        <v>0</v>
      </c>
      <c r="I434">
        <v>2</v>
      </c>
      <c r="J434">
        <v>0</v>
      </c>
    </row>
    <row r="435" spans="1:10" x14ac:dyDescent="0.25">
      <c r="A435" t="s">
        <v>121</v>
      </c>
      <c r="B435">
        <v>7172031006000600</v>
      </c>
      <c r="C435">
        <v>126</v>
      </c>
      <c r="D435">
        <v>93</v>
      </c>
      <c r="E435">
        <v>19</v>
      </c>
      <c r="F435">
        <v>10</v>
      </c>
      <c r="G435">
        <v>1</v>
      </c>
      <c r="H435">
        <v>1</v>
      </c>
      <c r="I435">
        <v>2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133</v>
      </c>
      <c r="D439">
        <v>114</v>
      </c>
      <c r="E439">
        <v>4</v>
      </c>
      <c r="F439">
        <v>14</v>
      </c>
      <c r="G439">
        <v>1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7172031007000500</v>
      </c>
      <c r="C440">
        <v>104</v>
      </c>
      <c r="D440">
        <v>87</v>
      </c>
      <c r="E440">
        <v>12</v>
      </c>
      <c r="F440">
        <v>0</v>
      </c>
      <c r="G440">
        <v>4</v>
      </c>
      <c r="H440">
        <v>0</v>
      </c>
      <c r="I440">
        <v>1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86</v>
      </c>
      <c r="D442">
        <v>76</v>
      </c>
      <c r="E442">
        <v>6</v>
      </c>
      <c r="F442">
        <v>4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74</v>
      </c>
      <c r="D443">
        <v>24</v>
      </c>
      <c r="E443">
        <v>7</v>
      </c>
      <c r="F443">
        <v>35</v>
      </c>
      <c r="G443">
        <v>0</v>
      </c>
      <c r="H443">
        <v>0</v>
      </c>
      <c r="I443">
        <v>8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185</v>
      </c>
      <c r="D445">
        <v>179</v>
      </c>
      <c r="E445">
        <v>3</v>
      </c>
      <c r="F445">
        <v>0</v>
      </c>
      <c r="G445">
        <v>1</v>
      </c>
      <c r="H445">
        <v>0</v>
      </c>
      <c r="I445">
        <v>2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116</v>
      </c>
      <c r="D447">
        <v>90</v>
      </c>
      <c r="E447">
        <v>8</v>
      </c>
      <c r="F447">
        <v>13</v>
      </c>
      <c r="G447">
        <v>0</v>
      </c>
      <c r="H447">
        <v>1</v>
      </c>
      <c r="I447">
        <v>4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90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53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177</v>
      </c>
      <c r="E451">
        <v>3</v>
      </c>
      <c r="F451">
        <v>2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105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93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84</v>
      </c>
      <c r="D455">
        <v>44</v>
      </c>
      <c r="E455">
        <v>4</v>
      </c>
      <c r="F455">
        <v>35</v>
      </c>
      <c r="G455">
        <v>1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17</v>
      </c>
      <c r="E456">
        <v>2</v>
      </c>
      <c r="F456">
        <v>32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160</v>
      </c>
      <c r="D457">
        <v>117</v>
      </c>
      <c r="E457">
        <v>38</v>
      </c>
      <c r="F457">
        <v>2</v>
      </c>
      <c r="G457">
        <v>0</v>
      </c>
      <c r="H457">
        <v>3</v>
      </c>
      <c r="I457">
        <v>0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14</v>
      </c>
      <c r="E458">
        <v>0</v>
      </c>
      <c r="F458">
        <v>106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101</v>
      </c>
      <c r="D459">
        <v>33</v>
      </c>
      <c r="E459">
        <v>1</v>
      </c>
      <c r="F459">
        <v>67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90</v>
      </c>
      <c r="E460">
        <v>1</v>
      </c>
      <c r="F460">
        <v>0</v>
      </c>
      <c r="G460">
        <v>0</v>
      </c>
      <c r="H460">
        <v>1</v>
      </c>
      <c r="I460">
        <v>0</v>
      </c>
      <c r="J460">
        <v>0</v>
      </c>
    </row>
    <row r="461" spans="1:10" x14ac:dyDescent="0.25">
      <c r="A461" t="s">
        <v>128</v>
      </c>
      <c r="B461">
        <v>7172031007002400</v>
      </c>
      <c r="C461">
        <v>78</v>
      </c>
      <c r="D461">
        <v>0</v>
      </c>
      <c r="E461">
        <v>10</v>
      </c>
      <c r="F461">
        <v>68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215</v>
      </c>
      <c r="D463">
        <v>128</v>
      </c>
      <c r="E463">
        <v>2</v>
      </c>
      <c r="F463">
        <v>85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139</v>
      </c>
      <c r="E464">
        <v>2</v>
      </c>
      <c r="F464">
        <v>1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98</v>
      </c>
      <c r="E468">
        <v>0</v>
      </c>
      <c r="F468">
        <v>1</v>
      </c>
      <c r="G468">
        <v>0</v>
      </c>
      <c r="H468">
        <v>1</v>
      </c>
      <c r="I468">
        <v>0</v>
      </c>
      <c r="J468">
        <v>0</v>
      </c>
    </row>
    <row r="469" spans="1:10" x14ac:dyDescent="0.25">
      <c r="A469" t="s">
        <v>131</v>
      </c>
      <c r="B469">
        <v>7172040007000100</v>
      </c>
      <c r="C469">
        <v>80</v>
      </c>
      <c r="D469">
        <v>43</v>
      </c>
      <c r="E469">
        <v>3</v>
      </c>
      <c r="F469">
        <v>34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131</v>
      </c>
      <c r="B470">
        <v>7172040007000200</v>
      </c>
      <c r="C470">
        <v>80</v>
      </c>
      <c r="D470">
        <v>18</v>
      </c>
      <c r="E470">
        <v>0</v>
      </c>
      <c r="F470">
        <v>62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14</v>
      </c>
      <c r="E471">
        <v>0</v>
      </c>
      <c r="F471">
        <v>61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9</v>
      </c>
      <c r="E472">
        <v>0</v>
      </c>
      <c r="F472">
        <v>58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13</v>
      </c>
      <c r="E473">
        <v>1</v>
      </c>
      <c r="F473">
        <v>43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7</v>
      </c>
      <c r="E474">
        <v>0</v>
      </c>
      <c r="F474">
        <v>46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47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9</v>
      </c>
      <c r="E476">
        <v>1</v>
      </c>
      <c r="F476">
        <v>32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14</v>
      </c>
      <c r="E477">
        <v>0</v>
      </c>
      <c r="F477">
        <v>27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159</v>
      </c>
      <c r="D478">
        <v>135</v>
      </c>
      <c r="E478">
        <v>3</v>
      </c>
      <c r="F478">
        <v>19</v>
      </c>
      <c r="G478">
        <v>0</v>
      </c>
      <c r="H478">
        <v>2</v>
      </c>
      <c r="I478">
        <v>0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72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7172040005000400</v>
      </c>
      <c r="C480">
        <v>72</v>
      </c>
      <c r="D480">
        <v>28</v>
      </c>
      <c r="E480">
        <v>4</v>
      </c>
      <c r="F480">
        <v>39</v>
      </c>
      <c r="G480">
        <v>1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5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5</v>
      </c>
      <c r="E482">
        <v>0</v>
      </c>
      <c r="F482">
        <v>47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44</v>
      </c>
      <c r="E483">
        <v>1</v>
      </c>
      <c r="F483">
        <v>4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47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42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39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3</v>
      </c>
      <c r="E487">
        <v>0</v>
      </c>
      <c r="F487">
        <v>36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128</v>
      </c>
      <c r="D489">
        <v>13</v>
      </c>
      <c r="E489">
        <v>1</v>
      </c>
      <c r="F489">
        <v>113</v>
      </c>
      <c r="G489">
        <v>0</v>
      </c>
      <c r="H489">
        <v>0</v>
      </c>
      <c r="I489">
        <v>1</v>
      </c>
      <c r="J489">
        <v>0</v>
      </c>
    </row>
    <row r="490" spans="1:10" x14ac:dyDescent="0.25">
      <c r="A490" t="s">
        <v>138</v>
      </c>
      <c r="B490">
        <v>7172040005001800</v>
      </c>
      <c r="C490">
        <v>125</v>
      </c>
      <c r="D490">
        <v>65</v>
      </c>
      <c r="E490">
        <v>8</v>
      </c>
      <c r="F490">
        <v>49</v>
      </c>
      <c r="G490">
        <v>0</v>
      </c>
      <c r="H490">
        <v>3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123</v>
      </c>
      <c r="D491">
        <v>56</v>
      </c>
      <c r="E491">
        <v>2</v>
      </c>
      <c r="F491">
        <v>65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75</v>
      </c>
      <c r="D492">
        <v>40</v>
      </c>
      <c r="E492">
        <v>3</v>
      </c>
      <c r="F492">
        <v>29</v>
      </c>
      <c r="G492">
        <v>0</v>
      </c>
      <c r="H492">
        <v>1</v>
      </c>
      <c r="I492">
        <v>2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55</v>
      </c>
      <c r="E494">
        <v>0</v>
      </c>
      <c r="F494">
        <v>1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1</v>
      </c>
      <c r="E495">
        <v>0</v>
      </c>
      <c r="F495">
        <v>55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90</v>
      </c>
      <c r="E496">
        <v>22</v>
      </c>
      <c r="F496">
        <v>1</v>
      </c>
      <c r="G496">
        <v>25</v>
      </c>
      <c r="H496">
        <v>0</v>
      </c>
      <c r="I496">
        <v>0</v>
      </c>
      <c r="J496">
        <v>0</v>
      </c>
    </row>
    <row r="497" spans="1:10" x14ac:dyDescent="0.25">
      <c r="A497" t="s">
        <v>141</v>
      </c>
      <c r="B497">
        <v>7172040013000200</v>
      </c>
      <c r="C497">
        <v>99</v>
      </c>
      <c r="D497">
        <v>74</v>
      </c>
      <c r="E497">
        <v>13</v>
      </c>
      <c r="F497">
        <v>5</v>
      </c>
      <c r="G497">
        <v>0</v>
      </c>
      <c r="H497">
        <v>0</v>
      </c>
      <c r="I497">
        <v>7</v>
      </c>
      <c r="J497">
        <v>0</v>
      </c>
    </row>
    <row r="498" spans="1:10" x14ac:dyDescent="0.25">
      <c r="A498" t="s">
        <v>141</v>
      </c>
      <c r="B498">
        <v>7172040012001200</v>
      </c>
      <c r="C498">
        <v>79</v>
      </c>
      <c r="D498">
        <v>23</v>
      </c>
      <c r="E498">
        <v>2</v>
      </c>
      <c r="F498">
        <v>54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15</v>
      </c>
      <c r="E499">
        <v>4</v>
      </c>
      <c r="F499">
        <v>36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16</v>
      </c>
      <c r="E500">
        <v>33</v>
      </c>
      <c r="F500">
        <v>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13</v>
      </c>
      <c r="E501">
        <v>0</v>
      </c>
      <c r="F501">
        <v>36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8</v>
      </c>
      <c r="E502">
        <v>2</v>
      </c>
      <c r="F502">
        <v>30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15</v>
      </c>
      <c r="E503">
        <v>0</v>
      </c>
      <c r="F503">
        <v>23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13</v>
      </c>
      <c r="E504">
        <v>0</v>
      </c>
      <c r="F504">
        <v>25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9</v>
      </c>
      <c r="E505">
        <v>1</v>
      </c>
      <c r="F505">
        <v>24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142</v>
      </c>
      <c r="B506">
        <v>7172040013000600</v>
      </c>
      <c r="C506">
        <v>132</v>
      </c>
      <c r="D506">
        <v>106</v>
      </c>
      <c r="E506">
        <v>10</v>
      </c>
      <c r="F506">
        <v>11</v>
      </c>
      <c r="G506">
        <v>4</v>
      </c>
      <c r="H506">
        <v>0</v>
      </c>
      <c r="I506">
        <v>1</v>
      </c>
      <c r="J506">
        <v>0</v>
      </c>
    </row>
    <row r="507" spans="1:10" x14ac:dyDescent="0.25">
      <c r="A507" t="s">
        <v>142</v>
      </c>
      <c r="B507">
        <v>7172040013000800</v>
      </c>
      <c r="C507">
        <v>89</v>
      </c>
      <c r="D507">
        <v>86</v>
      </c>
      <c r="E507">
        <v>0</v>
      </c>
      <c r="F507">
        <v>1</v>
      </c>
      <c r="G507">
        <v>2</v>
      </c>
      <c r="H507">
        <v>0</v>
      </c>
      <c r="I507">
        <v>0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4</v>
      </c>
      <c r="E508">
        <v>0</v>
      </c>
      <c r="F508">
        <v>64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8</v>
      </c>
      <c r="E509">
        <v>0</v>
      </c>
      <c r="F509">
        <v>59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7172040013000500</v>
      </c>
      <c r="C510">
        <v>56</v>
      </c>
      <c r="D510">
        <v>39</v>
      </c>
      <c r="E510">
        <v>5</v>
      </c>
      <c r="F510">
        <v>11</v>
      </c>
      <c r="G510">
        <v>0</v>
      </c>
      <c r="H510">
        <v>0</v>
      </c>
      <c r="I510">
        <v>1</v>
      </c>
      <c r="J510">
        <v>0</v>
      </c>
    </row>
    <row r="511" spans="1:10" x14ac:dyDescent="0.25">
      <c r="A511" t="s">
        <v>142</v>
      </c>
      <c r="B511">
        <v>7172040013000900</v>
      </c>
      <c r="C511">
        <v>56</v>
      </c>
      <c r="D511">
        <v>31</v>
      </c>
      <c r="E511">
        <v>2</v>
      </c>
      <c r="F511">
        <v>23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7172040012001500</v>
      </c>
      <c r="C512">
        <v>55</v>
      </c>
      <c r="D512">
        <v>9</v>
      </c>
      <c r="E512">
        <v>0</v>
      </c>
      <c r="F512">
        <v>46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2</v>
      </c>
      <c r="E513">
        <v>0</v>
      </c>
      <c r="F513">
        <v>50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3</v>
      </c>
      <c r="E514">
        <v>0</v>
      </c>
      <c r="F514">
        <v>45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6</v>
      </c>
      <c r="E515">
        <v>0</v>
      </c>
      <c r="F515">
        <v>41</v>
      </c>
      <c r="G515">
        <v>0</v>
      </c>
      <c r="H515">
        <v>0</v>
      </c>
      <c r="I515">
        <v>1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2</v>
      </c>
      <c r="E516">
        <v>0</v>
      </c>
      <c r="F516">
        <v>39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144</v>
      </c>
      <c r="D517">
        <v>101</v>
      </c>
      <c r="E517">
        <v>3</v>
      </c>
      <c r="F517">
        <v>39</v>
      </c>
      <c r="G517">
        <v>1</v>
      </c>
      <c r="H517">
        <v>0</v>
      </c>
      <c r="I517">
        <v>0</v>
      </c>
      <c r="J517">
        <v>0</v>
      </c>
    </row>
    <row r="518" spans="1:10" x14ac:dyDescent="0.25">
      <c r="A518" t="s">
        <v>5</v>
      </c>
      <c r="B518">
        <v>7172010008001102</v>
      </c>
      <c r="C518">
        <v>120</v>
      </c>
      <c r="D518">
        <v>85</v>
      </c>
      <c r="E518">
        <v>0</v>
      </c>
      <c r="F518">
        <v>35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5</v>
      </c>
      <c r="B519">
        <v>7172010008001400</v>
      </c>
      <c r="C519">
        <v>116</v>
      </c>
      <c r="D519">
        <v>108</v>
      </c>
      <c r="E519">
        <v>2</v>
      </c>
      <c r="F519">
        <v>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6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23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7172010009000100</v>
      </c>
      <c r="C528">
        <v>52</v>
      </c>
      <c r="D528">
        <v>0</v>
      </c>
      <c r="E528">
        <v>0</v>
      </c>
      <c r="F528">
        <v>41</v>
      </c>
      <c r="G528">
        <v>0</v>
      </c>
      <c r="H528">
        <v>0</v>
      </c>
      <c r="I528">
        <v>11</v>
      </c>
      <c r="J528">
        <v>0</v>
      </c>
    </row>
    <row r="529" spans="1:10" x14ac:dyDescent="0.25">
      <c r="A529" t="s">
        <v>8</v>
      </c>
      <c r="B529">
        <v>7172010008001800</v>
      </c>
      <c r="C529">
        <v>51</v>
      </c>
      <c r="D529">
        <v>50</v>
      </c>
      <c r="E529">
        <v>0</v>
      </c>
      <c r="F529">
        <v>0</v>
      </c>
      <c r="G529">
        <v>0</v>
      </c>
      <c r="H529">
        <v>0</v>
      </c>
      <c r="I529">
        <v>1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5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66</v>
      </c>
      <c r="D537">
        <v>64</v>
      </c>
      <c r="E537">
        <v>1</v>
      </c>
      <c r="F537">
        <v>1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7172010009001300</v>
      </c>
      <c r="C538">
        <v>62</v>
      </c>
      <c r="D538">
        <v>22</v>
      </c>
      <c r="E538">
        <v>1</v>
      </c>
      <c r="F538">
        <v>23</v>
      </c>
      <c r="G538">
        <v>0</v>
      </c>
      <c r="H538">
        <v>0</v>
      </c>
      <c r="I538">
        <v>16</v>
      </c>
      <c r="J538">
        <v>0</v>
      </c>
    </row>
    <row r="539" spans="1:10" x14ac:dyDescent="0.25">
      <c r="A539" t="s">
        <v>9</v>
      </c>
      <c r="B539">
        <v>7172010009001000</v>
      </c>
      <c r="C539">
        <v>60</v>
      </c>
      <c r="D539">
        <v>52</v>
      </c>
      <c r="E539">
        <v>1</v>
      </c>
      <c r="F539">
        <v>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7172010009001200</v>
      </c>
      <c r="C540">
        <v>60</v>
      </c>
      <c r="D540">
        <v>57</v>
      </c>
      <c r="E540">
        <v>2</v>
      </c>
      <c r="F540">
        <v>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48</v>
      </c>
      <c r="D543">
        <v>45</v>
      </c>
      <c r="E543">
        <v>1</v>
      </c>
      <c r="F543">
        <v>2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40</v>
      </c>
      <c r="G544">
        <v>0</v>
      </c>
      <c r="H544">
        <v>0</v>
      </c>
      <c r="I544">
        <v>5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35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132</v>
      </c>
      <c r="D551">
        <v>127</v>
      </c>
      <c r="E551">
        <v>2</v>
      </c>
      <c r="F551">
        <v>3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7172010009002900</v>
      </c>
      <c r="C552">
        <v>104</v>
      </c>
      <c r="D552">
        <v>96</v>
      </c>
      <c r="E552">
        <v>0</v>
      </c>
      <c r="F552">
        <v>8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7172010009003000</v>
      </c>
      <c r="C554">
        <v>81</v>
      </c>
      <c r="D554">
        <v>25</v>
      </c>
      <c r="E554">
        <v>6</v>
      </c>
      <c r="F554">
        <v>50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10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4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64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64</v>
      </c>
      <c r="D563">
        <v>29</v>
      </c>
      <c r="E563">
        <v>5</v>
      </c>
      <c r="F563">
        <v>30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5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8</v>
      </c>
      <c r="G565">
        <v>0</v>
      </c>
      <c r="H565">
        <v>1</v>
      </c>
      <c r="I565">
        <v>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31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7172010011001800</v>
      </c>
      <c r="C572">
        <v>61</v>
      </c>
      <c r="D572">
        <v>59</v>
      </c>
      <c r="E572">
        <v>0</v>
      </c>
      <c r="F572">
        <v>2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46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21</v>
      </c>
      <c r="E579">
        <v>0</v>
      </c>
      <c r="F579">
        <v>12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7172010012001000</v>
      </c>
      <c r="C587">
        <v>71</v>
      </c>
      <c r="D587">
        <v>63</v>
      </c>
      <c r="E587">
        <v>1</v>
      </c>
      <c r="F587">
        <v>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7172010012000500</v>
      </c>
      <c r="C588">
        <v>70</v>
      </c>
      <c r="D588">
        <v>59</v>
      </c>
      <c r="E588">
        <v>0</v>
      </c>
      <c r="F588">
        <v>11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7172010012001100</v>
      </c>
      <c r="C589">
        <v>56</v>
      </c>
      <c r="D589">
        <v>0</v>
      </c>
      <c r="E589">
        <v>0</v>
      </c>
      <c r="F589">
        <v>56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7172010012000100</v>
      </c>
      <c r="C590">
        <v>50</v>
      </c>
      <c r="D590">
        <v>41</v>
      </c>
      <c r="E590">
        <v>0</v>
      </c>
      <c r="F590">
        <v>9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10</v>
      </c>
      <c r="E597">
        <v>0</v>
      </c>
      <c r="F597">
        <v>151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146</v>
      </c>
      <c r="D598">
        <v>124</v>
      </c>
      <c r="E598">
        <v>4</v>
      </c>
      <c r="F598">
        <v>18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7172010015002700</v>
      </c>
      <c r="C599">
        <v>100</v>
      </c>
      <c r="D599">
        <v>33</v>
      </c>
      <c r="E599">
        <v>1</v>
      </c>
      <c r="F599">
        <v>66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7172010015002900</v>
      </c>
      <c r="C600">
        <v>85</v>
      </c>
      <c r="D600">
        <v>59</v>
      </c>
      <c r="E600">
        <v>1</v>
      </c>
      <c r="F600">
        <v>25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69</v>
      </c>
      <c r="D601">
        <v>37</v>
      </c>
      <c r="E601">
        <v>6</v>
      </c>
      <c r="F601">
        <v>26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60</v>
      </c>
      <c r="D602">
        <v>36</v>
      </c>
      <c r="E602">
        <v>4</v>
      </c>
      <c r="F602">
        <v>20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39</v>
      </c>
      <c r="D603">
        <v>19</v>
      </c>
      <c r="E603">
        <v>0</v>
      </c>
      <c r="F603">
        <v>20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139</v>
      </c>
      <c r="D605">
        <v>130</v>
      </c>
      <c r="E605">
        <v>0</v>
      </c>
      <c r="F605">
        <v>9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68</v>
      </c>
      <c r="D608">
        <v>67</v>
      </c>
      <c r="E608">
        <v>0</v>
      </c>
      <c r="F608">
        <v>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6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7172010008001101</v>
      </c>
      <c r="C612">
        <v>178</v>
      </c>
      <c r="D612">
        <v>33</v>
      </c>
      <c r="E612">
        <v>0</v>
      </c>
      <c r="F612">
        <v>110</v>
      </c>
      <c r="G612">
        <v>0</v>
      </c>
      <c r="H612">
        <v>0</v>
      </c>
      <c r="I612">
        <v>35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9</v>
      </c>
      <c r="E619">
        <v>1</v>
      </c>
      <c r="F619">
        <v>70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43</v>
      </c>
      <c r="D624">
        <v>6</v>
      </c>
      <c r="E624">
        <v>4</v>
      </c>
      <c r="F624">
        <v>33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178</v>
      </c>
      <c r="D626">
        <v>138</v>
      </c>
      <c r="E626">
        <v>2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7172011002000600</v>
      </c>
      <c r="C627">
        <v>176</v>
      </c>
      <c r="D627">
        <v>140</v>
      </c>
      <c r="E627">
        <v>7</v>
      </c>
      <c r="F627">
        <v>28</v>
      </c>
      <c r="G627">
        <v>0</v>
      </c>
      <c r="H627">
        <v>1</v>
      </c>
      <c r="I627">
        <v>0</v>
      </c>
      <c r="J627">
        <v>0</v>
      </c>
    </row>
    <row r="628" spans="1:10" x14ac:dyDescent="0.25">
      <c r="A628" t="s">
        <v>27</v>
      </c>
      <c r="B628">
        <v>7172011002000900</v>
      </c>
      <c r="C628">
        <v>130</v>
      </c>
      <c r="D628">
        <v>58</v>
      </c>
      <c r="E628">
        <v>2</v>
      </c>
      <c r="F628">
        <v>70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138</v>
      </c>
      <c r="D633">
        <v>117</v>
      </c>
      <c r="E633">
        <v>3</v>
      </c>
      <c r="F633">
        <v>18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7172011002001200</v>
      </c>
      <c r="C634">
        <v>118</v>
      </c>
      <c r="D634">
        <v>80</v>
      </c>
      <c r="E634">
        <v>7</v>
      </c>
      <c r="F634">
        <v>31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29</v>
      </c>
      <c r="B635">
        <v>7172011002001400</v>
      </c>
      <c r="C635">
        <v>93</v>
      </c>
      <c r="D635">
        <v>40</v>
      </c>
      <c r="E635">
        <v>3</v>
      </c>
      <c r="F635">
        <v>40</v>
      </c>
      <c r="G635">
        <v>0</v>
      </c>
      <c r="H635">
        <v>0</v>
      </c>
      <c r="I635">
        <v>10</v>
      </c>
      <c r="J635">
        <v>0</v>
      </c>
    </row>
    <row r="636" spans="1:10" x14ac:dyDescent="0.25">
      <c r="A636" t="s">
        <v>29</v>
      </c>
      <c r="B636">
        <v>7172011011000500</v>
      </c>
      <c r="C636">
        <v>89</v>
      </c>
      <c r="D636">
        <v>83</v>
      </c>
      <c r="E636">
        <v>5</v>
      </c>
      <c r="F636">
        <v>0</v>
      </c>
      <c r="G636">
        <v>1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83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37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103</v>
      </c>
      <c r="E643">
        <v>1</v>
      </c>
      <c r="F643">
        <v>15</v>
      </c>
      <c r="G643">
        <v>3</v>
      </c>
      <c r="H643">
        <v>0</v>
      </c>
      <c r="I643">
        <v>44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67</v>
      </c>
      <c r="E644">
        <v>21</v>
      </c>
      <c r="F644">
        <v>61</v>
      </c>
      <c r="G644">
        <v>0</v>
      </c>
      <c r="H644">
        <v>0</v>
      </c>
      <c r="I644">
        <v>1</v>
      </c>
      <c r="J644">
        <v>0</v>
      </c>
    </row>
    <row r="645" spans="1:10" x14ac:dyDescent="0.25">
      <c r="A645" t="s">
        <v>30</v>
      </c>
      <c r="B645">
        <v>7172011003000700</v>
      </c>
      <c r="C645">
        <v>137</v>
      </c>
      <c r="D645">
        <v>66</v>
      </c>
      <c r="E645">
        <v>9</v>
      </c>
      <c r="F645">
        <v>57</v>
      </c>
      <c r="G645">
        <v>0</v>
      </c>
      <c r="H645">
        <v>0</v>
      </c>
      <c r="I645">
        <v>5</v>
      </c>
      <c r="J645">
        <v>0</v>
      </c>
    </row>
    <row r="646" spans="1:10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121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208</v>
      </c>
      <c r="D648">
        <v>178</v>
      </c>
      <c r="E648">
        <v>0</v>
      </c>
      <c r="F648">
        <v>30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32</v>
      </c>
      <c r="B649">
        <v>7172011003000600</v>
      </c>
      <c r="C649">
        <v>204</v>
      </c>
      <c r="D649">
        <v>85</v>
      </c>
      <c r="E649">
        <v>1</v>
      </c>
      <c r="F649">
        <v>118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0</v>
      </c>
      <c r="F650">
        <v>124</v>
      </c>
      <c r="G650">
        <v>0</v>
      </c>
      <c r="H650">
        <v>0</v>
      </c>
      <c r="I650">
        <v>3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6</v>
      </c>
      <c r="E652">
        <v>0</v>
      </c>
      <c r="F652">
        <v>118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7172011003003503</v>
      </c>
      <c r="C653">
        <v>123</v>
      </c>
      <c r="D653">
        <v>39</v>
      </c>
      <c r="E653">
        <v>11</v>
      </c>
      <c r="F653">
        <v>68</v>
      </c>
      <c r="G653">
        <v>5</v>
      </c>
      <c r="H653">
        <v>0</v>
      </c>
      <c r="I653">
        <v>0</v>
      </c>
      <c r="J653">
        <v>0</v>
      </c>
    </row>
    <row r="654" spans="1:10" x14ac:dyDescent="0.25">
      <c r="A654" t="s">
        <v>33</v>
      </c>
      <c r="B654">
        <v>7172011014001702</v>
      </c>
      <c r="C654">
        <v>119</v>
      </c>
      <c r="D654">
        <v>116</v>
      </c>
      <c r="E654">
        <v>2</v>
      </c>
      <c r="F654">
        <v>0</v>
      </c>
      <c r="G654">
        <v>0</v>
      </c>
      <c r="H654">
        <v>1</v>
      </c>
      <c r="I654">
        <v>0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114</v>
      </c>
      <c r="G655">
        <v>1</v>
      </c>
      <c r="H655">
        <v>1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7172011003003502</v>
      </c>
      <c r="C657">
        <v>73</v>
      </c>
      <c r="D657">
        <v>67</v>
      </c>
      <c r="E657">
        <v>5</v>
      </c>
      <c r="F657">
        <v>0</v>
      </c>
      <c r="G657">
        <v>1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17</v>
      </c>
      <c r="G658">
        <v>33</v>
      </c>
      <c r="H658">
        <v>17</v>
      </c>
      <c r="I658">
        <v>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51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105</v>
      </c>
      <c r="E661">
        <v>1</v>
      </c>
      <c r="F661">
        <v>13</v>
      </c>
      <c r="G661">
        <v>1</v>
      </c>
      <c r="H661">
        <v>1</v>
      </c>
      <c r="I661">
        <v>0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93</v>
      </c>
      <c r="E662">
        <v>8</v>
      </c>
      <c r="F662">
        <v>11</v>
      </c>
      <c r="G662">
        <v>1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7172011003001200</v>
      </c>
      <c r="C663">
        <v>109</v>
      </c>
      <c r="D663">
        <v>21</v>
      </c>
      <c r="E663">
        <v>0</v>
      </c>
      <c r="F663">
        <v>70</v>
      </c>
      <c r="G663">
        <v>0</v>
      </c>
      <c r="H663">
        <v>0</v>
      </c>
      <c r="I663">
        <v>18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177</v>
      </c>
      <c r="D665">
        <v>59</v>
      </c>
      <c r="E665">
        <v>58</v>
      </c>
      <c r="F665">
        <v>53</v>
      </c>
      <c r="G665">
        <v>0</v>
      </c>
      <c r="H665">
        <v>0</v>
      </c>
      <c r="I665">
        <v>7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4</v>
      </c>
      <c r="E666">
        <v>0</v>
      </c>
      <c r="F666">
        <v>125</v>
      </c>
      <c r="G666">
        <v>12</v>
      </c>
      <c r="H666">
        <v>0</v>
      </c>
      <c r="I666">
        <v>9</v>
      </c>
      <c r="J666">
        <v>0</v>
      </c>
    </row>
    <row r="667" spans="1:10" x14ac:dyDescent="0.25">
      <c r="A667" t="s">
        <v>40</v>
      </c>
      <c r="B667">
        <v>7172011004000700</v>
      </c>
      <c r="C667">
        <v>140</v>
      </c>
      <c r="D667">
        <v>133</v>
      </c>
      <c r="E667">
        <v>2</v>
      </c>
      <c r="F667">
        <v>1</v>
      </c>
      <c r="G667">
        <v>2</v>
      </c>
      <c r="H667">
        <v>1</v>
      </c>
      <c r="I667">
        <v>1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223</v>
      </c>
      <c r="D670">
        <v>72</v>
      </c>
      <c r="E670">
        <v>20</v>
      </c>
      <c r="F670">
        <v>131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3</v>
      </c>
      <c r="E671">
        <v>2</v>
      </c>
      <c r="F671">
        <v>86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70</v>
      </c>
      <c r="D672">
        <v>57</v>
      </c>
      <c r="E672">
        <v>0</v>
      </c>
      <c r="F672">
        <v>13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51</v>
      </c>
      <c r="E673">
        <v>2</v>
      </c>
      <c r="F673">
        <v>10</v>
      </c>
      <c r="G673">
        <v>1</v>
      </c>
      <c r="H673">
        <v>0</v>
      </c>
      <c r="I673">
        <v>0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22</v>
      </c>
      <c r="E674">
        <v>1</v>
      </c>
      <c r="F674">
        <v>32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12</v>
      </c>
      <c r="E675">
        <v>4</v>
      </c>
      <c r="F675">
        <v>37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52</v>
      </c>
      <c r="D676">
        <v>26</v>
      </c>
      <c r="E676">
        <v>3</v>
      </c>
      <c r="F676">
        <v>22</v>
      </c>
      <c r="G676">
        <v>0</v>
      </c>
      <c r="H676">
        <v>0</v>
      </c>
      <c r="I676">
        <v>1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38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15</v>
      </c>
      <c r="E678">
        <v>0</v>
      </c>
      <c r="F678">
        <v>28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20</v>
      </c>
      <c r="E679">
        <v>0</v>
      </c>
      <c r="F679">
        <v>17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7172011011000700</v>
      </c>
      <c r="C680">
        <v>29</v>
      </c>
      <c r="D680">
        <v>20</v>
      </c>
      <c r="E680">
        <v>4</v>
      </c>
      <c r="F680">
        <v>4</v>
      </c>
      <c r="G680">
        <v>0</v>
      </c>
      <c r="H680">
        <v>0</v>
      </c>
      <c r="I680">
        <v>1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120</v>
      </c>
      <c r="E683">
        <v>0</v>
      </c>
      <c r="F683">
        <v>2</v>
      </c>
      <c r="G683">
        <v>16</v>
      </c>
      <c r="H683">
        <v>0</v>
      </c>
      <c r="I683">
        <v>51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148</v>
      </c>
      <c r="D685">
        <v>129</v>
      </c>
      <c r="E685">
        <v>5</v>
      </c>
      <c r="F685">
        <v>13</v>
      </c>
      <c r="G685">
        <v>0</v>
      </c>
      <c r="H685">
        <v>0</v>
      </c>
      <c r="I685">
        <v>1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235</v>
      </c>
      <c r="D688">
        <v>101</v>
      </c>
      <c r="E688">
        <v>16</v>
      </c>
      <c r="F688">
        <v>28</v>
      </c>
      <c r="G688">
        <v>0</v>
      </c>
      <c r="H688">
        <v>1</v>
      </c>
      <c r="I688">
        <v>89</v>
      </c>
      <c r="J688">
        <v>0</v>
      </c>
    </row>
    <row r="689" spans="1:10" x14ac:dyDescent="0.25">
      <c r="A689" t="s">
        <v>48</v>
      </c>
      <c r="B689">
        <v>7172011014001100</v>
      </c>
      <c r="C689">
        <v>183</v>
      </c>
      <c r="D689">
        <v>0</v>
      </c>
      <c r="E689">
        <v>8</v>
      </c>
      <c r="F689">
        <v>62</v>
      </c>
      <c r="G689">
        <v>0</v>
      </c>
      <c r="H689">
        <v>0</v>
      </c>
      <c r="I689">
        <v>113</v>
      </c>
      <c r="J689">
        <v>0</v>
      </c>
    </row>
    <row r="690" spans="1:10" x14ac:dyDescent="0.25">
      <c r="A690" t="s">
        <v>48</v>
      </c>
      <c r="B690">
        <v>7172011014000700</v>
      </c>
      <c r="C690">
        <v>125</v>
      </c>
      <c r="D690">
        <v>0</v>
      </c>
      <c r="E690">
        <v>4</v>
      </c>
      <c r="F690">
        <v>119</v>
      </c>
      <c r="G690">
        <v>0</v>
      </c>
      <c r="H690">
        <v>0</v>
      </c>
      <c r="I690">
        <v>2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4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7172012001001001</v>
      </c>
      <c r="C695">
        <v>162</v>
      </c>
      <c r="D695">
        <v>15</v>
      </c>
      <c r="E695">
        <v>2</v>
      </c>
      <c r="F695">
        <v>86</v>
      </c>
      <c r="G695">
        <v>0</v>
      </c>
      <c r="H695">
        <v>0</v>
      </c>
      <c r="I695">
        <v>59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193</v>
      </c>
      <c r="E697">
        <v>7</v>
      </c>
      <c r="F697">
        <v>96</v>
      </c>
      <c r="G697">
        <v>2</v>
      </c>
      <c r="H697">
        <v>0</v>
      </c>
      <c r="I697">
        <v>2</v>
      </c>
      <c r="J697">
        <v>0</v>
      </c>
    </row>
    <row r="698" spans="1:10" x14ac:dyDescent="0.25">
      <c r="A698" t="s">
        <v>52</v>
      </c>
      <c r="B698">
        <v>7172012001000602</v>
      </c>
      <c r="C698">
        <v>227</v>
      </c>
      <c r="D698">
        <v>71</v>
      </c>
      <c r="E698">
        <v>2</v>
      </c>
      <c r="F698">
        <v>154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7172012002000101</v>
      </c>
      <c r="C699">
        <v>157</v>
      </c>
      <c r="D699">
        <v>64</v>
      </c>
      <c r="E699">
        <v>5</v>
      </c>
      <c r="F699">
        <v>41</v>
      </c>
      <c r="G699">
        <v>0</v>
      </c>
      <c r="H699">
        <v>0</v>
      </c>
      <c r="I699">
        <v>47</v>
      </c>
      <c r="J699">
        <v>0</v>
      </c>
    </row>
    <row r="700" spans="1:10" x14ac:dyDescent="0.25">
      <c r="A700" t="s">
        <v>49</v>
      </c>
      <c r="B700">
        <v>7172012002000500</v>
      </c>
      <c r="C700">
        <v>134</v>
      </c>
      <c r="D700">
        <v>6</v>
      </c>
      <c r="E700">
        <v>0</v>
      </c>
      <c r="F700">
        <v>102</v>
      </c>
      <c r="G700">
        <v>0</v>
      </c>
      <c r="H700">
        <v>0</v>
      </c>
      <c r="I700">
        <v>26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4</v>
      </c>
      <c r="E702">
        <v>5</v>
      </c>
      <c r="F702">
        <v>74</v>
      </c>
      <c r="G702">
        <v>0</v>
      </c>
      <c r="H702">
        <v>0</v>
      </c>
      <c r="I702">
        <v>11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186</v>
      </c>
      <c r="D705">
        <v>176</v>
      </c>
      <c r="E705">
        <v>2</v>
      </c>
      <c r="F705">
        <v>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7172012002000900</v>
      </c>
      <c r="C706">
        <v>144</v>
      </c>
      <c r="D706">
        <v>94</v>
      </c>
      <c r="E706">
        <v>1</v>
      </c>
      <c r="F706">
        <v>49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139</v>
      </c>
      <c r="D710">
        <v>115</v>
      </c>
      <c r="E710">
        <v>5</v>
      </c>
      <c r="F710">
        <v>19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68</v>
      </c>
      <c r="E713">
        <v>0</v>
      </c>
      <c r="F713">
        <v>5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7172012003000700</v>
      </c>
      <c r="C714">
        <v>68</v>
      </c>
      <c r="D714">
        <v>9</v>
      </c>
      <c r="E714">
        <v>0</v>
      </c>
      <c r="F714">
        <v>59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7172012003000200</v>
      </c>
      <c r="C715">
        <v>66</v>
      </c>
      <c r="D715">
        <v>62</v>
      </c>
      <c r="E715">
        <v>2</v>
      </c>
      <c r="F715">
        <v>2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7172012003000800</v>
      </c>
      <c r="C717">
        <v>132</v>
      </c>
      <c r="D717">
        <v>20</v>
      </c>
      <c r="E717">
        <v>6</v>
      </c>
      <c r="F717">
        <v>105</v>
      </c>
      <c r="G717">
        <v>0</v>
      </c>
      <c r="H717">
        <v>0</v>
      </c>
      <c r="I717">
        <v>1</v>
      </c>
      <c r="J717">
        <v>0</v>
      </c>
    </row>
    <row r="718" spans="1:10" x14ac:dyDescent="0.25">
      <c r="A718" t="s">
        <v>57</v>
      </c>
      <c r="B718">
        <v>7172012003001100</v>
      </c>
      <c r="C718">
        <v>123</v>
      </c>
      <c r="D718">
        <v>114</v>
      </c>
      <c r="E718">
        <v>0</v>
      </c>
      <c r="F718">
        <v>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90</v>
      </c>
      <c r="D719">
        <v>71</v>
      </c>
      <c r="E719">
        <v>1</v>
      </c>
      <c r="F719">
        <v>15</v>
      </c>
      <c r="G719">
        <v>0</v>
      </c>
      <c r="H719">
        <v>0</v>
      </c>
      <c r="I719">
        <v>3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78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63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31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170</v>
      </c>
      <c r="D725">
        <v>95</v>
      </c>
      <c r="E725">
        <v>1</v>
      </c>
      <c r="F725">
        <v>14</v>
      </c>
      <c r="G725">
        <v>0</v>
      </c>
      <c r="H725">
        <v>0</v>
      </c>
      <c r="I725">
        <v>60</v>
      </c>
      <c r="J725">
        <v>0</v>
      </c>
    </row>
    <row r="726" spans="1:10" x14ac:dyDescent="0.25">
      <c r="A726" t="s">
        <v>238</v>
      </c>
      <c r="B726">
        <v>7172012004000600</v>
      </c>
      <c r="C726">
        <v>151</v>
      </c>
      <c r="D726">
        <v>44</v>
      </c>
      <c r="E726">
        <v>23</v>
      </c>
      <c r="F726">
        <v>74</v>
      </c>
      <c r="G726">
        <v>0</v>
      </c>
      <c r="H726">
        <v>0</v>
      </c>
      <c r="I726">
        <v>10</v>
      </c>
      <c r="J726">
        <v>0</v>
      </c>
    </row>
    <row r="727" spans="1:10" x14ac:dyDescent="0.25">
      <c r="A727" t="s">
        <v>238</v>
      </c>
      <c r="B727">
        <v>7172012004000700</v>
      </c>
      <c r="C727">
        <v>112</v>
      </c>
      <c r="D727">
        <v>90</v>
      </c>
      <c r="E727">
        <v>1</v>
      </c>
      <c r="F727">
        <v>21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10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61</v>
      </c>
      <c r="B731">
        <v>7172012004001201</v>
      </c>
      <c r="C731">
        <v>240</v>
      </c>
      <c r="D731">
        <v>18</v>
      </c>
      <c r="E731">
        <v>4</v>
      </c>
      <c r="F731">
        <v>218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180</v>
      </c>
      <c r="D732">
        <v>138</v>
      </c>
      <c r="E732">
        <v>0</v>
      </c>
      <c r="F732">
        <v>42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7172012004001202</v>
      </c>
      <c r="C733">
        <v>127</v>
      </c>
      <c r="D733">
        <v>59</v>
      </c>
      <c r="E733">
        <v>3</v>
      </c>
      <c r="F733">
        <v>65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74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18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62</v>
      </c>
      <c r="D738">
        <v>48</v>
      </c>
      <c r="E738">
        <v>2</v>
      </c>
      <c r="F738">
        <v>9</v>
      </c>
      <c r="G738">
        <v>0</v>
      </c>
      <c r="H738">
        <v>0</v>
      </c>
      <c r="I738">
        <v>3</v>
      </c>
      <c r="J738">
        <v>0</v>
      </c>
    </row>
    <row r="739" spans="1:10" x14ac:dyDescent="0.25">
      <c r="A739" t="s">
        <v>66</v>
      </c>
      <c r="B739">
        <v>7172012005000600</v>
      </c>
      <c r="C739">
        <v>59</v>
      </c>
      <c r="D739">
        <v>27</v>
      </c>
      <c r="E739">
        <v>1</v>
      </c>
      <c r="F739">
        <v>4</v>
      </c>
      <c r="G739">
        <v>0</v>
      </c>
      <c r="H739">
        <v>0</v>
      </c>
      <c r="I739">
        <v>27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50</v>
      </c>
      <c r="E740">
        <v>0</v>
      </c>
      <c r="F740">
        <v>5</v>
      </c>
      <c r="G740">
        <v>0</v>
      </c>
      <c r="H740">
        <v>0</v>
      </c>
      <c r="I740">
        <v>1</v>
      </c>
      <c r="J740">
        <v>0</v>
      </c>
    </row>
    <row r="741" spans="1:10" x14ac:dyDescent="0.25">
      <c r="A741" t="s">
        <v>66</v>
      </c>
      <c r="B741">
        <v>7172012005002400</v>
      </c>
      <c r="C741">
        <v>52</v>
      </c>
      <c r="D741">
        <v>15</v>
      </c>
      <c r="E741">
        <v>1</v>
      </c>
      <c r="F741">
        <v>14</v>
      </c>
      <c r="G741">
        <v>0</v>
      </c>
      <c r="H741">
        <v>0</v>
      </c>
      <c r="I741">
        <v>22</v>
      </c>
      <c r="J741">
        <v>0</v>
      </c>
    </row>
    <row r="742" spans="1:10" x14ac:dyDescent="0.25">
      <c r="A742" t="s">
        <v>66</v>
      </c>
      <c r="B742">
        <v>7172012005002200</v>
      </c>
      <c r="C742">
        <v>47</v>
      </c>
      <c r="D742">
        <v>0</v>
      </c>
      <c r="E742">
        <v>1</v>
      </c>
      <c r="F742">
        <v>26</v>
      </c>
      <c r="G742">
        <v>0</v>
      </c>
      <c r="H742">
        <v>0</v>
      </c>
      <c r="I742">
        <v>20</v>
      </c>
      <c r="J742">
        <v>0</v>
      </c>
    </row>
    <row r="743" spans="1:10" x14ac:dyDescent="0.25">
      <c r="A743" t="s">
        <v>66</v>
      </c>
      <c r="B743">
        <v>7172012005002300</v>
      </c>
      <c r="C743">
        <v>45</v>
      </c>
      <c r="D743">
        <v>0</v>
      </c>
      <c r="E743">
        <v>0</v>
      </c>
      <c r="F743">
        <v>45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2</v>
      </c>
      <c r="G744">
        <v>0</v>
      </c>
      <c r="H744">
        <v>1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36</v>
      </c>
      <c r="D745">
        <v>0</v>
      </c>
      <c r="E745">
        <v>3</v>
      </c>
      <c r="F745">
        <v>14</v>
      </c>
      <c r="G745">
        <v>0</v>
      </c>
      <c r="H745">
        <v>0</v>
      </c>
      <c r="I745">
        <v>19</v>
      </c>
      <c r="J745">
        <v>0</v>
      </c>
    </row>
    <row r="746" spans="1:10" x14ac:dyDescent="0.25">
      <c r="A746" t="s">
        <v>66</v>
      </c>
      <c r="B746">
        <v>7172012005002000</v>
      </c>
      <c r="C746">
        <v>26</v>
      </c>
      <c r="D746">
        <v>0</v>
      </c>
      <c r="E746">
        <v>1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127</v>
      </c>
      <c r="D747">
        <v>122</v>
      </c>
      <c r="E747">
        <v>2</v>
      </c>
      <c r="F747">
        <v>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68</v>
      </c>
      <c r="B748">
        <v>7172012007001800</v>
      </c>
      <c r="C748">
        <v>126</v>
      </c>
      <c r="D748">
        <v>63</v>
      </c>
      <c r="E748">
        <v>4</v>
      </c>
      <c r="F748">
        <v>55</v>
      </c>
      <c r="G748">
        <v>0</v>
      </c>
      <c r="H748">
        <v>0</v>
      </c>
      <c r="I748">
        <v>4</v>
      </c>
      <c r="J748">
        <v>0</v>
      </c>
    </row>
    <row r="749" spans="1:10" x14ac:dyDescent="0.25">
      <c r="A749" t="s">
        <v>68</v>
      </c>
      <c r="B749">
        <v>7172012007001700</v>
      </c>
      <c r="C749">
        <v>116</v>
      </c>
      <c r="D749">
        <v>2</v>
      </c>
      <c r="E749">
        <v>1</v>
      </c>
      <c r="F749">
        <v>109</v>
      </c>
      <c r="G749">
        <v>0</v>
      </c>
      <c r="H749">
        <v>0</v>
      </c>
      <c r="I749">
        <v>4</v>
      </c>
      <c r="J749">
        <v>0</v>
      </c>
    </row>
    <row r="750" spans="1:10" x14ac:dyDescent="0.25">
      <c r="A750" t="s">
        <v>68</v>
      </c>
      <c r="B750">
        <v>7172012007002100</v>
      </c>
      <c r="C750">
        <v>108</v>
      </c>
      <c r="D750">
        <v>87</v>
      </c>
      <c r="E750">
        <v>4</v>
      </c>
      <c r="F750">
        <v>15</v>
      </c>
      <c r="G750">
        <v>0</v>
      </c>
      <c r="H750">
        <v>0</v>
      </c>
      <c r="I750">
        <v>2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7172012006000801</v>
      </c>
      <c r="C755">
        <v>156</v>
      </c>
      <c r="D755">
        <v>94</v>
      </c>
      <c r="E755">
        <v>4</v>
      </c>
      <c r="F755">
        <v>58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7172012006000802</v>
      </c>
      <c r="C758">
        <v>121</v>
      </c>
      <c r="D758">
        <v>116</v>
      </c>
      <c r="E758">
        <v>5</v>
      </c>
      <c r="F758">
        <v>0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75</v>
      </c>
      <c r="D760">
        <v>74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141</v>
      </c>
      <c r="E761">
        <v>0</v>
      </c>
      <c r="F761">
        <v>21</v>
      </c>
      <c r="G761">
        <v>0</v>
      </c>
      <c r="H761">
        <v>0</v>
      </c>
      <c r="I761">
        <v>1</v>
      </c>
      <c r="J761">
        <v>0</v>
      </c>
    </row>
    <row r="762" spans="1:10" x14ac:dyDescent="0.25">
      <c r="A762" t="s">
        <v>55</v>
      </c>
      <c r="B762">
        <v>7172012006001700</v>
      </c>
      <c r="C762">
        <v>145</v>
      </c>
      <c r="D762">
        <v>20</v>
      </c>
      <c r="E762">
        <v>0</v>
      </c>
      <c r="F762">
        <v>125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33</v>
      </c>
      <c r="E763">
        <v>0</v>
      </c>
      <c r="F763">
        <v>99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59</v>
      </c>
      <c r="E764">
        <v>0</v>
      </c>
      <c r="F764">
        <v>48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49</v>
      </c>
      <c r="G765">
        <v>0</v>
      </c>
      <c r="H765">
        <v>0</v>
      </c>
      <c r="I765">
        <v>1</v>
      </c>
      <c r="J765">
        <v>0</v>
      </c>
    </row>
    <row r="766" spans="1:10" x14ac:dyDescent="0.25">
      <c r="A766" t="s">
        <v>73</v>
      </c>
      <c r="B766">
        <v>7172012007001300</v>
      </c>
      <c r="C766">
        <v>170</v>
      </c>
      <c r="D766">
        <v>104</v>
      </c>
      <c r="E766">
        <v>3</v>
      </c>
      <c r="F766">
        <v>63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7172012007001400</v>
      </c>
      <c r="C767">
        <v>110</v>
      </c>
      <c r="D767">
        <v>52</v>
      </c>
      <c r="E767">
        <v>3</v>
      </c>
      <c r="F767">
        <v>55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73</v>
      </c>
      <c r="B768">
        <v>7172012007001500</v>
      </c>
      <c r="C768">
        <v>103</v>
      </c>
      <c r="D768">
        <v>85</v>
      </c>
      <c r="E768">
        <v>3</v>
      </c>
      <c r="F768">
        <v>15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11</v>
      </c>
      <c r="E769">
        <v>0</v>
      </c>
      <c r="F769">
        <v>74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6</v>
      </c>
      <c r="E770">
        <v>0</v>
      </c>
      <c r="F770">
        <v>75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4</v>
      </c>
      <c r="E771">
        <v>0</v>
      </c>
      <c r="F771">
        <v>73</v>
      </c>
      <c r="G771">
        <v>0</v>
      </c>
      <c r="H771">
        <v>0</v>
      </c>
      <c r="I771">
        <v>1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113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7172021003000400</v>
      </c>
      <c r="C773">
        <v>106</v>
      </c>
      <c r="D773">
        <v>75</v>
      </c>
      <c r="E773">
        <v>2</v>
      </c>
      <c r="F773">
        <v>29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11</v>
      </c>
      <c r="E777">
        <v>0</v>
      </c>
      <c r="F777">
        <v>76</v>
      </c>
      <c r="G777">
        <v>0</v>
      </c>
      <c r="H777">
        <v>0</v>
      </c>
      <c r="I777">
        <v>1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44</v>
      </c>
      <c r="E778">
        <v>7</v>
      </c>
      <c r="F778">
        <v>30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65</v>
      </c>
      <c r="G779">
        <v>0</v>
      </c>
      <c r="H779">
        <v>0</v>
      </c>
      <c r="I779">
        <v>1</v>
      </c>
      <c r="J779">
        <v>0</v>
      </c>
    </row>
    <row r="780" spans="1:10" x14ac:dyDescent="0.25">
      <c r="A780" t="s">
        <v>80</v>
      </c>
      <c r="B780">
        <v>7172021006000900</v>
      </c>
      <c r="C780">
        <v>58</v>
      </c>
      <c r="D780">
        <v>38</v>
      </c>
      <c r="E780">
        <v>0</v>
      </c>
      <c r="F780">
        <v>19</v>
      </c>
      <c r="G780">
        <v>0</v>
      </c>
      <c r="H780">
        <v>0</v>
      </c>
      <c r="I780">
        <v>1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5</v>
      </c>
      <c r="E781">
        <v>0</v>
      </c>
      <c r="F781">
        <v>48</v>
      </c>
      <c r="G781">
        <v>0</v>
      </c>
      <c r="H781">
        <v>1</v>
      </c>
      <c r="I781">
        <v>4</v>
      </c>
      <c r="J781">
        <v>0</v>
      </c>
    </row>
    <row r="782" spans="1:10" x14ac:dyDescent="0.25">
      <c r="A782" t="s">
        <v>80</v>
      </c>
      <c r="B782">
        <v>7172021006000800</v>
      </c>
      <c r="C782">
        <v>53</v>
      </c>
      <c r="D782">
        <v>48</v>
      </c>
      <c r="E782">
        <v>2</v>
      </c>
      <c r="F782">
        <v>3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24</v>
      </c>
      <c r="E783">
        <v>0</v>
      </c>
      <c r="F783">
        <v>0</v>
      </c>
      <c r="G783">
        <v>0</v>
      </c>
      <c r="H783">
        <v>1</v>
      </c>
      <c r="I783">
        <v>20</v>
      </c>
      <c r="J783">
        <v>0</v>
      </c>
    </row>
    <row r="784" spans="1:10" x14ac:dyDescent="0.25">
      <c r="A784" t="s">
        <v>80</v>
      </c>
      <c r="B784">
        <v>7172021006001100</v>
      </c>
      <c r="C784">
        <v>41</v>
      </c>
      <c r="D784">
        <v>1</v>
      </c>
      <c r="E784">
        <v>0</v>
      </c>
      <c r="F784">
        <v>36</v>
      </c>
      <c r="G784">
        <v>0</v>
      </c>
      <c r="H784">
        <v>0</v>
      </c>
      <c r="I784">
        <v>4</v>
      </c>
      <c r="J784">
        <v>0</v>
      </c>
    </row>
    <row r="785" spans="1:10" x14ac:dyDescent="0.25">
      <c r="A785" t="s">
        <v>239</v>
      </c>
      <c r="B785">
        <v>7172021006002200</v>
      </c>
      <c r="C785">
        <v>82</v>
      </c>
      <c r="D785">
        <v>26</v>
      </c>
      <c r="E785">
        <v>6</v>
      </c>
      <c r="F785">
        <v>49</v>
      </c>
      <c r="G785">
        <v>0</v>
      </c>
      <c r="H785">
        <v>0</v>
      </c>
      <c r="I785">
        <v>1</v>
      </c>
      <c r="J785">
        <v>0</v>
      </c>
    </row>
    <row r="786" spans="1:10" x14ac:dyDescent="0.25">
      <c r="A786" t="s">
        <v>239</v>
      </c>
      <c r="B786">
        <v>7172021006001600</v>
      </c>
      <c r="C786">
        <v>74</v>
      </c>
      <c r="D786">
        <v>54</v>
      </c>
      <c r="E786">
        <v>12</v>
      </c>
      <c r="F786">
        <v>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17</v>
      </c>
      <c r="E787">
        <v>7</v>
      </c>
      <c r="F787">
        <v>34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4</v>
      </c>
      <c r="E788">
        <v>1</v>
      </c>
      <c r="F788">
        <v>49</v>
      </c>
      <c r="G788">
        <v>0</v>
      </c>
      <c r="H788">
        <v>1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42</v>
      </c>
      <c r="E789">
        <v>6</v>
      </c>
      <c r="F789">
        <v>4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43</v>
      </c>
      <c r="E790">
        <v>1</v>
      </c>
      <c r="F790">
        <v>1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7</v>
      </c>
      <c r="E791">
        <v>1</v>
      </c>
      <c r="F791">
        <v>34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29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4</v>
      </c>
      <c r="E793">
        <v>5</v>
      </c>
      <c r="F793">
        <v>30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106</v>
      </c>
      <c r="D795">
        <v>88</v>
      </c>
      <c r="E795">
        <v>9</v>
      </c>
      <c r="F795">
        <v>8</v>
      </c>
      <c r="G795">
        <v>0</v>
      </c>
      <c r="H795">
        <v>0</v>
      </c>
      <c r="I795">
        <v>1</v>
      </c>
      <c r="J795">
        <v>0</v>
      </c>
    </row>
    <row r="796" spans="1:10" x14ac:dyDescent="0.25">
      <c r="A796" t="s">
        <v>82</v>
      </c>
      <c r="B796">
        <v>7172022001000300</v>
      </c>
      <c r="C796">
        <v>98</v>
      </c>
      <c r="D796">
        <v>35</v>
      </c>
      <c r="E796">
        <v>5</v>
      </c>
      <c r="F796">
        <v>56</v>
      </c>
      <c r="G796">
        <v>0</v>
      </c>
      <c r="H796">
        <v>0</v>
      </c>
      <c r="I796">
        <v>2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70</v>
      </c>
      <c r="E798">
        <v>8</v>
      </c>
      <c r="F798">
        <v>5</v>
      </c>
      <c r="G798">
        <v>0</v>
      </c>
      <c r="H798">
        <v>0</v>
      </c>
      <c r="I798">
        <v>2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48</v>
      </c>
      <c r="E800">
        <v>3</v>
      </c>
      <c r="F800">
        <v>28</v>
      </c>
      <c r="G800">
        <v>0</v>
      </c>
      <c r="H800">
        <v>1</v>
      </c>
      <c r="I800">
        <v>9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12</v>
      </c>
      <c r="E803">
        <v>3</v>
      </c>
      <c r="F803">
        <v>38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7172022006000400</v>
      </c>
      <c r="C804">
        <v>48</v>
      </c>
      <c r="D804">
        <v>10</v>
      </c>
      <c r="E804">
        <v>8</v>
      </c>
      <c r="F804">
        <v>26</v>
      </c>
      <c r="G804">
        <v>2</v>
      </c>
      <c r="H804">
        <v>0</v>
      </c>
      <c r="I804">
        <v>2</v>
      </c>
      <c r="J804">
        <v>0</v>
      </c>
    </row>
    <row r="805" spans="1:10" x14ac:dyDescent="0.25">
      <c r="A805" t="s">
        <v>84</v>
      </c>
      <c r="B805">
        <v>7172022006000500</v>
      </c>
      <c r="C805">
        <v>46</v>
      </c>
      <c r="D805">
        <v>7</v>
      </c>
      <c r="E805">
        <v>6</v>
      </c>
      <c r="F805">
        <v>27</v>
      </c>
      <c r="G805">
        <v>0</v>
      </c>
      <c r="H805">
        <v>0</v>
      </c>
      <c r="I805">
        <v>6</v>
      </c>
      <c r="J805">
        <v>0</v>
      </c>
    </row>
    <row r="806" spans="1:10" x14ac:dyDescent="0.25">
      <c r="A806" t="s">
        <v>84</v>
      </c>
      <c r="B806">
        <v>7172022006000600</v>
      </c>
      <c r="C806">
        <v>46</v>
      </c>
      <c r="D806">
        <v>2</v>
      </c>
      <c r="E806">
        <v>0</v>
      </c>
      <c r="F806">
        <v>40</v>
      </c>
      <c r="G806">
        <v>0</v>
      </c>
      <c r="H806">
        <v>0</v>
      </c>
      <c r="I806">
        <v>4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2</v>
      </c>
      <c r="E807">
        <v>7</v>
      </c>
      <c r="F807">
        <v>30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34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66</v>
      </c>
      <c r="E809">
        <v>0</v>
      </c>
      <c r="F809">
        <v>4</v>
      </c>
      <c r="G809">
        <v>0</v>
      </c>
      <c r="H809">
        <v>0</v>
      </c>
      <c r="I809">
        <v>1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50</v>
      </c>
      <c r="E811">
        <v>0</v>
      </c>
      <c r="F811">
        <v>3</v>
      </c>
      <c r="G811">
        <v>1</v>
      </c>
      <c r="H811">
        <v>0</v>
      </c>
      <c r="I811">
        <v>0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44</v>
      </c>
      <c r="G812">
        <v>0</v>
      </c>
      <c r="H812">
        <v>0</v>
      </c>
      <c r="I812">
        <v>2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37</v>
      </c>
      <c r="E813">
        <v>1</v>
      </c>
      <c r="F813">
        <v>6</v>
      </c>
      <c r="G813">
        <v>0</v>
      </c>
      <c r="H813">
        <v>0</v>
      </c>
      <c r="I813">
        <v>1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23</v>
      </c>
      <c r="E817">
        <v>0</v>
      </c>
      <c r="F817">
        <v>10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59</v>
      </c>
      <c r="D818">
        <v>30</v>
      </c>
      <c r="E818">
        <v>0</v>
      </c>
      <c r="F818">
        <v>29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39</v>
      </c>
      <c r="E822">
        <v>0</v>
      </c>
      <c r="F822">
        <v>6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4</v>
      </c>
      <c r="E823">
        <v>1</v>
      </c>
      <c r="F823">
        <v>35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26</v>
      </c>
      <c r="E828">
        <v>1</v>
      </c>
      <c r="F828">
        <v>43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7172022008000100</v>
      </c>
      <c r="C829">
        <v>70</v>
      </c>
      <c r="D829">
        <v>53</v>
      </c>
      <c r="E829">
        <v>1</v>
      </c>
      <c r="F829">
        <v>13</v>
      </c>
      <c r="G829">
        <v>1</v>
      </c>
      <c r="H829">
        <v>0</v>
      </c>
      <c r="I829">
        <v>2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62</v>
      </c>
      <c r="D831">
        <v>56</v>
      </c>
      <c r="E831">
        <v>1</v>
      </c>
      <c r="F831">
        <v>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45</v>
      </c>
      <c r="E834">
        <v>1</v>
      </c>
      <c r="F834">
        <v>5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11</v>
      </c>
      <c r="E835">
        <v>0</v>
      </c>
      <c r="F835">
        <v>73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13</v>
      </c>
      <c r="E836">
        <v>0</v>
      </c>
      <c r="F836">
        <v>66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65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64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54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38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45</v>
      </c>
      <c r="D842">
        <v>43</v>
      </c>
      <c r="E842">
        <v>2</v>
      </c>
      <c r="F842">
        <v>0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27</v>
      </c>
      <c r="E843">
        <v>0</v>
      </c>
      <c r="F843">
        <v>15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89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78</v>
      </c>
      <c r="E845">
        <v>2</v>
      </c>
      <c r="F845">
        <v>0</v>
      </c>
      <c r="G845">
        <v>8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7172030017000100</v>
      </c>
      <c r="C846">
        <v>82</v>
      </c>
      <c r="D846">
        <v>50</v>
      </c>
      <c r="E846">
        <v>23</v>
      </c>
      <c r="F846">
        <v>0</v>
      </c>
      <c r="G846">
        <v>0</v>
      </c>
      <c r="H846">
        <v>0</v>
      </c>
      <c r="I846">
        <v>9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51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44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43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10</v>
      </c>
      <c r="E850">
        <v>0</v>
      </c>
      <c r="F850">
        <v>33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17</v>
      </c>
      <c r="E851">
        <v>0</v>
      </c>
      <c r="F851">
        <v>0</v>
      </c>
      <c r="G851">
        <v>0</v>
      </c>
      <c r="H851">
        <v>0</v>
      </c>
      <c r="I851">
        <v>20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1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1</v>
      </c>
      <c r="G853">
        <v>0</v>
      </c>
      <c r="H853">
        <v>0</v>
      </c>
      <c r="I853">
        <v>17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10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37</v>
      </c>
      <c r="E857">
        <v>0</v>
      </c>
      <c r="F857">
        <v>71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69</v>
      </c>
      <c r="E858">
        <v>9</v>
      </c>
      <c r="F858">
        <v>26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35</v>
      </c>
      <c r="E859">
        <v>0</v>
      </c>
      <c r="F859">
        <v>64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62</v>
      </c>
      <c r="E860">
        <v>28</v>
      </c>
      <c r="F860">
        <v>4</v>
      </c>
      <c r="G860">
        <v>0</v>
      </c>
      <c r="H860">
        <v>0</v>
      </c>
      <c r="I860">
        <v>3</v>
      </c>
      <c r="J860">
        <v>0</v>
      </c>
    </row>
    <row r="861" spans="1:10" x14ac:dyDescent="0.25">
      <c r="A861" t="s">
        <v>98</v>
      </c>
      <c r="B861">
        <v>7172030012000600</v>
      </c>
      <c r="C861">
        <v>91</v>
      </c>
      <c r="D861">
        <v>51</v>
      </c>
      <c r="E861">
        <v>6</v>
      </c>
      <c r="F861">
        <v>34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10</v>
      </c>
      <c r="E862">
        <v>0</v>
      </c>
      <c r="F862">
        <v>51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9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35</v>
      </c>
      <c r="E864">
        <v>0</v>
      </c>
      <c r="F864">
        <v>58</v>
      </c>
      <c r="G864">
        <v>0</v>
      </c>
      <c r="H864">
        <v>0</v>
      </c>
      <c r="I864">
        <v>18</v>
      </c>
      <c r="J864">
        <v>0</v>
      </c>
    </row>
    <row r="865" spans="1:10" x14ac:dyDescent="0.25">
      <c r="A865" t="s">
        <v>241</v>
      </c>
      <c r="B865">
        <v>7172030013000200</v>
      </c>
      <c r="C865">
        <v>88</v>
      </c>
      <c r="D865">
        <v>82</v>
      </c>
      <c r="E865">
        <v>0</v>
      </c>
      <c r="F865">
        <v>4</v>
      </c>
      <c r="G865">
        <v>0</v>
      </c>
      <c r="H865">
        <v>0</v>
      </c>
      <c r="I865">
        <v>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16</v>
      </c>
      <c r="E866">
        <v>0</v>
      </c>
      <c r="F866">
        <v>53</v>
      </c>
      <c r="G866">
        <v>0</v>
      </c>
      <c r="H866">
        <v>0</v>
      </c>
      <c r="I866">
        <v>7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37</v>
      </c>
      <c r="G867">
        <v>0</v>
      </c>
      <c r="H867">
        <v>0</v>
      </c>
      <c r="I867">
        <v>10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43</v>
      </c>
      <c r="E868">
        <v>0</v>
      </c>
      <c r="F868">
        <v>14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48</v>
      </c>
      <c r="G870">
        <v>0</v>
      </c>
      <c r="H870">
        <v>0</v>
      </c>
      <c r="I870">
        <v>1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32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20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114</v>
      </c>
      <c r="E873">
        <v>0</v>
      </c>
      <c r="F873">
        <v>17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7172030013001500</v>
      </c>
      <c r="C874">
        <v>130</v>
      </c>
      <c r="D874">
        <v>39</v>
      </c>
      <c r="E874">
        <v>0</v>
      </c>
      <c r="F874">
        <v>91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75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56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61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53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60</v>
      </c>
      <c r="E880">
        <v>5</v>
      </c>
      <c r="F880">
        <v>43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80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95</v>
      </c>
      <c r="E882">
        <v>0</v>
      </c>
      <c r="F882">
        <v>1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86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50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59</v>
      </c>
      <c r="E886">
        <v>3</v>
      </c>
      <c r="F886">
        <v>0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88</v>
      </c>
      <c r="D889">
        <v>1</v>
      </c>
      <c r="E889">
        <v>3</v>
      </c>
      <c r="F889">
        <v>80</v>
      </c>
      <c r="G889">
        <v>0</v>
      </c>
      <c r="H889">
        <v>0</v>
      </c>
      <c r="I889">
        <v>4</v>
      </c>
      <c r="J889">
        <v>0</v>
      </c>
    </row>
    <row r="890" spans="1:10" x14ac:dyDescent="0.25">
      <c r="A890" t="s">
        <v>106</v>
      </c>
      <c r="B890">
        <v>7172030015001400</v>
      </c>
      <c r="C890">
        <v>56</v>
      </c>
      <c r="D890">
        <v>56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124</v>
      </c>
      <c r="D891">
        <v>60</v>
      </c>
      <c r="E891">
        <v>3</v>
      </c>
      <c r="F891">
        <v>61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107</v>
      </c>
      <c r="B892">
        <v>7172030017000700</v>
      </c>
      <c r="C892">
        <v>110</v>
      </c>
      <c r="D892">
        <v>85</v>
      </c>
      <c r="E892">
        <v>4</v>
      </c>
      <c r="F892">
        <v>20</v>
      </c>
      <c r="G892">
        <v>1</v>
      </c>
      <c r="H892">
        <v>0</v>
      </c>
      <c r="I892">
        <v>0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33</v>
      </c>
      <c r="E893">
        <v>8</v>
      </c>
      <c r="F893">
        <v>56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35</v>
      </c>
      <c r="E895">
        <v>2</v>
      </c>
      <c r="F895">
        <v>10</v>
      </c>
      <c r="G895">
        <v>1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3</v>
      </c>
      <c r="E896">
        <v>0</v>
      </c>
      <c r="F896">
        <v>45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7172030017001200</v>
      </c>
      <c r="C897">
        <v>41</v>
      </c>
      <c r="D897">
        <v>5</v>
      </c>
      <c r="E897">
        <v>0</v>
      </c>
      <c r="F897">
        <v>36</v>
      </c>
      <c r="G897">
        <v>0</v>
      </c>
      <c r="H897">
        <v>0</v>
      </c>
      <c r="I897">
        <v>0</v>
      </c>
      <c r="J897">
        <v>0</v>
      </c>
    </row>
    <row r="898" spans="1:10" x14ac:dyDescent="0.25">
      <c r="A898" t="s">
        <v>107</v>
      </c>
      <c r="B898">
        <v>7172030017001300</v>
      </c>
      <c r="C898">
        <v>41</v>
      </c>
      <c r="D898">
        <v>35</v>
      </c>
      <c r="E898">
        <v>5</v>
      </c>
      <c r="F898">
        <v>1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131</v>
      </c>
      <c r="D901">
        <v>69</v>
      </c>
      <c r="E901">
        <v>8</v>
      </c>
      <c r="F901">
        <v>53</v>
      </c>
      <c r="G901">
        <v>0</v>
      </c>
      <c r="H901">
        <v>0</v>
      </c>
      <c r="I901">
        <v>1</v>
      </c>
      <c r="J901">
        <v>0</v>
      </c>
    </row>
    <row r="902" spans="1:10" x14ac:dyDescent="0.25">
      <c r="A902" t="s">
        <v>108</v>
      </c>
      <c r="B902">
        <v>7172030017002001</v>
      </c>
      <c r="C902">
        <v>108</v>
      </c>
      <c r="D902">
        <v>31</v>
      </c>
      <c r="E902">
        <v>3</v>
      </c>
      <c r="F902">
        <v>74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7172030017001700</v>
      </c>
      <c r="C903">
        <v>99</v>
      </c>
      <c r="D903">
        <v>11</v>
      </c>
      <c r="E903">
        <v>17</v>
      </c>
      <c r="F903">
        <v>71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7172030017001800</v>
      </c>
      <c r="C904">
        <v>98</v>
      </c>
      <c r="D904">
        <v>25</v>
      </c>
      <c r="E904">
        <v>10</v>
      </c>
      <c r="F904">
        <v>63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7172030017002002</v>
      </c>
      <c r="C905">
        <v>90</v>
      </c>
      <c r="D905">
        <v>23</v>
      </c>
      <c r="E905">
        <v>2</v>
      </c>
      <c r="F905">
        <v>62</v>
      </c>
      <c r="G905">
        <v>0</v>
      </c>
      <c r="H905">
        <v>0</v>
      </c>
      <c r="I905">
        <v>3</v>
      </c>
      <c r="J905">
        <v>0</v>
      </c>
    </row>
    <row r="906" spans="1:10" x14ac:dyDescent="0.25">
      <c r="A906" t="s">
        <v>108</v>
      </c>
      <c r="B906">
        <v>7172030017001400</v>
      </c>
      <c r="C906">
        <v>85</v>
      </c>
      <c r="D906">
        <v>76</v>
      </c>
      <c r="E906">
        <v>8</v>
      </c>
      <c r="F906">
        <v>1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67</v>
      </c>
      <c r="D907">
        <v>30</v>
      </c>
      <c r="E907">
        <v>3</v>
      </c>
      <c r="F907">
        <v>33</v>
      </c>
      <c r="G907">
        <v>0</v>
      </c>
      <c r="H907">
        <v>1</v>
      </c>
      <c r="I907">
        <v>0</v>
      </c>
      <c r="J907">
        <v>0</v>
      </c>
    </row>
    <row r="908" spans="1:10" x14ac:dyDescent="0.25">
      <c r="A908" t="s">
        <v>110</v>
      </c>
      <c r="B908">
        <v>7172031002000100</v>
      </c>
      <c r="C908">
        <v>230</v>
      </c>
      <c r="D908">
        <v>180</v>
      </c>
      <c r="E908">
        <v>8</v>
      </c>
      <c r="F908">
        <v>4</v>
      </c>
      <c r="G908">
        <v>0</v>
      </c>
      <c r="H908">
        <v>0</v>
      </c>
      <c r="I908">
        <v>38</v>
      </c>
      <c r="J908">
        <v>0</v>
      </c>
    </row>
    <row r="909" spans="1:10" x14ac:dyDescent="0.25">
      <c r="A909" t="s">
        <v>110</v>
      </c>
      <c r="B909">
        <v>7172031002000200</v>
      </c>
      <c r="C909">
        <v>190</v>
      </c>
      <c r="D909">
        <v>159</v>
      </c>
      <c r="E909">
        <v>9</v>
      </c>
      <c r="F909">
        <v>13</v>
      </c>
      <c r="G909">
        <v>0</v>
      </c>
      <c r="H909">
        <v>0</v>
      </c>
      <c r="I909">
        <v>9</v>
      </c>
      <c r="J909">
        <v>0</v>
      </c>
    </row>
    <row r="910" spans="1:10" x14ac:dyDescent="0.25">
      <c r="A910" t="s">
        <v>110</v>
      </c>
      <c r="B910">
        <v>7172031002000300</v>
      </c>
      <c r="C910">
        <v>135</v>
      </c>
      <c r="D910">
        <v>0</v>
      </c>
      <c r="E910">
        <v>6</v>
      </c>
      <c r="F910">
        <v>103</v>
      </c>
      <c r="G910">
        <v>0</v>
      </c>
      <c r="H910">
        <v>0</v>
      </c>
      <c r="I910">
        <v>26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71</v>
      </c>
      <c r="E911">
        <v>1</v>
      </c>
      <c r="F911">
        <v>0</v>
      </c>
      <c r="G911">
        <v>2</v>
      </c>
      <c r="H911">
        <v>0</v>
      </c>
      <c r="I911">
        <v>21</v>
      </c>
      <c r="J911">
        <v>0</v>
      </c>
    </row>
    <row r="912" spans="1:10" x14ac:dyDescent="0.25">
      <c r="A912" t="s">
        <v>111</v>
      </c>
      <c r="B912">
        <v>7172031002000500</v>
      </c>
      <c r="C912">
        <v>137</v>
      </c>
      <c r="D912">
        <v>92</v>
      </c>
      <c r="E912">
        <v>17</v>
      </c>
      <c r="F912">
        <v>15</v>
      </c>
      <c r="G912">
        <v>0</v>
      </c>
      <c r="H912">
        <v>0</v>
      </c>
      <c r="I912">
        <v>13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7172031002001101</v>
      </c>
      <c r="C914">
        <v>98</v>
      </c>
      <c r="D914">
        <v>29</v>
      </c>
      <c r="E914">
        <v>3</v>
      </c>
      <c r="F914">
        <v>66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4</v>
      </c>
      <c r="E915">
        <v>1</v>
      </c>
      <c r="F915">
        <v>59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36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179</v>
      </c>
      <c r="D920">
        <v>39</v>
      </c>
      <c r="E920">
        <v>71</v>
      </c>
      <c r="F920">
        <v>57</v>
      </c>
      <c r="G920">
        <v>0</v>
      </c>
      <c r="H920">
        <v>0</v>
      </c>
      <c r="I920">
        <v>12</v>
      </c>
      <c r="J920">
        <v>0</v>
      </c>
    </row>
    <row r="921" spans="1:10" x14ac:dyDescent="0.25">
      <c r="A921" t="s">
        <v>112</v>
      </c>
      <c r="B921">
        <v>7172031002001000</v>
      </c>
      <c r="C921">
        <v>136</v>
      </c>
      <c r="D921">
        <v>102</v>
      </c>
      <c r="E921">
        <v>34</v>
      </c>
      <c r="F921">
        <v>0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115</v>
      </c>
      <c r="B928">
        <v>7172031003002000</v>
      </c>
      <c r="C928">
        <v>198</v>
      </c>
      <c r="D928">
        <v>180</v>
      </c>
      <c r="E928">
        <v>5</v>
      </c>
      <c r="F928">
        <v>13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45</v>
      </c>
      <c r="E929">
        <v>5</v>
      </c>
      <c r="F929">
        <v>88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138</v>
      </c>
      <c r="D930">
        <v>38</v>
      </c>
      <c r="E930">
        <v>0</v>
      </c>
      <c r="F930">
        <v>100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32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146</v>
      </c>
      <c r="D933">
        <v>132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108</v>
      </c>
      <c r="D934">
        <v>87</v>
      </c>
      <c r="E934">
        <v>2</v>
      </c>
      <c r="F934">
        <v>19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3</v>
      </c>
      <c r="E935">
        <v>0</v>
      </c>
      <c r="F935">
        <v>95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74</v>
      </c>
      <c r="D937">
        <v>55</v>
      </c>
      <c r="E937">
        <v>1</v>
      </c>
      <c r="F937">
        <v>18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7172031003002400</v>
      </c>
      <c r="C938">
        <v>62</v>
      </c>
      <c r="D938">
        <v>51</v>
      </c>
      <c r="E938">
        <v>0</v>
      </c>
      <c r="F938">
        <v>11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23</v>
      </c>
      <c r="E940">
        <v>6</v>
      </c>
      <c r="F940">
        <v>94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79</v>
      </c>
      <c r="D941">
        <v>76</v>
      </c>
      <c r="E941">
        <v>3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56</v>
      </c>
      <c r="D942">
        <v>15</v>
      </c>
      <c r="E942">
        <v>5</v>
      </c>
      <c r="F942">
        <v>36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54</v>
      </c>
      <c r="D943">
        <v>21</v>
      </c>
      <c r="E943">
        <v>3</v>
      </c>
      <c r="F943">
        <v>30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15</v>
      </c>
      <c r="E944">
        <v>0</v>
      </c>
      <c r="F944">
        <v>36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50</v>
      </c>
      <c r="D945">
        <v>25</v>
      </c>
      <c r="E945">
        <v>21</v>
      </c>
      <c r="F945">
        <v>2</v>
      </c>
      <c r="G945">
        <v>0</v>
      </c>
      <c r="H945">
        <v>0</v>
      </c>
      <c r="I945">
        <v>2</v>
      </c>
      <c r="J945">
        <v>0</v>
      </c>
    </row>
    <row r="946" spans="1:10" x14ac:dyDescent="0.25">
      <c r="A946" t="s">
        <v>117</v>
      </c>
      <c r="B946">
        <v>7172031004000500</v>
      </c>
      <c r="C946">
        <v>48</v>
      </c>
      <c r="D946">
        <v>46</v>
      </c>
      <c r="E946">
        <v>0</v>
      </c>
      <c r="F946">
        <v>1</v>
      </c>
      <c r="G946">
        <v>0</v>
      </c>
      <c r="H946">
        <v>1</v>
      </c>
      <c r="I946">
        <v>0</v>
      </c>
      <c r="J946">
        <v>0</v>
      </c>
    </row>
    <row r="947" spans="1:10" x14ac:dyDescent="0.25">
      <c r="A947" t="s">
        <v>117</v>
      </c>
      <c r="B947">
        <v>7172031004001100</v>
      </c>
      <c r="C947">
        <v>48</v>
      </c>
      <c r="D947">
        <v>8</v>
      </c>
      <c r="E947">
        <v>0</v>
      </c>
      <c r="F947">
        <v>40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10</v>
      </c>
      <c r="E948">
        <v>0</v>
      </c>
      <c r="F948">
        <v>35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42</v>
      </c>
      <c r="D949">
        <v>14</v>
      </c>
      <c r="E949">
        <v>23</v>
      </c>
      <c r="F949">
        <v>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12</v>
      </c>
      <c r="E950">
        <v>0</v>
      </c>
      <c r="F950">
        <v>16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229</v>
      </c>
      <c r="D951">
        <v>221</v>
      </c>
      <c r="E951">
        <v>3</v>
      </c>
      <c r="F951">
        <v>5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15</v>
      </c>
      <c r="E952">
        <v>0</v>
      </c>
      <c r="F952">
        <v>117</v>
      </c>
      <c r="G952">
        <v>0</v>
      </c>
      <c r="H952">
        <v>0</v>
      </c>
      <c r="I952">
        <v>1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84</v>
      </c>
      <c r="D955">
        <v>33</v>
      </c>
      <c r="E955">
        <v>12</v>
      </c>
      <c r="F955">
        <v>7</v>
      </c>
      <c r="G955">
        <v>0</v>
      </c>
      <c r="H955">
        <v>0</v>
      </c>
      <c r="I955">
        <v>32</v>
      </c>
      <c r="J955">
        <v>0</v>
      </c>
    </row>
    <row r="956" spans="1:10" x14ac:dyDescent="0.25">
      <c r="A956" t="s">
        <v>122</v>
      </c>
      <c r="B956">
        <v>7172031006000900</v>
      </c>
      <c r="C956">
        <v>202</v>
      </c>
      <c r="D956">
        <v>141</v>
      </c>
      <c r="E956">
        <v>14</v>
      </c>
      <c r="F956">
        <v>37</v>
      </c>
      <c r="G956">
        <v>0</v>
      </c>
      <c r="H956">
        <v>0</v>
      </c>
      <c r="I956">
        <v>10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116</v>
      </c>
      <c r="D958">
        <v>110</v>
      </c>
      <c r="E958">
        <v>5</v>
      </c>
      <c r="F958">
        <v>0</v>
      </c>
      <c r="G958">
        <v>0</v>
      </c>
      <c r="H958">
        <v>0</v>
      </c>
      <c r="I958">
        <v>1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162</v>
      </c>
      <c r="E961">
        <v>16</v>
      </c>
      <c r="F961">
        <v>0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7172031006001700</v>
      </c>
      <c r="C962">
        <v>139</v>
      </c>
      <c r="D962">
        <v>127</v>
      </c>
      <c r="E962">
        <v>3</v>
      </c>
      <c r="F962">
        <v>9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137</v>
      </c>
      <c r="D963">
        <v>45</v>
      </c>
      <c r="E963">
        <v>7</v>
      </c>
      <c r="F963">
        <v>85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7172031006001600</v>
      </c>
      <c r="C964">
        <v>98</v>
      </c>
      <c r="D964">
        <v>73</v>
      </c>
      <c r="E964">
        <v>9</v>
      </c>
      <c r="F964">
        <v>14</v>
      </c>
      <c r="G964">
        <v>0</v>
      </c>
      <c r="H964">
        <v>0</v>
      </c>
      <c r="I964">
        <v>2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137</v>
      </c>
      <c r="D966">
        <v>84</v>
      </c>
      <c r="E966">
        <v>4</v>
      </c>
      <c r="F966">
        <v>49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17</v>
      </c>
      <c r="E967">
        <v>0</v>
      </c>
      <c r="F967">
        <v>100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89</v>
      </c>
      <c r="E968">
        <v>3</v>
      </c>
      <c r="F968">
        <v>9</v>
      </c>
      <c r="G968">
        <v>4</v>
      </c>
      <c r="H968">
        <v>1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96</v>
      </c>
      <c r="E969">
        <v>1</v>
      </c>
      <c r="F969">
        <v>4</v>
      </c>
      <c r="G969">
        <v>0</v>
      </c>
      <c r="H969">
        <v>1</v>
      </c>
      <c r="I969">
        <v>0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2</v>
      </c>
      <c r="F971">
        <v>71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90</v>
      </c>
      <c r="D973">
        <v>22</v>
      </c>
      <c r="E973">
        <v>15</v>
      </c>
      <c r="F973">
        <v>53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50</v>
      </c>
      <c r="D978">
        <v>47</v>
      </c>
      <c r="E978">
        <v>1</v>
      </c>
      <c r="F978">
        <v>1</v>
      </c>
      <c r="G978">
        <v>0</v>
      </c>
      <c r="H978">
        <v>1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5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25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96</v>
      </c>
      <c r="D982">
        <v>39</v>
      </c>
      <c r="E982">
        <v>18</v>
      </c>
      <c r="F982">
        <v>36</v>
      </c>
      <c r="G982">
        <v>0</v>
      </c>
      <c r="H982">
        <v>0</v>
      </c>
      <c r="I982">
        <v>3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71</v>
      </c>
      <c r="E984">
        <v>5</v>
      </c>
      <c r="F984">
        <v>6</v>
      </c>
      <c r="G984">
        <v>1</v>
      </c>
      <c r="H984">
        <v>0</v>
      </c>
      <c r="I984">
        <v>1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4</v>
      </c>
      <c r="E985">
        <v>1</v>
      </c>
      <c r="F985">
        <v>67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2</v>
      </c>
      <c r="E988">
        <v>0</v>
      </c>
      <c r="F988">
        <v>57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1</v>
      </c>
      <c r="E989">
        <v>1</v>
      </c>
      <c r="F989">
        <v>54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2</v>
      </c>
      <c r="E990">
        <v>0</v>
      </c>
      <c r="F990">
        <v>36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198</v>
      </c>
      <c r="D991">
        <v>179</v>
      </c>
      <c r="E991">
        <v>17</v>
      </c>
      <c r="F991">
        <v>1</v>
      </c>
      <c r="G991">
        <v>0</v>
      </c>
      <c r="H991">
        <v>0</v>
      </c>
      <c r="I991">
        <v>1</v>
      </c>
      <c r="J991">
        <v>0</v>
      </c>
    </row>
    <row r="992" spans="1:10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156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7172040005001900</v>
      </c>
      <c r="C993">
        <v>98</v>
      </c>
      <c r="D993">
        <v>28</v>
      </c>
      <c r="E993">
        <v>1</v>
      </c>
      <c r="F993">
        <v>69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38</v>
      </c>
      <c r="E995">
        <v>11</v>
      </c>
      <c r="F995">
        <v>21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164</v>
      </c>
      <c r="D996">
        <v>66</v>
      </c>
      <c r="E996">
        <v>0</v>
      </c>
      <c r="F996">
        <v>96</v>
      </c>
      <c r="G996">
        <v>0</v>
      </c>
      <c r="H996">
        <v>2</v>
      </c>
      <c r="I996">
        <v>0</v>
      </c>
      <c r="J996">
        <v>0</v>
      </c>
    </row>
    <row r="997" spans="1:10" x14ac:dyDescent="0.25">
      <c r="A997" t="s">
        <v>133</v>
      </c>
      <c r="B997">
        <v>7172040003000102</v>
      </c>
      <c r="C997">
        <v>139</v>
      </c>
      <c r="D997">
        <v>56</v>
      </c>
      <c r="E997">
        <v>0</v>
      </c>
      <c r="F997">
        <v>83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99</v>
      </c>
      <c r="D998">
        <v>96</v>
      </c>
      <c r="E998">
        <v>1</v>
      </c>
      <c r="F998">
        <v>1</v>
      </c>
      <c r="G998">
        <v>0</v>
      </c>
      <c r="H998">
        <v>0</v>
      </c>
      <c r="I998">
        <v>0</v>
      </c>
      <c r="J998">
        <v>1</v>
      </c>
    </row>
    <row r="999" spans="1:10" x14ac:dyDescent="0.25">
      <c r="A999" t="s">
        <v>133</v>
      </c>
      <c r="B999">
        <v>7172040003000700</v>
      </c>
      <c r="C999">
        <v>79</v>
      </c>
      <c r="D999">
        <v>28</v>
      </c>
      <c r="E999">
        <v>0</v>
      </c>
      <c r="F999">
        <v>51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133</v>
      </c>
      <c r="B1000">
        <v>7172040003000400</v>
      </c>
      <c r="C1000">
        <v>76</v>
      </c>
      <c r="D1000">
        <v>13</v>
      </c>
      <c r="E1000">
        <v>0</v>
      </c>
      <c r="F1000">
        <v>63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34</v>
      </c>
      <c r="E1004">
        <v>0</v>
      </c>
      <c r="F1004">
        <v>56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9</v>
      </c>
      <c r="E1005">
        <v>0</v>
      </c>
      <c r="F1005">
        <v>55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58</v>
      </c>
      <c r="D1006">
        <v>55</v>
      </c>
      <c r="E1006">
        <v>1</v>
      </c>
      <c r="F1006">
        <v>2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11</v>
      </c>
      <c r="E1007">
        <v>0</v>
      </c>
      <c r="F1007">
        <v>43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52</v>
      </c>
      <c r="D1008">
        <v>49</v>
      </c>
      <c r="E1008">
        <v>2</v>
      </c>
      <c r="F1008">
        <v>1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9</v>
      </c>
      <c r="E1009">
        <v>0</v>
      </c>
      <c r="F1009">
        <v>38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12</v>
      </c>
      <c r="E1010">
        <v>4</v>
      </c>
      <c r="F1010">
        <v>26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91</v>
      </c>
      <c r="D1013">
        <v>84</v>
      </c>
      <c r="E1013">
        <v>6</v>
      </c>
      <c r="F1013">
        <v>1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2</v>
      </c>
      <c r="E1014">
        <v>0</v>
      </c>
      <c r="F1014">
        <v>81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80</v>
      </c>
      <c r="D1015">
        <v>57</v>
      </c>
      <c r="E1015">
        <v>3</v>
      </c>
      <c r="F1015">
        <v>18</v>
      </c>
      <c r="G1015">
        <v>0</v>
      </c>
      <c r="H1015">
        <v>0</v>
      </c>
      <c r="I1015">
        <v>2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70</v>
      </c>
      <c r="D1016">
        <v>14</v>
      </c>
      <c r="E1016">
        <v>19</v>
      </c>
      <c r="F1016">
        <v>32</v>
      </c>
      <c r="G1016">
        <v>0</v>
      </c>
      <c r="H1016">
        <v>0</v>
      </c>
      <c r="I1016">
        <v>5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4</v>
      </c>
      <c r="E1017">
        <v>0</v>
      </c>
      <c r="F1017">
        <v>53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3</v>
      </c>
      <c r="E1018">
        <v>0</v>
      </c>
      <c r="F1018">
        <v>53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102</v>
      </c>
      <c r="D1022">
        <v>85</v>
      </c>
      <c r="E1022">
        <v>11</v>
      </c>
      <c r="F1022">
        <v>3</v>
      </c>
      <c r="G1022">
        <v>0</v>
      </c>
      <c r="H1022">
        <v>0</v>
      </c>
      <c r="I1022">
        <v>3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99</v>
      </c>
      <c r="D1023">
        <v>97</v>
      </c>
      <c r="E1023">
        <v>1</v>
      </c>
      <c r="F1023">
        <v>1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140</v>
      </c>
      <c r="B1024">
        <v>7172040012000400</v>
      </c>
      <c r="C1024">
        <v>84</v>
      </c>
      <c r="D1024">
        <v>73</v>
      </c>
      <c r="E1024">
        <v>0</v>
      </c>
      <c r="F1024">
        <v>9</v>
      </c>
      <c r="G1024">
        <v>0</v>
      </c>
      <c r="H1024">
        <v>0</v>
      </c>
      <c r="I1024">
        <v>2</v>
      </c>
      <c r="J1024">
        <v>0</v>
      </c>
    </row>
    <row r="1025" spans="1:10" x14ac:dyDescent="0.25">
      <c r="A1025" t="s">
        <v>140</v>
      </c>
      <c r="B1025">
        <v>7172040012000100</v>
      </c>
      <c r="C1025">
        <v>65</v>
      </c>
      <c r="D1025">
        <v>9</v>
      </c>
      <c r="E1025">
        <v>0</v>
      </c>
      <c r="F1025">
        <v>56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7172040012000500</v>
      </c>
      <c r="C1028">
        <v>46</v>
      </c>
      <c r="D1028">
        <v>41</v>
      </c>
      <c r="E1028">
        <v>1</v>
      </c>
      <c r="F1028">
        <v>4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40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6</v>
      </c>
      <c r="E1032">
        <v>0</v>
      </c>
      <c r="F1032">
        <v>22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4</v>
      </c>
      <c r="E1033">
        <v>0</v>
      </c>
      <c r="F1033">
        <v>137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70</v>
      </c>
      <c r="E1034">
        <v>4</v>
      </c>
      <c r="F1034">
        <v>55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25</v>
      </c>
      <c r="E1035">
        <v>0</v>
      </c>
      <c r="F1035">
        <v>66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29</v>
      </c>
      <c r="E1036">
        <v>1</v>
      </c>
      <c r="F1036">
        <v>34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57</v>
      </c>
      <c r="E1037">
        <v>0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48</v>
      </c>
      <c r="D1038">
        <v>27</v>
      </c>
      <c r="E1038">
        <v>0</v>
      </c>
      <c r="F1038">
        <v>21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40</v>
      </c>
      <c r="D1039">
        <v>35</v>
      </c>
      <c r="E1039">
        <v>0</v>
      </c>
      <c r="F1039">
        <v>5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388</v>
      </c>
      <c r="B1041">
        <v>7172012004001600</v>
      </c>
      <c r="C1041">
        <v>148</v>
      </c>
      <c r="D1041">
        <v>9</v>
      </c>
      <c r="E1041">
        <v>0</v>
      </c>
      <c r="F1041">
        <v>139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388</v>
      </c>
      <c r="B1042">
        <v>7172012004001801</v>
      </c>
      <c r="C1042">
        <v>134</v>
      </c>
      <c r="D1042">
        <v>1</v>
      </c>
      <c r="E1042">
        <v>0</v>
      </c>
      <c r="F1042">
        <v>133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388</v>
      </c>
      <c r="B1043">
        <v>7172012004001702</v>
      </c>
      <c r="C1043">
        <v>128</v>
      </c>
      <c r="D1043">
        <v>49</v>
      </c>
      <c r="E1043">
        <v>0</v>
      </c>
      <c r="F1043">
        <v>79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388</v>
      </c>
      <c r="B1044">
        <v>7172012004001203</v>
      </c>
      <c r="C1044">
        <v>127</v>
      </c>
      <c r="D1044">
        <v>107</v>
      </c>
      <c r="E1044">
        <v>5</v>
      </c>
      <c r="F1044">
        <v>15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388</v>
      </c>
      <c r="B1045">
        <v>7172012004001500</v>
      </c>
      <c r="C1045">
        <v>106</v>
      </c>
      <c r="D1045">
        <v>1</v>
      </c>
      <c r="E1045">
        <v>0</v>
      </c>
      <c r="F1045">
        <v>105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388</v>
      </c>
      <c r="B1046">
        <v>7172012004001300</v>
      </c>
      <c r="C1046">
        <v>96</v>
      </c>
      <c r="D1046">
        <v>87</v>
      </c>
      <c r="E1046">
        <v>5</v>
      </c>
      <c r="F1046">
        <v>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389</v>
      </c>
      <c r="B1047">
        <v>7172040003001502</v>
      </c>
      <c r="C1047">
        <v>253</v>
      </c>
      <c r="D1047">
        <v>236</v>
      </c>
      <c r="E1047">
        <v>4</v>
      </c>
      <c r="F1047">
        <v>11</v>
      </c>
      <c r="G1047">
        <v>0</v>
      </c>
      <c r="H1047">
        <v>0</v>
      </c>
      <c r="I1047">
        <v>2</v>
      </c>
      <c r="J1047">
        <v>0</v>
      </c>
    </row>
    <row r="1048" spans="1:10" x14ac:dyDescent="0.25">
      <c r="A1048" t="s">
        <v>389</v>
      </c>
      <c r="B1048">
        <v>7172040003001501</v>
      </c>
      <c r="C1048">
        <v>201</v>
      </c>
      <c r="D1048">
        <v>45</v>
      </c>
      <c r="E1048">
        <v>9</v>
      </c>
      <c r="F1048">
        <v>144</v>
      </c>
      <c r="G1048">
        <v>0</v>
      </c>
      <c r="H1048">
        <v>0</v>
      </c>
      <c r="I1048">
        <v>3</v>
      </c>
      <c r="J1048">
        <v>0</v>
      </c>
    </row>
    <row r="1049" spans="1:10" x14ac:dyDescent="0.25">
      <c r="A1049" t="s">
        <v>389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389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7172040003000800</v>
      </c>
      <c r="C1051">
        <v>88</v>
      </c>
      <c r="D1051">
        <v>72</v>
      </c>
      <c r="E1051">
        <v>13</v>
      </c>
      <c r="F1051">
        <v>0</v>
      </c>
      <c r="G1051">
        <v>0</v>
      </c>
      <c r="H1051">
        <v>1</v>
      </c>
      <c r="I1051">
        <v>2</v>
      </c>
      <c r="J1051">
        <v>0</v>
      </c>
    </row>
    <row r="1052" spans="1:10" x14ac:dyDescent="0.25">
      <c r="A1052" t="s">
        <v>389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154</v>
      </c>
      <c r="E1053">
        <v>11</v>
      </c>
      <c r="F1053">
        <v>0</v>
      </c>
      <c r="G1053">
        <v>4</v>
      </c>
      <c r="H1053">
        <v>0</v>
      </c>
      <c r="I1053">
        <v>26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135</v>
      </c>
      <c r="D1054">
        <v>12</v>
      </c>
      <c r="E1054">
        <v>19</v>
      </c>
      <c r="F1054">
        <v>45</v>
      </c>
      <c r="G1054">
        <v>0</v>
      </c>
      <c r="H1054">
        <v>0</v>
      </c>
      <c r="I1054">
        <v>59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54</v>
      </c>
      <c r="E1057">
        <v>14</v>
      </c>
      <c r="F1057">
        <v>6</v>
      </c>
      <c r="G1057">
        <v>0</v>
      </c>
      <c r="H1057">
        <v>0</v>
      </c>
      <c r="I1057">
        <v>18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F6" sqref="F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383</v>
      </c>
      <c r="B1" t="s">
        <v>245</v>
      </c>
      <c r="C1" t="s">
        <v>246</v>
      </c>
      <c r="D1" t="s">
        <v>384</v>
      </c>
      <c r="E1" t="s">
        <v>395</v>
      </c>
      <c r="F1" t="s">
        <v>385</v>
      </c>
      <c r="G1" t="s">
        <v>386</v>
      </c>
      <c r="H1" t="s">
        <v>382</v>
      </c>
      <c r="I1" s="2" t="s">
        <v>396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291</v>
      </c>
      <c r="F2">
        <v>295</v>
      </c>
      <c r="G2">
        <f>VLOOKUP(A2,PPL!B:M,12,0)</f>
        <v>295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250</v>
      </c>
      <c r="F3">
        <v>296</v>
      </c>
      <c r="G3">
        <f>VLOOKUP(A3,PPL!B:M,12,0)</f>
        <v>296</v>
      </c>
      <c r="H3">
        <f t="shared" ref="H3:H65" si="0">G3-F3</f>
        <v>0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382</v>
      </c>
      <c r="F4">
        <v>386</v>
      </c>
      <c r="G4">
        <f>VLOOKUP(A4,PPL!B:M,12,0)</f>
        <v>418</v>
      </c>
      <c r="H4">
        <f t="shared" si="0"/>
        <v>32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267</v>
      </c>
      <c r="F5">
        <v>267</v>
      </c>
      <c r="G5">
        <f>VLOOKUP(A5,PPL!B:M,12,0)</f>
        <v>278</v>
      </c>
      <c r="H5">
        <f t="shared" si="0"/>
        <v>11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268</v>
      </c>
      <c r="F6">
        <v>281</v>
      </c>
      <c r="G6">
        <f>VLOOKUP(A6,PPL!B:M,12,0)</f>
        <v>296</v>
      </c>
      <c r="H6">
        <f t="shared" si="0"/>
        <v>15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280</v>
      </c>
      <c r="F7">
        <v>282</v>
      </c>
      <c r="G7">
        <f>VLOOKUP(A7,PPL!B:M,12,0)</f>
        <v>293</v>
      </c>
      <c r="H7">
        <f t="shared" si="0"/>
        <v>11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318</v>
      </c>
      <c r="F8">
        <v>336</v>
      </c>
      <c r="G8">
        <f>VLOOKUP(A8,PPL!B:M,12,0)</f>
        <v>348</v>
      </c>
      <c r="H8">
        <f t="shared" si="0"/>
        <v>12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266</v>
      </c>
      <c r="F9">
        <v>266</v>
      </c>
      <c r="G9">
        <f>VLOOKUP(A9,PPL!B:M,12,0)</f>
        <v>266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283</v>
      </c>
      <c r="F10">
        <v>289</v>
      </c>
      <c r="G10">
        <f>VLOOKUP(A10,PPL!B:M,12,0)</f>
        <v>294</v>
      </c>
      <c r="H10">
        <f t="shared" si="0"/>
        <v>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275</v>
      </c>
      <c r="F11">
        <v>290</v>
      </c>
      <c r="G11">
        <f>VLOOKUP(A11,PPL!B:M,12,0)</f>
        <v>300</v>
      </c>
      <c r="H11">
        <f t="shared" si="0"/>
        <v>10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435</v>
      </c>
      <c r="F12">
        <v>456</v>
      </c>
      <c r="G12">
        <f>VLOOKUP(A12,PPL!B:M,12,0)</f>
        <v>484</v>
      </c>
      <c r="H12">
        <f t="shared" si="0"/>
        <v>28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269</v>
      </c>
      <c r="F13">
        <v>278</v>
      </c>
      <c r="G13">
        <f>VLOOKUP(A13,PPL!B:M,12,0)</f>
        <v>293</v>
      </c>
      <c r="H13">
        <f t="shared" si="0"/>
        <v>15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280</v>
      </c>
      <c r="F14">
        <v>285</v>
      </c>
      <c r="G14">
        <f>VLOOKUP(A14,PPL!B:M,12,0)</f>
        <v>289</v>
      </c>
      <c r="H14">
        <f t="shared" si="0"/>
        <v>4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279</v>
      </c>
      <c r="F15">
        <v>301</v>
      </c>
      <c r="G15">
        <f>VLOOKUP(A15,PPL!B:M,12,0)</f>
        <v>331</v>
      </c>
      <c r="H15">
        <f t="shared" si="0"/>
        <v>30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281</v>
      </c>
      <c r="F16">
        <v>295</v>
      </c>
      <c r="G16">
        <f>VLOOKUP(A16,PPL!B:M,12,0)</f>
        <v>299</v>
      </c>
      <c r="H16">
        <f t="shared" si="0"/>
        <v>4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266</v>
      </c>
      <c r="F17">
        <v>266</v>
      </c>
      <c r="G17">
        <f>VLOOKUP(A17,PPL!B:M,12,0)</f>
        <v>279</v>
      </c>
      <c r="H17">
        <f t="shared" si="0"/>
        <v>13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298</v>
      </c>
      <c r="F18">
        <v>309</v>
      </c>
      <c r="G18">
        <f>VLOOKUP(A18,PPL!B:M,12,0)</f>
        <v>315</v>
      </c>
      <c r="H18">
        <f t="shared" si="0"/>
        <v>6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314</v>
      </c>
      <c r="F19">
        <v>323</v>
      </c>
      <c r="G19">
        <f>VLOOKUP(A19,PPL!B:M,12,0)</f>
        <v>329</v>
      </c>
      <c r="H19">
        <f t="shared" si="0"/>
        <v>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263</v>
      </c>
      <c r="F20">
        <v>294</v>
      </c>
      <c r="G20">
        <f>VLOOKUP(A20,PPL!B:M,12,0)</f>
        <v>318</v>
      </c>
      <c r="H20">
        <f t="shared" si="0"/>
        <v>24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273</v>
      </c>
      <c r="F21">
        <v>275</v>
      </c>
      <c r="G21">
        <f>VLOOKUP(A21,PPL!B:M,12,0)</f>
        <v>276</v>
      </c>
      <c r="H21">
        <f t="shared" si="0"/>
        <v>1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272</v>
      </c>
      <c r="F22">
        <v>272</v>
      </c>
      <c r="G22">
        <f>VLOOKUP(A22,PPL!B:M,12,0)</f>
        <v>277</v>
      </c>
      <c r="H22">
        <f t="shared" si="0"/>
        <v>5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188</v>
      </c>
      <c r="F23">
        <v>246</v>
      </c>
      <c r="G23">
        <f>VLOOKUP(A23,PPL!B:M,12,0)</f>
        <v>272</v>
      </c>
      <c r="H23">
        <f t="shared" si="0"/>
        <v>26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320</v>
      </c>
      <c r="F24">
        <v>320</v>
      </c>
      <c r="G24">
        <f>VLOOKUP(A24,PPL!B:M,12,0)</f>
        <v>337</v>
      </c>
      <c r="H24">
        <f t="shared" si="0"/>
        <v>17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230</v>
      </c>
      <c r="F25">
        <v>286</v>
      </c>
      <c r="G25">
        <f>VLOOKUP(A25,PPL!B:M,12,0)</f>
        <v>299</v>
      </c>
      <c r="H25">
        <f t="shared" si="0"/>
        <v>13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297</v>
      </c>
      <c r="F26">
        <v>310</v>
      </c>
      <c r="G26">
        <f>VLOOKUP(A26,PPL!B:M,12,0)</f>
        <v>332</v>
      </c>
      <c r="H26">
        <f t="shared" si="0"/>
        <v>22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281</v>
      </c>
      <c r="F27">
        <v>288</v>
      </c>
      <c r="G27">
        <f>VLOOKUP(A27,PPL!B:M,12,0)</f>
        <v>289</v>
      </c>
      <c r="H27">
        <f t="shared" si="0"/>
        <v>1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341</v>
      </c>
      <c r="F28">
        <v>343</v>
      </c>
      <c r="G28">
        <f>VLOOKUP(A28,PPL!B:M,12,0)</f>
        <v>349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201</v>
      </c>
      <c r="F29">
        <v>266</v>
      </c>
      <c r="G29">
        <f>VLOOKUP(A29,PPL!B:M,12,0)</f>
        <v>266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176</v>
      </c>
      <c r="F30">
        <v>267</v>
      </c>
      <c r="G30">
        <f>VLOOKUP(A30,PPL!B:M,12,0)</f>
        <v>287</v>
      </c>
      <c r="H30">
        <f t="shared" si="0"/>
        <v>20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274</v>
      </c>
      <c r="F31">
        <v>284</v>
      </c>
      <c r="G31">
        <f>VLOOKUP(A31,PPL!B:M,12,0)</f>
        <v>302</v>
      </c>
      <c r="H31">
        <f t="shared" si="0"/>
        <v>18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231</v>
      </c>
      <c r="F32">
        <v>255</v>
      </c>
      <c r="G32">
        <f>VLOOKUP(A32,PPL!B:M,12,0)</f>
        <v>262</v>
      </c>
      <c r="H32">
        <f t="shared" si="0"/>
        <v>7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300</v>
      </c>
      <c r="F33">
        <v>300</v>
      </c>
      <c r="G33">
        <f>VLOOKUP(A33,PPL!B:M,12,0)</f>
        <v>327</v>
      </c>
      <c r="H33">
        <f t="shared" si="0"/>
        <v>27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288</v>
      </c>
      <c r="F34">
        <v>307</v>
      </c>
      <c r="G34">
        <f>VLOOKUP(A34,PPL!B:M,12,0)</f>
        <v>320</v>
      </c>
      <c r="H34">
        <f t="shared" si="0"/>
        <v>13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281</v>
      </c>
      <c r="F35">
        <v>320</v>
      </c>
      <c r="G35">
        <f>VLOOKUP(A35,PPL!B:M,12,0)</f>
        <v>323</v>
      </c>
      <c r="H35">
        <f t="shared" si="0"/>
        <v>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145</v>
      </c>
      <c r="F36">
        <v>162</v>
      </c>
      <c r="G36">
        <f>VLOOKUP(A36,PPL!B:M,12,0)</f>
        <v>180</v>
      </c>
      <c r="H36">
        <f t="shared" si="0"/>
        <v>18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168</v>
      </c>
      <c r="F37">
        <v>206</v>
      </c>
      <c r="G37">
        <f>VLOOKUP(A37,PPL!B:M,12,0)</f>
        <v>228</v>
      </c>
      <c r="H37">
        <f t="shared" si="0"/>
        <v>22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401</v>
      </c>
      <c r="F38">
        <v>424</v>
      </c>
      <c r="G38">
        <f>VLOOKUP(A38,PPL!B:M,12,0)</f>
        <v>433</v>
      </c>
      <c r="H38">
        <f t="shared" si="0"/>
        <v>9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162</v>
      </c>
      <c r="F39">
        <v>259</v>
      </c>
      <c r="G39">
        <f>VLOOKUP(A39,PPL!B:M,12,0)</f>
        <v>272</v>
      </c>
      <c r="H39">
        <f t="shared" si="0"/>
        <v>13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308</v>
      </c>
      <c r="F40">
        <v>309</v>
      </c>
      <c r="G40">
        <f>VLOOKUP(A40,PPL!B:M,12,0)</f>
        <v>313</v>
      </c>
      <c r="H40">
        <f t="shared" si="0"/>
        <v>4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220</v>
      </c>
      <c r="F41">
        <v>283</v>
      </c>
      <c r="G41">
        <f>VLOOKUP(A41,PPL!B:M,12,0)</f>
        <v>285</v>
      </c>
      <c r="H41">
        <f t="shared" si="0"/>
        <v>2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269</v>
      </c>
      <c r="F42">
        <v>269</v>
      </c>
      <c r="G42">
        <f>VLOOKUP(A42,PPL!B:M,12,0)</f>
        <v>271</v>
      </c>
      <c r="H42">
        <f t="shared" si="0"/>
        <v>2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137</v>
      </c>
      <c r="F43">
        <v>149</v>
      </c>
      <c r="G43">
        <f>VLOOKUP(A43,PPL!B:M,12,0)</f>
        <v>149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318</v>
      </c>
      <c r="F44">
        <v>318</v>
      </c>
      <c r="G44">
        <f>VLOOKUP(A44,PPL!B:M,12,0)</f>
        <v>318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253</v>
      </c>
      <c r="F45">
        <v>263</v>
      </c>
      <c r="G45">
        <f>VLOOKUP(A45,PPL!B:M,12,0)</f>
        <v>306</v>
      </c>
      <c r="H45">
        <f t="shared" si="0"/>
        <v>43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176</v>
      </c>
      <c r="F46">
        <v>196</v>
      </c>
      <c r="G46">
        <f>VLOOKUP(A46,PPL!B:M,12,0)</f>
        <v>283</v>
      </c>
      <c r="H46">
        <f t="shared" si="0"/>
        <v>87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242</v>
      </c>
      <c r="F47">
        <v>263</v>
      </c>
      <c r="G47">
        <f>VLOOKUP(A47,PPL!B:M,12,0)</f>
        <v>278</v>
      </c>
      <c r="H47">
        <f t="shared" si="0"/>
        <v>15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238</v>
      </c>
      <c r="F48">
        <v>244</v>
      </c>
      <c r="G48">
        <f>VLOOKUP(A48,PPL!B:M,12,0)</f>
        <v>254</v>
      </c>
      <c r="H48">
        <f t="shared" si="0"/>
        <v>10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254</v>
      </c>
      <c r="F49">
        <v>260</v>
      </c>
      <c r="G49">
        <f>VLOOKUP(A49,PPL!B:M,12,0)</f>
        <v>268</v>
      </c>
      <c r="H49">
        <f t="shared" si="0"/>
        <v>8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270</v>
      </c>
      <c r="F50">
        <v>270</v>
      </c>
      <c r="G50">
        <f>VLOOKUP(A50,PPL!B:M,12,0)</f>
        <v>270</v>
      </c>
      <c r="H50">
        <f t="shared" si="0"/>
        <v>0</v>
      </c>
      <c r="I50" t="b">
        <f t="shared" si="1"/>
        <v>1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264</v>
      </c>
      <c r="F51">
        <v>264</v>
      </c>
      <c r="G51">
        <f>VLOOKUP(A51,PPL!B:M,12,0)</f>
        <v>264</v>
      </c>
      <c r="H51">
        <f t="shared" si="0"/>
        <v>0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257</v>
      </c>
      <c r="F52">
        <v>257</v>
      </c>
      <c r="G52">
        <f>VLOOKUP(A52,PPL!B:M,12,0)</f>
        <v>259</v>
      </c>
      <c r="H52">
        <f t="shared" si="0"/>
        <v>2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224</v>
      </c>
      <c r="F53">
        <v>251</v>
      </c>
      <c r="G53">
        <f>VLOOKUP(A53,PPL!B:M,12,0)</f>
        <v>274</v>
      </c>
      <c r="H53">
        <f t="shared" si="0"/>
        <v>23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290</v>
      </c>
      <c r="F54">
        <v>292</v>
      </c>
      <c r="G54">
        <f>VLOOKUP(A54,PPL!B:M,12,0)</f>
        <v>297</v>
      </c>
      <c r="H54">
        <f t="shared" si="0"/>
        <v>5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245</v>
      </c>
      <c r="F55">
        <v>254</v>
      </c>
      <c r="G55">
        <f>VLOOKUP(A55,PPL!B:M,12,0)</f>
        <v>254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340</v>
      </c>
      <c r="F56">
        <v>346</v>
      </c>
      <c r="G56">
        <f>VLOOKUP(A56,PPL!B:M,12,0)</f>
        <v>366</v>
      </c>
      <c r="H56">
        <f t="shared" si="0"/>
        <v>20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247</v>
      </c>
      <c r="F57">
        <v>247</v>
      </c>
      <c r="G57">
        <f>VLOOKUP(A57,PPL!B:M,12,0)</f>
        <v>247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271</v>
      </c>
      <c r="F58">
        <v>279</v>
      </c>
      <c r="G58">
        <f>VLOOKUP(A58,PPL!B:M,12,0)</f>
        <v>283</v>
      </c>
      <c r="H58">
        <f t="shared" si="0"/>
        <v>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151</v>
      </c>
      <c r="F59">
        <v>236</v>
      </c>
      <c r="G59">
        <f>VLOOKUP(A59,PPL!B:M,12,0)</f>
        <v>253</v>
      </c>
      <c r="H59">
        <f t="shared" si="0"/>
        <v>17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314</v>
      </c>
      <c r="F60">
        <v>325</v>
      </c>
      <c r="G60">
        <f>VLOOKUP(A60,PPL!B:M,12,0)</f>
        <v>332</v>
      </c>
      <c r="H60">
        <f t="shared" si="0"/>
        <v>7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216</v>
      </c>
      <c r="F61">
        <v>252</v>
      </c>
      <c r="G61">
        <f>VLOOKUP(A61,PPL!B:M,12,0)</f>
        <v>259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234</v>
      </c>
      <c r="F62">
        <v>254</v>
      </c>
      <c r="G62">
        <f>VLOOKUP(A62,PPL!B:M,12,0)</f>
        <v>272</v>
      </c>
      <c r="H62">
        <f t="shared" si="0"/>
        <v>18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275</v>
      </c>
      <c r="F63">
        <v>280</v>
      </c>
      <c r="G63">
        <f>VLOOKUP(A63,PPL!B:M,12,0)</f>
        <v>286</v>
      </c>
      <c r="H63">
        <f t="shared" si="0"/>
        <v>6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244</v>
      </c>
      <c r="F64">
        <v>271</v>
      </c>
      <c r="G64">
        <f>VLOOKUP(A64,PPL!B:M,12,0)</f>
        <v>284</v>
      </c>
      <c r="H64">
        <f t="shared" si="0"/>
        <v>13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250</v>
      </c>
      <c r="F65">
        <v>282</v>
      </c>
      <c r="G65">
        <f>VLOOKUP(A65,PPL!B:M,12,0)</f>
        <v>284</v>
      </c>
      <c r="H65">
        <f t="shared" si="0"/>
        <v>2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179</v>
      </c>
      <c r="F66">
        <v>196</v>
      </c>
      <c r="G66">
        <f>VLOOKUP(A66,PPL!B:M,12,0)</f>
        <v>211</v>
      </c>
      <c r="H66">
        <f t="shared" ref="H66:H129" si="2">G66-F66</f>
        <v>15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194</v>
      </c>
      <c r="F67">
        <v>258</v>
      </c>
      <c r="G67">
        <f>VLOOKUP(A67,PPL!B:M,12,0)</f>
        <v>285</v>
      </c>
      <c r="H67">
        <f t="shared" si="2"/>
        <v>27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197</v>
      </c>
      <c r="F68">
        <v>219</v>
      </c>
      <c r="G68">
        <f>VLOOKUP(A68,PPL!B:M,12,0)</f>
        <v>254</v>
      </c>
      <c r="H68">
        <f t="shared" si="2"/>
        <v>35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166</v>
      </c>
      <c r="F69">
        <v>247</v>
      </c>
      <c r="G69">
        <f>VLOOKUP(A69,PPL!B:M,12,0)</f>
        <v>263</v>
      </c>
      <c r="H69">
        <f t="shared" si="2"/>
        <v>16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193</v>
      </c>
      <c r="F70">
        <v>197</v>
      </c>
      <c r="G70">
        <f>VLOOKUP(A70,PPL!B:M,12,0)</f>
        <v>200</v>
      </c>
      <c r="H70">
        <f t="shared" si="2"/>
        <v>3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125</v>
      </c>
      <c r="F71">
        <v>151</v>
      </c>
      <c r="G71">
        <f>VLOOKUP(A71,PPL!B:M,12,0)</f>
        <v>190</v>
      </c>
      <c r="H71">
        <f t="shared" si="2"/>
        <v>39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199</v>
      </c>
      <c r="F72">
        <v>200</v>
      </c>
      <c r="G72">
        <f>VLOOKUP(A72,PPL!B:M,12,0)</f>
        <v>200</v>
      </c>
      <c r="H72">
        <f t="shared" si="2"/>
        <v>0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179</v>
      </c>
      <c r="F73">
        <v>188</v>
      </c>
      <c r="G73">
        <f>VLOOKUP(A73,PPL!B:M,12,0)</f>
        <v>188</v>
      </c>
      <c r="H73">
        <f t="shared" si="2"/>
        <v>0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223</v>
      </c>
      <c r="F74">
        <v>233</v>
      </c>
      <c r="G74">
        <f>VLOOKUP(A74,PPL!B:M,12,0)</f>
        <v>233</v>
      </c>
      <c r="H74">
        <f t="shared" si="2"/>
        <v>0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200</v>
      </c>
      <c r="F75">
        <v>205</v>
      </c>
      <c r="G75">
        <f>VLOOKUP(A75,PPL!B:M,12,0)</f>
        <v>209</v>
      </c>
      <c r="H75">
        <f t="shared" si="2"/>
        <v>4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176</v>
      </c>
      <c r="F76">
        <v>193</v>
      </c>
      <c r="G76">
        <f>VLOOKUP(A76,PPL!B:M,12,0)</f>
        <v>204</v>
      </c>
      <c r="H76">
        <f t="shared" si="2"/>
        <v>11</v>
      </c>
      <c r="I76" t="b">
        <f t="shared" si="3"/>
        <v>0</v>
      </c>
    </row>
    <row r="77" spans="1:9" x14ac:dyDescent="0.25">
      <c r="A77" t="s">
        <v>402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205</v>
      </c>
      <c r="F77">
        <v>213</v>
      </c>
      <c r="G77">
        <f>VLOOKUP(A77,PPL!B:M,12,0)</f>
        <v>214</v>
      </c>
      <c r="H77">
        <f t="shared" si="2"/>
        <v>1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177</v>
      </c>
      <c r="F78">
        <v>189</v>
      </c>
      <c r="G78">
        <f>VLOOKUP(A78,PPL!B:M,12,0)</f>
        <v>198</v>
      </c>
      <c r="H78">
        <f t="shared" si="2"/>
        <v>9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92</v>
      </c>
      <c r="F79">
        <v>92</v>
      </c>
      <c r="G79">
        <f>VLOOKUP(A79,PPL!B:M,12,0)</f>
        <v>93</v>
      </c>
      <c r="H79">
        <f t="shared" si="2"/>
        <v>1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88</v>
      </c>
      <c r="F80">
        <v>91</v>
      </c>
      <c r="G80">
        <f>VLOOKUP(A80,PPL!B:M,12,0)</f>
        <v>106</v>
      </c>
      <c r="H80">
        <f t="shared" si="2"/>
        <v>15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180</v>
      </c>
      <c r="F81">
        <v>180</v>
      </c>
      <c r="G81">
        <f>VLOOKUP(A81,PPL!B:M,12,0)</f>
        <v>180</v>
      </c>
      <c r="H81">
        <f t="shared" si="2"/>
        <v>0</v>
      </c>
      <c r="I81" t="b">
        <f t="shared" si="3"/>
        <v>1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154</v>
      </c>
      <c r="F82">
        <v>176</v>
      </c>
      <c r="G82">
        <f>VLOOKUP(A82,PPL!B:M,12,0)</f>
        <v>181</v>
      </c>
      <c r="H82">
        <f t="shared" si="2"/>
        <v>5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168</v>
      </c>
      <c r="F83">
        <v>168</v>
      </c>
      <c r="G83">
        <f>VLOOKUP(A83,PPL!B:M,12,0)</f>
        <v>168</v>
      </c>
      <c r="H83">
        <f t="shared" si="2"/>
        <v>0</v>
      </c>
      <c r="I83" t="b">
        <f t="shared" si="3"/>
        <v>1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172</v>
      </c>
      <c r="F84">
        <v>183</v>
      </c>
      <c r="G84">
        <f>VLOOKUP(A84,PPL!B:M,12,0)</f>
        <v>183</v>
      </c>
      <c r="H84">
        <f t="shared" si="2"/>
        <v>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173</v>
      </c>
      <c r="F85">
        <v>177</v>
      </c>
      <c r="G85">
        <f>VLOOKUP(A85,PPL!B:M,12,0)</f>
        <v>190</v>
      </c>
      <c r="H85">
        <f t="shared" si="2"/>
        <v>13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256</v>
      </c>
      <c r="F86">
        <v>264</v>
      </c>
      <c r="G86">
        <f>VLOOKUP(A86,PPL!B:M,12,0)</f>
        <v>283</v>
      </c>
      <c r="H86">
        <f t="shared" si="2"/>
        <v>19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272</v>
      </c>
      <c r="F87">
        <v>284</v>
      </c>
      <c r="G87">
        <f>VLOOKUP(A87,PPL!B:M,12,0)</f>
        <v>284</v>
      </c>
      <c r="H87">
        <f t="shared" si="2"/>
        <v>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264</v>
      </c>
      <c r="F88">
        <v>264</v>
      </c>
      <c r="G88">
        <f>VLOOKUP(A88,PPL!B:M,12,0)</f>
        <v>267</v>
      </c>
      <c r="H88">
        <f t="shared" si="2"/>
        <v>3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230</v>
      </c>
      <c r="F89">
        <v>246</v>
      </c>
      <c r="G89">
        <f>VLOOKUP(A89,PPL!B:M,12,0)</f>
        <v>248</v>
      </c>
      <c r="H89">
        <f t="shared" si="2"/>
        <v>2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147</v>
      </c>
      <c r="F90">
        <v>236</v>
      </c>
      <c r="G90">
        <f>VLOOKUP(A90,PPL!B:M,12,0)</f>
        <v>244</v>
      </c>
      <c r="H90">
        <f t="shared" si="2"/>
        <v>8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280</v>
      </c>
      <c r="F91">
        <v>289</v>
      </c>
      <c r="G91">
        <f>VLOOKUP(A91,PPL!B:M,12,0)</f>
        <v>293</v>
      </c>
      <c r="H91">
        <f t="shared" si="2"/>
        <v>4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283</v>
      </c>
      <c r="F92">
        <v>284</v>
      </c>
      <c r="G92">
        <f>VLOOKUP(A92,PPL!B:M,12,0)</f>
        <v>287</v>
      </c>
      <c r="H92">
        <f t="shared" si="2"/>
        <v>3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254</v>
      </c>
      <c r="F93">
        <v>279</v>
      </c>
      <c r="G93">
        <f>VLOOKUP(A93,PPL!B:M,12,0)</f>
        <v>279</v>
      </c>
      <c r="H93">
        <f t="shared" si="2"/>
        <v>0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191</v>
      </c>
      <c r="F94">
        <v>298</v>
      </c>
      <c r="G94">
        <f>VLOOKUP(A94,PPL!B:M,12,0)</f>
        <v>309</v>
      </c>
      <c r="H94">
        <f t="shared" si="2"/>
        <v>11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266</v>
      </c>
      <c r="F95">
        <v>307</v>
      </c>
      <c r="G95">
        <f>VLOOKUP(A95,PPL!B:M,12,0)</f>
        <v>307</v>
      </c>
      <c r="H95">
        <f t="shared" si="2"/>
        <v>0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265</v>
      </c>
      <c r="F96">
        <v>270</v>
      </c>
      <c r="G96">
        <f>VLOOKUP(A96,PPL!B:M,12,0)</f>
        <v>270</v>
      </c>
      <c r="H96">
        <f t="shared" si="2"/>
        <v>0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263</v>
      </c>
      <c r="F97">
        <v>263</v>
      </c>
      <c r="G97">
        <f>VLOOKUP(A97,PPL!B:M,12,0)</f>
        <v>263</v>
      </c>
      <c r="H97">
        <f t="shared" si="2"/>
        <v>0</v>
      </c>
      <c r="I97" t="b">
        <f t="shared" si="3"/>
        <v>1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245</v>
      </c>
      <c r="F98">
        <v>260</v>
      </c>
      <c r="G98">
        <f>VLOOKUP(A98,PPL!B:M,12,0)</f>
        <v>260</v>
      </c>
      <c r="H98">
        <f t="shared" si="2"/>
        <v>0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343</v>
      </c>
      <c r="F99">
        <v>359</v>
      </c>
      <c r="G99">
        <f>VLOOKUP(A99,PPL!B:M,12,0)</f>
        <v>365</v>
      </c>
      <c r="H99">
        <f t="shared" si="2"/>
        <v>6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281</v>
      </c>
      <c r="F100">
        <v>292</v>
      </c>
      <c r="G100">
        <f>VLOOKUP(A100,PPL!B:M,12,0)</f>
        <v>297</v>
      </c>
      <c r="H100">
        <f t="shared" si="2"/>
        <v>5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219</v>
      </c>
      <c r="F101">
        <v>223</v>
      </c>
      <c r="G101">
        <f>VLOOKUP(A101,PPL!B:M,12,0)</f>
        <v>223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269</v>
      </c>
      <c r="F102">
        <v>279</v>
      </c>
      <c r="G102">
        <f>VLOOKUP(A102,PPL!B:M,12,0)</f>
        <v>284</v>
      </c>
      <c r="H102">
        <f t="shared" si="2"/>
        <v>5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228</v>
      </c>
      <c r="F103">
        <v>257</v>
      </c>
      <c r="G103">
        <f>VLOOKUP(A103,PPL!B:M,12,0)</f>
        <v>258</v>
      </c>
      <c r="H103">
        <f t="shared" si="2"/>
        <v>1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227</v>
      </c>
      <c r="F104">
        <v>253</v>
      </c>
      <c r="G104">
        <f>VLOOKUP(A104,PPL!B:M,12,0)</f>
        <v>270</v>
      </c>
      <c r="H104">
        <f t="shared" si="2"/>
        <v>17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265</v>
      </c>
      <c r="F105">
        <v>273</v>
      </c>
      <c r="G105">
        <f>VLOOKUP(A105,PPL!B:M,12,0)</f>
        <v>278</v>
      </c>
      <c r="H105">
        <f t="shared" si="2"/>
        <v>5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476</v>
      </c>
      <c r="F106">
        <v>499</v>
      </c>
      <c r="G106">
        <f>VLOOKUP(A106,PPL!B:M,12,0)</f>
        <v>506</v>
      </c>
      <c r="H106">
        <f t="shared" si="2"/>
        <v>7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260</v>
      </c>
      <c r="F107">
        <v>260</v>
      </c>
      <c r="G107">
        <f>VLOOKUP(A107,PPL!B:M,12,0)</f>
        <v>261</v>
      </c>
      <c r="H107">
        <f t="shared" si="2"/>
        <v>1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275</v>
      </c>
      <c r="F108">
        <v>282</v>
      </c>
      <c r="G108">
        <f>VLOOKUP(A108,PPL!B:M,12,0)</f>
        <v>294</v>
      </c>
      <c r="H108">
        <f t="shared" si="2"/>
        <v>12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249</v>
      </c>
      <c r="F109">
        <v>265</v>
      </c>
      <c r="G109">
        <f>VLOOKUP(A109,PPL!B:M,12,0)</f>
        <v>279</v>
      </c>
      <c r="H109">
        <f t="shared" si="2"/>
        <v>14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272</v>
      </c>
      <c r="F110">
        <v>284</v>
      </c>
      <c r="G110">
        <f>VLOOKUP(A110,PPL!B:M,12,0)</f>
        <v>289</v>
      </c>
      <c r="H110">
        <f t="shared" si="2"/>
        <v>5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291</v>
      </c>
      <c r="F111">
        <v>292</v>
      </c>
      <c r="G111">
        <f>VLOOKUP(A111,PPL!B:M,12,0)</f>
        <v>292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310</v>
      </c>
      <c r="F112">
        <v>329</v>
      </c>
      <c r="G112">
        <f>VLOOKUP(A112,PPL!B:M,12,0)</f>
        <v>329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228</v>
      </c>
      <c r="F113">
        <v>268</v>
      </c>
      <c r="G113">
        <f>VLOOKUP(A113,PPL!B:M,12,0)</f>
        <v>268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234</v>
      </c>
      <c r="F114">
        <v>239</v>
      </c>
      <c r="G114">
        <f>VLOOKUP(A114,PPL!B:M,12,0)</f>
        <v>247</v>
      </c>
      <c r="H114">
        <f t="shared" si="2"/>
        <v>8</v>
      </c>
      <c r="I114" t="b">
        <f t="shared" si="3"/>
        <v>0</v>
      </c>
    </row>
    <row r="115" spans="1:9" x14ac:dyDescent="0.25">
      <c r="A115" t="s">
        <v>359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256</v>
      </c>
      <c r="F115">
        <v>268</v>
      </c>
      <c r="G115">
        <f>VLOOKUP(A115,PPL!B:M,12,0)</f>
        <v>272</v>
      </c>
      <c r="H115">
        <f t="shared" si="2"/>
        <v>4</v>
      </c>
      <c r="I115" t="b">
        <f t="shared" si="3"/>
        <v>0</v>
      </c>
    </row>
    <row r="116" spans="1:9" x14ac:dyDescent="0.25">
      <c r="A116" t="s">
        <v>360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267</v>
      </c>
      <c r="F116">
        <v>287</v>
      </c>
      <c r="G116">
        <f>VLOOKUP(A116,PPL!B:M,12,0)</f>
        <v>302</v>
      </c>
      <c r="H116">
        <f t="shared" si="2"/>
        <v>15</v>
      </c>
      <c r="I116" t="b">
        <f t="shared" si="3"/>
        <v>0</v>
      </c>
    </row>
    <row r="117" spans="1:9" x14ac:dyDescent="0.25">
      <c r="A117" t="s">
        <v>361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299</v>
      </c>
      <c r="F117">
        <v>301</v>
      </c>
      <c r="G117">
        <f>VLOOKUP(A117,PPL!B:M,12,0)</f>
        <v>301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362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238</v>
      </c>
      <c r="F118">
        <v>262</v>
      </c>
      <c r="G118">
        <f>VLOOKUP(A118,PPL!B:M,12,0)</f>
        <v>262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363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270</v>
      </c>
      <c r="F119">
        <v>270</v>
      </c>
      <c r="G119">
        <f>VLOOKUP(A119,PPL!B:M,12,0)</f>
        <v>273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364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343</v>
      </c>
      <c r="F120">
        <v>351</v>
      </c>
      <c r="G120">
        <f>VLOOKUP(A120,PPL!B:M,12,0)</f>
        <v>409</v>
      </c>
      <c r="H120">
        <f t="shared" si="2"/>
        <v>58</v>
      </c>
      <c r="I120" t="b">
        <f t="shared" si="3"/>
        <v>0</v>
      </c>
    </row>
    <row r="121" spans="1:9" x14ac:dyDescent="0.25">
      <c r="A121" t="s">
        <v>365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322</v>
      </c>
      <c r="F121">
        <v>330</v>
      </c>
      <c r="G121">
        <f>VLOOKUP(A121,PPL!B:M,12,0)</f>
        <v>349</v>
      </c>
      <c r="H121">
        <f t="shared" si="2"/>
        <v>19</v>
      </c>
      <c r="I121" t="b">
        <f t="shared" si="3"/>
        <v>0</v>
      </c>
    </row>
    <row r="122" spans="1:9" x14ac:dyDescent="0.25">
      <c r="A122" t="s">
        <v>366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263</v>
      </c>
      <c r="F122">
        <v>274</v>
      </c>
      <c r="G122">
        <f>VLOOKUP(A122,PPL!B:M,12,0)</f>
        <v>280</v>
      </c>
      <c r="H122">
        <f t="shared" si="2"/>
        <v>6</v>
      </c>
      <c r="I122" t="b">
        <f t="shared" si="3"/>
        <v>0</v>
      </c>
    </row>
    <row r="123" spans="1:9" x14ac:dyDescent="0.25">
      <c r="A123" t="s">
        <v>367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288</v>
      </c>
      <c r="F123">
        <v>292</v>
      </c>
      <c r="G123">
        <f>VLOOKUP(A123,PPL!B:M,12,0)</f>
        <v>292</v>
      </c>
      <c r="H123">
        <f t="shared" si="2"/>
        <v>0</v>
      </c>
      <c r="I123" t="b">
        <f t="shared" si="3"/>
        <v>0</v>
      </c>
    </row>
    <row r="124" spans="1:9" x14ac:dyDescent="0.25">
      <c r="A124" t="s">
        <v>368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150</v>
      </c>
      <c r="F124">
        <v>173</v>
      </c>
      <c r="G124">
        <f>VLOOKUP(A124,PPL!B:M,12,0)</f>
        <v>258</v>
      </c>
      <c r="H124">
        <f t="shared" si="2"/>
        <v>85</v>
      </c>
      <c r="I124" t="b">
        <f t="shared" si="3"/>
        <v>0</v>
      </c>
    </row>
    <row r="125" spans="1:9" x14ac:dyDescent="0.25">
      <c r="A125" t="s">
        <v>369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239</v>
      </c>
      <c r="F125">
        <v>247</v>
      </c>
      <c r="G125">
        <f>VLOOKUP(A125,PPL!B:M,12,0)</f>
        <v>253</v>
      </c>
      <c r="H125">
        <f t="shared" si="2"/>
        <v>6</v>
      </c>
      <c r="I125" t="b">
        <f t="shared" si="3"/>
        <v>0</v>
      </c>
    </row>
    <row r="126" spans="1:9" x14ac:dyDescent="0.25">
      <c r="A126" t="s">
        <v>370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100</v>
      </c>
      <c r="F126">
        <v>121</v>
      </c>
      <c r="G126">
        <f>VLOOKUP(A126,PPL!B:M,12,0)</f>
        <v>124</v>
      </c>
      <c r="H126">
        <f t="shared" si="2"/>
        <v>3</v>
      </c>
      <c r="I126" t="b">
        <f t="shared" si="3"/>
        <v>0</v>
      </c>
    </row>
    <row r="127" spans="1:9" x14ac:dyDescent="0.25">
      <c r="A127" t="s">
        <v>371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190</v>
      </c>
      <c r="F127">
        <v>209</v>
      </c>
      <c r="G127">
        <f>VLOOKUP(A127,PPL!B:M,12,0)</f>
        <v>273</v>
      </c>
      <c r="H127">
        <f t="shared" si="2"/>
        <v>64</v>
      </c>
      <c r="I127" t="b">
        <f t="shared" si="3"/>
        <v>0</v>
      </c>
    </row>
    <row r="128" spans="1:9" x14ac:dyDescent="0.25">
      <c r="A128" t="s">
        <v>372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242</v>
      </c>
      <c r="F128">
        <v>252</v>
      </c>
      <c r="G128">
        <f>VLOOKUP(A128,PPL!B:M,12,0)</f>
        <v>252</v>
      </c>
      <c r="H128">
        <f t="shared" si="2"/>
        <v>0</v>
      </c>
      <c r="I128" t="b">
        <f t="shared" si="3"/>
        <v>0</v>
      </c>
    </row>
    <row r="129" spans="1:9" x14ac:dyDescent="0.25">
      <c r="A129" t="s">
        <v>373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244</v>
      </c>
      <c r="F129">
        <v>256</v>
      </c>
      <c r="G129">
        <f>VLOOKUP(A129,PPL!B:M,12,0)</f>
        <v>262</v>
      </c>
      <c r="H129">
        <f t="shared" si="2"/>
        <v>6</v>
      </c>
      <c r="I129" t="b">
        <f t="shared" si="3"/>
        <v>0</v>
      </c>
    </row>
    <row r="130" spans="1:9" x14ac:dyDescent="0.25">
      <c r="A130" t="s">
        <v>374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252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0</v>
      </c>
    </row>
    <row r="131" spans="1:9" x14ac:dyDescent="0.25">
      <c r="A131" t="s">
        <v>375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185</v>
      </c>
      <c r="F131">
        <v>260</v>
      </c>
      <c r="G131">
        <f>VLOOKUP(A131,PPL!B:M,12,0)</f>
        <v>260</v>
      </c>
      <c r="H131">
        <f t="shared" si="4"/>
        <v>0</v>
      </c>
      <c r="I131" t="b">
        <f t="shared" ref="I131:I158" si="5">E131=G131</f>
        <v>0</v>
      </c>
    </row>
    <row r="132" spans="1:9" x14ac:dyDescent="0.25">
      <c r="A132" t="s">
        <v>376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218</v>
      </c>
      <c r="F132">
        <v>279</v>
      </c>
      <c r="G132">
        <f>VLOOKUP(A132,PPL!B:M,12,0)</f>
        <v>285</v>
      </c>
      <c r="H132">
        <f t="shared" si="4"/>
        <v>6</v>
      </c>
      <c r="I132" t="b">
        <f t="shared" si="5"/>
        <v>0</v>
      </c>
    </row>
    <row r="133" spans="1:9" x14ac:dyDescent="0.25">
      <c r="A133" t="s">
        <v>377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107</v>
      </c>
      <c r="F133">
        <v>180</v>
      </c>
      <c r="G133">
        <f>VLOOKUP(A133,PPL!B:M,12,0)</f>
        <v>237</v>
      </c>
      <c r="H133">
        <f t="shared" si="4"/>
        <v>57</v>
      </c>
      <c r="I133" t="b">
        <f t="shared" si="5"/>
        <v>0</v>
      </c>
    </row>
    <row r="134" spans="1:9" x14ac:dyDescent="0.25">
      <c r="A134" t="s">
        <v>378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132</v>
      </c>
      <c r="F134">
        <v>161</v>
      </c>
      <c r="G134">
        <f>VLOOKUP(A134,PPL!B:M,12,0)</f>
        <v>171</v>
      </c>
      <c r="H134">
        <f t="shared" si="4"/>
        <v>10</v>
      </c>
      <c r="I134" t="b">
        <f t="shared" si="5"/>
        <v>0</v>
      </c>
    </row>
    <row r="135" spans="1:9" x14ac:dyDescent="0.25">
      <c r="A135" t="s">
        <v>379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276</v>
      </c>
      <c r="F135">
        <v>301</v>
      </c>
      <c r="G135">
        <f>VLOOKUP(A135,PPL!B:M,12,0)</f>
        <v>316</v>
      </c>
      <c r="H135">
        <f t="shared" si="4"/>
        <v>15</v>
      </c>
      <c r="I135" t="b">
        <f t="shared" si="5"/>
        <v>0</v>
      </c>
    </row>
    <row r="136" spans="1:9" x14ac:dyDescent="0.25">
      <c r="A136" t="s">
        <v>380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296</v>
      </c>
      <c r="F136">
        <v>300</v>
      </c>
      <c r="G136">
        <f>VLOOKUP(A136,PPL!B:M,12,0)</f>
        <v>308</v>
      </c>
      <c r="H136">
        <f t="shared" si="4"/>
        <v>8</v>
      </c>
      <c r="I136" t="b">
        <f t="shared" si="5"/>
        <v>0</v>
      </c>
    </row>
    <row r="137" spans="1:9" x14ac:dyDescent="0.25">
      <c r="A137" t="s">
        <v>381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284</v>
      </c>
      <c r="F137">
        <v>300</v>
      </c>
      <c r="G137">
        <f>VLOOKUP(A137,PPL!B:M,12,0)</f>
        <v>305</v>
      </c>
      <c r="H137">
        <f t="shared" si="4"/>
        <v>5</v>
      </c>
      <c r="I137" t="b">
        <f t="shared" si="5"/>
        <v>0</v>
      </c>
    </row>
    <row r="138" spans="1:9" x14ac:dyDescent="0.25">
      <c r="A138" t="s">
        <v>391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221</v>
      </c>
      <c r="F138">
        <v>253</v>
      </c>
      <c r="G138">
        <f>VLOOKUP(A138,PPL!B:M,12,0)</f>
        <v>254</v>
      </c>
      <c r="H138">
        <f t="shared" si="4"/>
        <v>1</v>
      </c>
      <c r="I138" t="b">
        <f t="shared" si="5"/>
        <v>0</v>
      </c>
    </row>
    <row r="139" spans="1:9" x14ac:dyDescent="0.25">
      <c r="A139" t="s">
        <v>390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347</v>
      </c>
      <c r="F139">
        <v>356</v>
      </c>
      <c r="G139">
        <f>VLOOKUP(A139,PPL!B:M,12,0)</f>
        <v>361</v>
      </c>
      <c r="H139">
        <f t="shared" si="4"/>
        <v>5</v>
      </c>
      <c r="I139" t="b">
        <f t="shared" si="5"/>
        <v>0</v>
      </c>
    </row>
    <row r="140" spans="1:9" x14ac:dyDescent="0.25">
      <c r="A140" t="s">
        <v>162</v>
      </c>
      <c r="B140" t="s">
        <v>387</v>
      </c>
      <c r="C140" t="str">
        <f>VLOOKUP(A140,PML!A:B,2,0)</f>
        <v>Meidy</v>
      </c>
      <c r="D140" t="s">
        <v>245</v>
      </c>
      <c r="E140">
        <v>1995</v>
      </c>
      <c r="F140">
        <v>2042</v>
      </c>
      <c r="G140">
        <f>VLOOKUP(A140,PML!A:K,11,0)</f>
        <v>2043</v>
      </c>
      <c r="H140">
        <f t="shared" si="4"/>
        <v>1</v>
      </c>
      <c r="I140" t="b">
        <f t="shared" si="5"/>
        <v>0</v>
      </c>
    </row>
    <row r="141" spans="1:9" x14ac:dyDescent="0.25">
      <c r="A141" t="s">
        <v>163</v>
      </c>
      <c r="B141" t="s">
        <v>387</v>
      </c>
      <c r="C141" t="str">
        <f>VLOOKUP(A141,PML!A:B,2,0)</f>
        <v>Lasimran</v>
      </c>
      <c r="D141" t="s">
        <v>245</v>
      </c>
      <c r="E141">
        <v>2079</v>
      </c>
      <c r="F141">
        <v>2194</v>
      </c>
      <c r="G141">
        <f>VLOOKUP(A141,PML!A:K,11,0)</f>
        <v>2262</v>
      </c>
      <c r="H141">
        <f t="shared" si="4"/>
        <v>68</v>
      </c>
      <c r="I141" t="b">
        <f t="shared" si="5"/>
        <v>0</v>
      </c>
    </row>
    <row r="142" spans="1:9" x14ac:dyDescent="0.25">
      <c r="A142" t="s">
        <v>164</v>
      </c>
      <c r="B142" t="s">
        <v>387</v>
      </c>
      <c r="C142" t="str">
        <f>VLOOKUP(A142,PML!A:B,2,0)</f>
        <v>Oliv</v>
      </c>
      <c r="D142" t="s">
        <v>245</v>
      </c>
      <c r="E142">
        <v>1945</v>
      </c>
      <c r="F142">
        <v>1991</v>
      </c>
      <c r="G142">
        <f>VLOOKUP(A142,PML!A:K,11,0)</f>
        <v>2134</v>
      </c>
      <c r="H142">
        <f t="shared" si="4"/>
        <v>143</v>
      </c>
      <c r="I142" t="b">
        <f t="shared" si="5"/>
        <v>0</v>
      </c>
    </row>
    <row r="143" spans="1:9" x14ac:dyDescent="0.25">
      <c r="A143" t="s">
        <v>165</v>
      </c>
      <c r="B143" t="s">
        <v>387</v>
      </c>
      <c r="C143" t="str">
        <f>VLOOKUP(A143,PML!A:B,2,0)</f>
        <v>Vera</v>
      </c>
      <c r="D143" t="s">
        <v>245</v>
      </c>
      <c r="E143">
        <v>1005</v>
      </c>
      <c r="F143">
        <v>1160</v>
      </c>
      <c r="G143">
        <f>VLOOKUP(A143,PML!A:K,11,0)</f>
        <v>1380</v>
      </c>
      <c r="H143">
        <f t="shared" si="4"/>
        <v>220</v>
      </c>
      <c r="I143" t="b">
        <f t="shared" si="5"/>
        <v>0</v>
      </c>
    </row>
    <row r="144" spans="1:9" x14ac:dyDescent="0.25">
      <c r="A144" t="s">
        <v>166</v>
      </c>
      <c r="B144" t="s">
        <v>387</v>
      </c>
      <c r="C144" t="str">
        <f>VLOOKUP(A144,PML!A:B,2,0)</f>
        <v>NurAlamsyah</v>
      </c>
      <c r="D144" t="s">
        <v>245</v>
      </c>
      <c r="E144">
        <v>1909</v>
      </c>
      <c r="F144">
        <v>2039</v>
      </c>
      <c r="G144">
        <f>VLOOKUP(A144,PML!A:K,11,0)</f>
        <v>2100</v>
      </c>
      <c r="H144">
        <f t="shared" si="4"/>
        <v>61</v>
      </c>
      <c r="I144" t="b">
        <f t="shared" si="5"/>
        <v>0</v>
      </c>
    </row>
    <row r="145" spans="1:9" x14ac:dyDescent="0.25">
      <c r="A145" t="s">
        <v>167</v>
      </c>
      <c r="B145" t="s">
        <v>387</v>
      </c>
      <c r="C145" t="str">
        <f>VLOOKUP(A145,PML!A:B,2,0)</f>
        <v>Firly</v>
      </c>
      <c r="D145" t="s">
        <v>245</v>
      </c>
      <c r="E145">
        <v>1321</v>
      </c>
      <c r="F145">
        <v>1700</v>
      </c>
      <c r="G145">
        <f>VLOOKUP(A145,PML!A:K,11,0)</f>
        <v>1830</v>
      </c>
      <c r="H145">
        <f t="shared" si="4"/>
        <v>130</v>
      </c>
      <c r="I145" t="b">
        <f t="shared" si="5"/>
        <v>0</v>
      </c>
    </row>
    <row r="146" spans="1:9" x14ac:dyDescent="0.25">
      <c r="A146" t="s">
        <v>168</v>
      </c>
      <c r="B146" t="s">
        <v>387</v>
      </c>
      <c r="C146" t="str">
        <f>VLOOKUP(A146,PML!A:B,2,0)</f>
        <v>Handoko</v>
      </c>
      <c r="D146" t="s">
        <v>245</v>
      </c>
      <c r="E146">
        <v>1556</v>
      </c>
      <c r="F146">
        <v>1989</v>
      </c>
      <c r="G146">
        <f>VLOOKUP(A146,PML!A:K,11,0)</f>
        <v>2061</v>
      </c>
      <c r="H146">
        <f t="shared" si="4"/>
        <v>72</v>
      </c>
      <c r="I146" t="b">
        <f t="shared" si="5"/>
        <v>0</v>
      </c>
    </row>
    <row r="147" spans="1:9" x14ac:dyDescent="0.25">
      <c r="A147" t="s">
        <v>169</v>
      </c>
      <c r="B147" t="s">
        <v>387</v>
      </c>
      <c r="C147" t="str">
        <f>VLOOKUP(A147,PML!A:B,2,0)</f>
        <v>Rudy</v>
      </c>
      <c r="D147" t="s">
        <v>245</v>
      </c>
      <c r="E147">
        <v>995</v>
      </c>
      <c r="F147">
        <v>1351</v>
      </c>
      <c r="G147">
        <f>VLOOKUP(A147,PML!A:K,11,0)</f>
        <v>1819</v>
      </c>
      <c r="H147">
        <f t="shared" si="4"/>
        <v>468</v>
      </c>
      <c r="I147" t="b">
        <f t="shared" si="5"/>
        <v>0</v>
      </c>
    </row>
    <row r="148" spans="1:9" x14ac:dyDescent="0.25">
      <c r="A148" t="s">
        <v>170</v>
      </c>
      <c r="B148" t="s">
        <v>387</v>
      </c>
      <c r="C148" t="str">
        <f>VLOOKUP(A148,PML!A:B,2,0)</f>
        <v>Iska</v>
      </c>
      <c r="D148" t="s">
        <v>245</v>
      </c>
      <c r="E148">
        <v>1985</v>
      </c>
      <c r="F148">
        <v>2028</v>
      </c>
      <c r="G148">
        <f>VLOOKUP(A148,PML!A:K,11,0)</f>
        <v>2088</v>
      </c>
      <c r="H148">
        <f t="shared" si="4"/>
        <v>60</v>
      </c>
      <c r="I148" t="b">
        <f t="shared" si="5"/>
        <v>0</v>
      </c>
    </row>
    <row r="149" spans="1:9" x14ac:dyDescent="0.25">
      <c r="A149" t="s">
        <v>171</v>
      </c>
      <c r="B149" t="s">
        <v>387</v>
      </c>
      <c r="C149" t="str">
        <f>VLOOKUP(A149,PML!A:B,2,0)</f>
        <v>Puput</v>
      </c>
      <c r="D149" t="s">
        <v>245</v>
      </c>
      <c r="E149">
        <v>1437</v>
      </c>
      <c r="F149">
        <v>1519</v>
      </c>
      <c r="G149">
        <f>VLOOKUP(A149,PML!A:K,11,0)</f>
        <v>1595</v>
      </c>
      <c r="H149">
        <f t="shared" si="4"/>
        <v>76</v>
      </c>
      <c r="I149" t="b">
        <f t="shared" si="5"/>
        <v>0</v>
      </c>
    </row>
    <row r="150" spans="1:9" x14ac:dyDescent="0.25">
      <c r="A150" t="s">
        <v>172</v>
      </c>
      <c r="B150" t="s">
        <v>387</v>
      </c>
      <c r="C150" t="str">
        <f>VLOOKUP(A150,PML!A:B,2,0)</f>
        <v>Ijan</v>
      </c>
      <c r="D150" t="s">
        <v>245</v>
      </c>
      <c r="E150">
        <v>761</v>
      </c>
      <c r="F150">
        <v>1023</v>
      </c>
      <c r="G150">
        <f>VLOOKUP(A150,PML!A:K,11,0)</f>
        <v>1240</v>
      </c>
      <c r="H150">
        <f t="shared" si="4"/>
        <v>217</v>
      </c>
      <c r="I150" t="b">
        <f t="shared" si="5"/>
        <v>0</v>
      </c>
    </row>
    <row r="151" spans="1:9" x14ac:dyDescent="0.25">
      <c r="A151" t="s">
        <v>173</v>
      </c>
      <c r="B151" t="s">
        <v>387</v>
      </c>
      <c r="C151" t="str">
        <f>VLOOKUP(A151,PML!A:B,2,0)</f>
        <v>Uneth</v>
      </c>
      <c r="D151" t="s">
        <v>245</v>
      </c>
      <c r="E151">
        <v>1214</v>
      </c>
      <c r="F151">
        <v>1536</v>
      </c>
      <c r="G151">
        <f>VLOOKUP(A151,PML!A:K,11,0)</f>
        <v>1691</v>
      </c>
      <c r="H151">
        <f t="shared" si="4"/>
        <v>155</v>
      </c>
      <c r="I151" t="b">
        <f t="shared" si="5"/>
        <v>0</v>
      </c>
    </row>
    <row r="152" spans="1:9" x14ac:dyDescent="0.25">
      <c r="A152" t="s">
        <v>174</v>
      </c>
      <c r="B152" t="s">
        <v>387</v>
      </c>
      <c r="C152" t="str">
        <f>VLOOKUP(A152,PML!A:B,2,0)</f>
        <v>Aji</v>
      </c>
      <c r="D152" t="s">
        <v>245</v>
      </c>
      <c r="E152">
        <v>1235</v>
      </c>
      <c r="F152">
        <v>1644</v>
      </c>
      <c r="G152">
        <f>VLOOKUP(A152,PML!A:K,11,0)</f>
        <v>1684</v>
      </c>
      <c r="H152">
        <f t="shared" si="4"/>
        <v>40</v>
      </c>
      <c r="I152" t="b">
        <f t="shared" si="5"/>
        <v>0</v>
      </c>
    </row>
    <row r="153" spans="1:9" x14ac:dyDescent="0.25">
      <c r="A153" t="s">
        <v>175</v>
      </c>
      <c r="B153" t="s">
        <v>387</v>
      </c>
      <c r="C153" t="str">
        <f>VLOOKUP(A153,PML!A:B,2,0)</f>
        <v>Alan</v>
      </c>
      <c r="D153" t="s">
        <v>245</v>
      </c>
      <c r="E153">
        <v>1537</v>
      </c>
      <c r="F153">
        <v>1680</v>
      </c>
      <c r="G153">
        <f>VLOOKUP(A153,PML!A:K,11,0)</f>
        <v>1692</v>
      </c>
      <c r="H153">
        <f t="shared" si="4"/>
        <v>12</v>
      </c>
      <c r="I153" t="b">
        <f t="shared" si="5"/>
        <v>0</v>
      </c>
    </row>
    <row r="154" spans="1:9" x14ac:dyDescent="0.25">
      <c r="A154" t="s">
        <v>176</v>
      </c>
      <c r="B154" t="s">
        <v>387</v>
      </c>
      <c r="C154" t="str">
        <f>VLOOKUP(A154,PML!A:B,2,0)</f>
        <v>Gabe</v>
      </c>
      <c r="D154" t="s">
        <v>245</v>
      </c>
      <c r="E154">
        <v>1944</v>
      </c>
      <c r="F154">
        <v>1996</v>
      </c>
      <c r="G154">
        <f>VLOOKUP(A154,PML!A:K,11,0)</f>
        <v>2006</v>
      </c>
      <c r="H154">
        <f t="shared" si="4"/>
        <v>10</v>
      </c>
      <c r="I154" t="b">
        <f t="shared" si="5"/>
        <v>0</v>
      </c>
    </row>
    <row r="155" spans="1:9" x14ac:dyDescent="0.25">
      <c r="A155" t="s">
        <v>177</v>
      </c>
      <c r="B155" t="s">
        <v>387</v>
      </c>
      <c r="C155" t="str">
        <f>VLOOKUP(A155,PML!A:B,2,0)</f>
        <v>Neivrid</v>
      </c>
      <c r="D155" t="s">
        <v>245</v>
      </c>
      <c r="E155">
        <v>1783</v>
      </c>
      <c r="F155">
        <v>1897</v>
      </c>
      <c r="G155">
        <f>VLOOKUP(A155,PML!A:K,11,0)</f>
        <v>2068</v>
      </c>
      <c r="H155">
        <f t="shared" si="4"/>
        <v>171</v>
      </c>
      <c r="I155" t="b">
        <f t="shared" si="5"/>
        <v>0</v>
      </c>
    </row>
    <row r="156" spans="1:9" x14ac:dyDescent="0.25">
      <c r="A156" t="s">
        <v>178</v>
      </c>
      <c r="B156" t="s">
        <v>387</v>
      </c>
      <c r="C156" t="str">
        <f>VLOOKUP(A156,PML!A:B,2,0)</f>
        <v>Rizky</v>
      </c>
      <c r="D156" t="s">
        <v>245</v>
      </c>
      <c r="E156">
        <v>1845</v>
      </c>
      <c r="F156">
        <v>1942</v>
      </c>
      <c r="G156">
        <f>VLOOKUP(A156,PML!A:K,11,0)</f>
        <v>1960</v>
      </c>
      <c r="H156">
        <f t="shared" si="4"/>
        <v>18</v>
      </c>
      <c r="I156" t="b">
        <f t="shared" si="5"/>
        <v>0</v>
      </c>
    </row>
    <row r="157" spans="1:9" x14ac:dyDescent="0.25">
      <c r="A157" t="s">
        <v>179</v>
      </c>
      <c r="B157" t="s">
        <v>387</v>
      </c>
      <c r="C157" t="str">
        <f>VLOOKUP(A157,PML!A:B,2,0)</f>
        <v>Saul</v>
      </c>
      <c r="D157" t="s">
        <v>245</v>
      </c>
      <c r="E157">
        <v>813</v>
      </c>
      <c r="F157">
        <v>1196</v>
      </c>
      <c r="G157">
        <f>VLOOKUP(A157,PML!A:K,11,0)</f>
        <v>1448</v>
      </c>
      <c r="H157">
        <f t="shared" si="4"/>
        <v>252</v>
      </c>
      <c r="I157" t="b">
        <f t="shared" si="5"/>
        <v>0</v>
      </c>
    </row>
    <row r="158" spans="1:9" x14ac:dyDescent="0.25">
      <c r="A158" t="s">
        <v>180</v>
      </c>
      <c r="B158" t="s">
        <v>387</v>
      </c>
      <c r="C158" t="str">
        <f>VLOOKUP(A158,PML!A:B,2,0)</f>
        <v>Alfian</v>
      </c>
      <c r="D158" t="s">
        <v>245</v>
      </c>
      <c r="E158">
        <v>1707</v>
      </c>
      <c r="F158">
        <v>1965</v>
      </c>
      <c r="G158">
        <f>VLOOKUP(A158,PML!A:K,11,0)</f>
        <v>2101</v>
      </c>
      <c r="H158">
        <f t="shared" si="4"/>
        <v>136</v>
      </c>
      <c r="I158" t="b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A61" workbookViewId="0">
      <selection activeCell="B78" sqref="B78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382</v>
      </c>
      <c r="N1" t="s">
        <v>397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634</v>
      </c>
      <c r="F2">
        <f>SUMIF(DATA!$A:$A,PPL!$A2,DATA!D:D)</f>
        <v>294</v>
      </c>
      <c r="G2">
        <f>SUMIF(DATA!$A:$A,PPL!$A2,DATA!E:E)</f>
        <v>5</v>
      </c>
      <c r="H2">
        <f>SUMIF(DATA!$A:$A,PPL!$A2,DATA!F:F)</f>
        <v>334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0</v>
      </c>
      <c r="L2">
        <f>SUMIF(DATA!$A:$A,PPL!$A2,DATA!J:J)</f>
        <v>0</v>
      </c>
      <c r="M2">
        <f>F2+I2+J2+K2+L2</f>
        <v>295</v>
      </c>
      <c r="N2" s="3">
        <f>(M2/E2)*100</f>
        <v>46.529968454258672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608</v>
      </c>
      <c r="F3">
        <f>SUMIF(DATA!$A:$A,PPL!$A3,DATA!D:D)</f>
        <v>296</v>
      </c>
      <c r="G3">
        <f>SUMIF(DATA!$A:$A,PPL!$A3,DATA!E:E)</f>
        <v>1</v>
      </c>
      <c r="H3">
        <f>SUMIF(DATA!$A:$A,PPL!$A3,DATA!F:F)</f>
        <v>311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ref="M3:M66" si="0">F3+I3+J3+K3+L3</f>
        <v>296</v>
      </c>
      <c r="N3" s="3">
        <f t="shared" ref="N3:N66" si="1">(M3/E3)*100</f>
        <v>48.684210526315788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677</v>
      </c>
      <c r="F4">
        <f>SUMIF(DATA!$A:$A,PPL!$A4,DATA!D:D)</f>
        <v>383</v>
      </c>
      <c r="G4">
        <f>SUMIF(DATA!$A:$A,PPL!$A4,DATA!E:E)</f>
        <v>0</v>
      </c>
      <c r="H4">
        <f>SUMIF(DATA!$A:$A,PPL!$A4,DATA!F:F)</f>
        <v>259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35</v>
      </c>
      <c r="L4">
        <f>SUMIF(DATA!$A:$A,PPL!$A4,DATA!J:J)</f>
        <v>0</v>
      </c>
      <c r="M4">
        <f t="shared" si="0"/>
        <v>418</v>
      </c>
      <c r="N4" s="3">
        <f t="shared" si="1"/>
        <v>61.742983751846381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630</v>
      </c>
      <c r="F5">
        <f>SUMIF(DATA!$A:$A,PPL!$A5,DATA!D:D)</f>
        <v>266</v>
      </c>
      <c r="G5">
        <f>SUMIF(DATA!$A:$A,PPL!$A5,DATA!E:E)</f>
        <v>1</v>
      </c>
      <c r="H5">
        <f>SUMIF(DATA!$A:$A,PPL!$A5,DATA!F:F)</f>
        <v>351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12</v>
      </c>
      <c r="L5">
        <f>SUMIF(DATA!$A:$A,PPL!$A5,DATA!J:J)</f>
        <v>0</v>
      </c>
      <c r="M5">
        <f t="shared" si="0"/>
        <v>278</v>
      </c>
      <c r="N5" s="3">
        <f t="shared" si="1"/>
        <v>44.126984126984127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661</v>
      </c>
      <c r="F6">
        <f>SUMIF(DATA!$A:$A,PPL!$A6,DATA!D:D)</f>
        <v>275</v>
      </c>
      <c r="G6">
        <f>SUMIF(DATA!$A:$A,PPL!$A6,DATA!E:E)</f>
        <v>7</v>
      </c>
      <c r="H6">
        <f>SUMIF(DATA!$A:$A,PPL!$A6,DATA!F:F)</f>
        <v>358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21</v>
      </c>
      <c r="L6">
        <f>SUMIF(DATA!$A:$A,PPL!$A6,DATA!J:J)</f>
        <v>0</v>
      </c>
      <c r="M6">
        <f t="shared" si="0"/>
        <v>296</v>
      </c>
      <c r="N6" s="3">
        <f t="shared" si="1"/>
        <v>44.780635400907713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608</v>
      </c>
      <c r="F7">
        <f>SUMIF(DATA!$A:$A,PPL!$A7,DATA!D:D)</f>
        <v>281</v>
      </c>
      <c r="G7">
        <f>SUMIF(DATA!$A:$A,PPL!$A7,DATA!E:E)</f>
        <v>12</v>
      </c>
      <c r="H7">
        <f>SUMIF(DATA!$A:$A,PPL!$A7,DATA!F:F)</f>
        <v>303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11</v>
      </c>
      <c r="L7">
        <f>SUMIF(DATA!$A:$A,PPL!$A7,DATA!J:J)</f>
        <v>0</v>
      </c>
      <c r="M7">
        <f t="shared" si="0"/>
        <v>293</v>
      </c>
      <c r="N7" s="3">
        <f t="shared" si="1"/>
        <v>48.190789473684212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653</v>
      </c>
      <c r="F8">
        <f>SUMIF(DATA!$A:$A,PPL!$A8,DATA!D:D)</f>
        <v>348</v>
      </c>
      <c r="G8">
        <f>SUMIF(DATA!$A:$A,PPL!$A8,DATA!E:E)</f>
        <v>10</v>
      </c>
      <c r="H8">
        <f>SUMIF(DATA!$A:$A,PPL!$A8,DATA!F:F)</f>
        <v>295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348</v>
      </c>
      <c r="N8" s="3">
        <f t="shared" si="1"/>
        <v>53.292496171516078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265</v>
      </c>
      <c r="G9">
        <f>SUMIF(DATA!$A:$A,PPL!$A9,DATA!E:E)</f>
        <v>13</v>
      </c>
      <c r="H9">
        <f>SUMIF(DATA!$A:$A,PPL!$A9,DATA!F:F)</f>
        <v>290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0</v>
      </c>
      <c r="L9">
        <f>SUMIF(DATA!$A:$A,PPL!$A9,DATA!J:J)</f>
        <v>0</v>
      </c>
      <c r="M9">
        <f t="shared" si="0"/>
        <v>266</v>
      </c>
      <c r="N9" s="3">
        <f t="shared" si="1"/>
        <v>46.748681898066785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656</v>
      </c>
      <c r="F10">
        <f>SUMIF(DATA!$A:$A,PPL!$A10,DATA!D:D)</f>
        <v>289</v>
      </c>
      <c r="G10">
        <f>SUMIF(DATA!$A:$A,PPL!$A10,DATA!E:E)</f>
        <v>7</v>
      </c>
      <c r="H10">
        <f>SUMIF(DATA!$A:$A,PPL!$A10,DATA!F:F)</f>
        <v>355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5</v>
      </c>
      <c r="L10">
        <f>SUMIF(DATA!$A:$A,PPL!$A10,DATA!J:J)</f>
        <v>0</v>
      </c>
      <c r="M10">
        <f t="shared" si="0"/>
        <v>294</v>
      </c>
      <c r="N10" s="3">
        <f t="shared" si="1"/>
        <v>44.81707317073171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645</v>
      </c>
      <c r="F11">
        <f>SUMIF(DATA!$A:$A,PPL!$A11,DATA!D:D)</f>
        <v>300</v>
      </c>
      <c r="G11">
        <f>SUMIF(DATA!$A:$A,PPL!$A11,DATA!E:E)</f>
        <v>1</v>
      </c>
      <c r="H11">
        <f>SUMIF(DATA!$A:$A,PPL!$A11,DATA!F:F)</f>
        <v>344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300</v>
      </c>
      <c r="N11" s="3">
        <f t="shared" si="1"/>
        <v>46.511627906976742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708</v>
      </c>
      <c r="F12">
        <f>SUMIF(DATA!$A:$A,PPL!$A12,DATA!D:D)</f>
        <v>484</v>
      </c>
      <c r="G12">
        <f>SUMIF(DATA!$A:$A,PPL!$A12,DATA!E:E)</f>
        <v>2</v>
      </c>
      <c r="H12">
        <f>SUMIF(DATA!$A:$A,PPL!$A12,DATA!F:F)</f>
        <v>222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0</v>
      </c>
      <c r="L12">
        <f>SUMIF(DATA!$A:$A,PPL!$A12,DATA!J:J)</f>
        <v>0</v>
      </c>
      <c r="M12">
        <f t="shared" si="0"/>
        <v>484</v>
      </c>
      <c r="N12" s="3">
        <f t="shared" si="1"/>
        <v>68.361581920903959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663</v>
      </c>
      <c r="F13">
        <f>SUMIF(DATA!$A:$A,PPL!$A13,DATA!D:D)</f>
        <v>293</v>
      </c>
      <c r="G13">
        <f>SUMIF(DATA!$A:$A,PPL!$A13,DATA!E:E)</f>
        <v>5</v>
      </c>
      <c r="H13">
        <f>SUMIF(DATA!$A:$A,PPL!$A13,DATA!F:F)</f>
        <v>365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293</v>
      </c>
      <c r="N13" s="3">
        <f t="shared" si="1"/>
        <v>44.193061840120663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683</v>
      </c>
      <c r="F14">
        <f>SUMIF(DATA!$A:$A,PPL!$A14,DATA!D:D)</f>
        <v>289</v>
      </c>
      <c r="G14">
        <f>SUMIF(DATA!$A:$A,PPL!$A14,DATA!E:E)</f>
        <v>11</v>
      </c>
      <c r="H14">
        <f>SUMIF(DATA!$A:$A,PPL!$A14,DATA!F:F)</f>
        <v>383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289</v>
      </c>
      <c r="N14" s="3">
        <f t="shared" si="1"/>
        <v>42.313323572474374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676</v>
      </c>
      <c r="F15">
        <f>SUMIF(DATA!$A:$A,PPL!$A15,DATA!D:D)</f>
        <v>318</v>
      </c>
      <c r="G15">
        <f>SUMIF(DATA!$A:$A,PPL!$A15,DATA!E:E)</f>
        <v>16</v>
      </c>
      <c r="H15">
        <f>SUMIF(DATA!$A:$A,PPL!$A15,DATA!F:F)</f>
        <v>329</v>
      </c>
      <c r="I15">
        <f>SUMIF(DATA!$A:$A,PPL!$A15,DATA!G:G)</f>
        <v>13</v>
      </c>
      <c r="J15">
        <f>SUMIF(DATA!$A:$A,PPL!$A15,DATA!H:H)</f>
        <v>0</v>
      </c>
      <c r="K15">
        <f>SUMIF(DATA!$A:$A,PPL!$A15,DATA!I:I)</f>
        <v>0</v>
      </c>
      <c r="L15">
        <f>SUMIF(DATA!$A:$A,PPL!$A15,DATA!J:J)</f>
        <v>0</v>
      </c>
      <c r="M15">
        <f t="shared" si="0"/>
        <v>331</v>
      </c>
      <c r="N15" s="3">
        <f t="shared" si="1"/>
        <v>48.964497041420117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675</v>
      </c>
      <c r="F16">
        <f>SUMIF(DATA!$A:$A,PPL!$A16,DATA!D:D)</f>
        <v>290</v>
      </c>
      <c r="G16">
        <f>SUMIF(DATA!$A:$A,PPL!$A16,DATA!E:E)</f>
        <v>0</v>
      </c>
      <c r="H16">
        <f>SUMIF(DATA!$A:$A,PPL!$A16,DATA!F:F)</f>
        <v>376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8</v>
      </c>
      <c r="L16">
        <f>SUMIF(DATA!$A:$A,PPL!$A16,DATA!J:J)</f>
        <v>1</v>
      </c>
      <c r="M16">
        <f t="shared" si="0"/>
        <v>299</v>
      </c>
      <c r="N16" s="3">
        <f t="shared" si="1"/>
        <v>44.296296296296298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255</v>
      </c>
      <c r="G17">
        <f>SUMIF(DATA!$A:$A,PPL!$A17,DATA!E:E)</f>
        <v>5</v>
      </c>
      <c r="H17">
        <f>SUMIF(DATA!$A:$A,PPL!$A17,DATA!F:F)</f>
        <v>381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24</v>
      </c>
      <c r="L17">
        <f>SUMIF(DATA!$A:$A,PPL!$A17,DATA!J:J)</f>
        <v>0</v>
      </c>
      <c r="M17">
        <f t="shared" si="0"/>
        <v>279</v>
      </c>
      <c r="N17" s="3">
        <f t="shared" si="1"/>
        <v>41.954887218045108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660</v>
      </c>
      <c r="F18">
        <f>SUMIF(DATA!$A:$A,PPL!$A18,DATA!D:D)</f>
        <v>315</v>
      </c>
      <c r="G18">
        <f>SUMIF(DATA!$A:$A,PPL!$A18,DATA!E:E)</f>
        <v>0</v>
      </c>
      <c r="H18">
        <f>SUMIF(DATA!$A:$A,PPL!$A18,DATA!F:F)</f>
        <v>345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0</v>
      </c>
      <c r="L18">
        <f>SUMIF(DATA!$A:$A,PPL!$A18,DATA!J:J)</f>
        <v>0</v>
      </c>
      <c r="M18">
        <f t="shared" si="0"/>
        <v>315</v>
      </c>
      <c r="N18" s="3">
        <f t="shared" si="1"/>
        <v>47.727272727272727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685</v>
      </c>
      <c r="F19">
        <f>SUMIF(DATA!$A:$A,PPL!$A19,DATA!D:D)</f>
        <v>327</v>
      </c>
      <c r="G19">
        <f>SUMIF(DATA!$A:$A,PPL!$A19,DATA!E:E)</f>
        <v>11</v>
      </c>
      <c r="H19">
        <f>SUMIF(DATA!$A:$A,PPL!$A19,DATA!F:F)</f>
        <v>345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329</v>
      </c>
      <c r="N19" s="3">
        <f t="shared" si="1"/>
        <v>48.029197080291972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660</v>
      </c>
      <c r="F20">
        <f>SUMIF(DATA!$A:$A,PPL!$A20,DATA!D:D)</f>
        <v>318</v>
      </c>
      <c r="G20">
        <f>SUMIF(DATA!$A:$A,PPL!$A20,DATA!E:E)</f>
        <v>16</v>
      </c>
      <c r="H20">
        <f>SUMIF(DATA!$A:$A,PPL!$A20,DATA!F:F)</f>
        <v>326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0</v>
      </c>
      <c r="L20">
        <f>SUMIF(DATA!$A:$A,PPL!$A20,DATA!J:J)</f>
        <v>0</v>
      </c>
      <c r="M20">
        <f t="shared" si="0"/>
        <v>318</v>
      </c>
      <c r="N20" s="3">
        <f t="shared" si="1"/>
        <v>48.18181818181818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645</v>
      </c>
      <c r="F21">
        <f>SUMIF(DATA!$A:$A,PPL!$A21,DATA!D:D)</f>
        <v>276</v>
      </c>
      <c r="G21">
        <f>SUMIF(DATA!$A:$A,PPL!$A21,DATA!E:E)</f>
        <v>2</v>
      </c>
      <c r="H21">
        <f>SUMIF(DATA!$A:$A,PPL!$A21,DATA!F:F)</f>
        <v>367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276</v>
      </c>
      <c r="N21" s="3">
        <f t="shared" si="1"/>
        <v>42.790697674418603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643</v>
      </c>
      <c r="F22">
        <f>SUMIF(DATA!$A:$A,PPL!$A22,DATA!D:D)</f>
        <v>277</v>
      </c>
      <c r="G22">
        <f>SUMIF(DATA!$A:$A,PPL!$A22,DATA!E:E)</f>
        <v>8</v>
      </c>
      <c r="H22">
        <f>SUMIF(DATA!$A:$A,PPL!$A22,DATA!F:F)</f>
        <v>358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277</v>
      </c>
      <c r="N22" s="3">
        <f t="shared" si="1"/>
        <v>43.07931570762053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715</v>
      </c>
      <c r="F23">
        <f>SUMIF(DATA!$A:$A,PPL!$A23,DATA!D:D)</f>
        <v>220</v>
      </c>
      <c r="G23">
        <f>SUMIF(DATA!$A:$A,PPL!$A23,DATA!E:E)</f>
        <v>100</v>
      </c>
      <c r="H23">
        <f>SUMIF(DATA!$A:$A,PPL!$A23,DATA!F:F)</f>
        <v>343</v>
      </c>
      <c r="I23">
        <f>SUMIF(DATA!$A:$A,PPL!$A23,DATA!G:G)</f>
        <v>3</v>
      </c>
      <c r="J23">
        <f>SUMIF(DATA!$A:$A,PPL!$A23,DATA!H:H)</f>
        <v>0</v>
      </c>
      <c r="K23">
        <f>SUMIF(DATA!$A:$A,PPL!$A23,DATA!I:I)</f>
        <v>49</v>
      </c>
      <c r="L23">
        <f>SUMIF(DATA!$A:$A,PPL!$A23,DATA!J:J)</f>
        <v>0</v>
      </c>
      <c r="M23">
        <f t="shared" si="0"/>
        <v>272</v>
      </c>
      <c r="N23" s="3">
        <f t="shared" si="1"/>
        <v>38.04195804195804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718</v>
      </c>
      <c r="F24">
        <f>SUMIF(DATA!$A:$A,PPL!$A24,DATA!D:D)</f>
        <v>336</v>
      </c>
      <c r="G24">
        <f>SUMIF(DATA!$A:$A,PPL!$A24,DATA!E:E)</f>
        <v>11</v>
      </c>
      <c r="H24">
        <f>SUMIF(DATA!$A:$A,PPL!$A24,DATA!F:F)</f>
        <v>370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0</v>
      </c>
      <c r="L24">
        <f>SUMIF(DATA!$A:$A,PPL!$A24,DATA!J:J)</f>
        <v>0</v>
      </c>
      <c r="M24">
        <f t="shared" si="0"/>
        <v>337</v>
      </c>
      <c r="N24" s="3">
        <f t="shared" si="1"/>
        <v>46.935933147632312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682</v>
      </c>
      <c r="F25">
        <f>SUMIF(DATA!$A:$A,PPL!$A25,DATA!D:D)</f>
        <v>299</v>
      </c>
      <c r="G25">
        <f>SUMIF(DATA!$A:$A,PPL!$A25,DATA!E:E)</f>
        <v>11</v>
      </c>
      <c r="H25">
        <f>SUMIF(DATA!$A:$A,PPL!$A25,DATA!F:F)</f>
        <v>372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299</v>
      </c>
      <c r="N25" s="3">
        <f t="shared" si="1"/>
        <v>43.841642228739005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766</v>
      </c>
      <c r="F26">
        <f>SUMIF(DATA!$A:$A,PPL!$A26,DATA!D:D)</f>
        <v>321</v>
      </c>
      <c r="G26">
        <f>SUMIF(DATA!$A:$A,PPL!$A26,DATA!E:E)</f>
        <v>19</v>
      </c>
      <c r="H26">
        <f>SUMIF(DATA!$A:$A,PPL!$A26,DATA!F:F)</f>
        <v>415</v>
      </c>
      <c r="I26">
        <f>SUMIF(DATA!$A:$A,PPL!$A26,DATA!G:G)</f>
        <v>1</v>
      </c>
      <c r="J26">
        <f>SUMIF(DATA!$A:$A,PPL!$A26,DATA!H:H)</f>
        <v>0</v>
      </c>
      <c r="K26">
        <f>SUMIF(DATA!$A:$A,PPL!$A26,DATA!I:I)</f>
        <v>10</v>
      </c>
      <c r="L26">
        <f>SUMIF(DATA!$A:$A,PPL!$A26,DATA!J:J)</f>
        <v>0</v>
      </c>
      <c r="M26">
        <f t="shared" si="0"/>
        <v>332</v>
      </c>
      <c r="N26" s="3">
        <f t="shared" si="1"/>
        <v>43.342036553524807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664</v>
      </c>
      <c r="F27">
        <f>SUMIF(DATA!$A:$A,PPL!$A27,DATA!D:D)</f>
        <v>236</v>
      </c>
      <c r="G27">
        <f>SUMIF(DATA!$A:$A,PPL!$A27,DATA!E:E)</f>
        <v>31</v>
      </c>
      <c r="H27">
        <f>SUMIF(DATA!$A:$A,PPL!$A27,DATA!F:F)</f>
        <v>344</v>
      </c>
      <c r="I27">
        <f>SUMIF(DATA!$A:$A,PPL!$A27,DATA!G:G)</f>
        <v>3</v>
      </c>
      <c r="J27">
        <f>SUMIF(DATA!$A:$A,PPL!$A27,DATA!H:H)</f>
        <v>0</v>
      </c>
      <c r="K27">
        <f>SUMIF(DATA!$A:$A,PPL!$A27,DATA!I:I)</f>
        <v>50</v>
      </c>
      <c r="L27">
        <f>SUMIF(DATA!$A:$A,PPL!$A27,DATA!J:J)</f>
        <v>0</v>
      </c>
      <c r="M27">
        <f t="shared" si="0"/>
        <v>289</v>
      </c>
      <c r="N27" s="3">
        <f t="shared" si="1"/>
        <v>43.524096385542173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679</v>
      </c>
      <c r="F28">
        <f>SUMIF(DATA!$A:$A,PPL!$A28,DATA!D:D)</f>
        <v>277</v>
      </c>
      <c r="G28">
        <f>SUMIF(DATA!$A:$A,PPL!$A28,DATA!E:E)</f>
        <v>3</v>
      </c>
      <c r="H28">
        <f>SUMIF(DATA!$A:$A,PPL!$A28,DATA!F:F)</f>
        <v>327</v>
      </c>
      <c r="I28">
        <f>SUMIF(DATA!$A:$A,PPL!$A28,DATA!G:G)</f>
        <v>1</v>
      </c>
      <c r="J28">
        <f>SUMIF(DATA!$A:$A,PPL!$A28,DATA!H:H)</f>
        <v>0</v>
      </c>
      <c r="K28">
        <f>SUMIF(DATA!$A:$A,PPL!$A28,DATA!I:I)</f>
        <v>71</v>
      </c>
      <c r="L28">
        <f>SUMIF(DATA!$A:$A,PPL!$A28,DATA!J:J)</f>
        <v>0</v>
      </c>
      <c r="M28">
        <f t="shared" si="0"/>
        <v>349</v>
      </c>
      <c r="N28" s="3">
        <f t="shared" si="1"/>
        <v>51.399116347569951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642</v>
      </c>
      <c r="F29">
        <f>SUMIF(DATA!$A:$A,PPL!$A29,DATA!D:D)</f>
        <v>263</v>
      </c>
      <c r="G29">
        <f>SUMIF(DATA!$A:$A,PPL!$A29,DATA!E:E)</f>
        <v>1</v>
      </c>
      <c r="H29">
        <f>SUMIF(DATA!$A:$A,PPL!$A29,DATA!F:F)</f>
        <v>375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3</v>
      </c>
      <c r="L29">
        <f>SUMIF(DATA!$A:$A,PPL!$A29,DATA!J:J)</f>
        <v>0</v>
      </c>
      <c r="M29">
        <f t="shared" si="0"/>
        <v>266</v>
      </c>
      <c r="N29" s="3">
        <f t="shared" si="1"/>
        <v>41.433021806853581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710</v>
      </c>
      <c r="F30">
        <f>SUMIF(DATA!$A:$A,PPL!$A30,DATA!D:D)</f>
        <v>228</v>
      </c>
      <c r="G30">
        <f>SUMIF(DATA!$A:$A,PPL!$A30,DATA!E:E)</f>
        <v>18</v>
      </c>
      <c r="H30">
        <f>SUMIF(DATA!$A:$A,PPL!$A30,DATA!F:F)</f>
        <v>405</v>
      </c>
      <c r="I30">
        <f>SUMIF(DATA!$A:$A,PPL!$A30,DATA!G:G)</f>
        <v>40</v>
      </c>
      <c r="J30">
        <f>SUMIF(DATA!$A:$A,PPL!$A30,DATA!H:H)</f>
        <v>19</v>
      </c>
      <c r="K30">
        <f>SUMIF(DATA!$A:$A,PPL!$A30,DATA!I:I)</f>
        <v>0</v>
      </c>
      <c r="L30">
        <f>SUMIF(DATA!$A:$A,PPL!$A30,DATA!J:J)</f>
        <v>0</v>
      </c>
      <c r="M30">
        <f t="shared" si="0"/>
        <v>287</v>
      </c>
      <c r="N30" s="3">
        <f t="shared" si="1"/>
        <v>40.422535211267608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675</v>
      </c>
      <c r="F31">
        <f>SUMIF(DATA!$A:$A,PPL!$A31,DATA!D:D)</f>
        <v>281</v>
      </c>
      <c r="G31">
        <f>SUMIF(DATA!$A:$A,PPL!$A31,DATA!E:E)</f>
        <v>17</v>
      </c>
      <c r="H31">
        <f>SUMIF(DATA!$A:$A,PPL!$A31,DATA!F:F)</f>
        <v>356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18</v>
      </c>
      <c r="L31">
        <f>SUMIF(DATA!$A:$A,PPL!$A31,DATA!J:J)</f>
        <v>0</v>
      </c>
      <c r="M31">
        <f t="shared" si="0"/>
        <v>302</v>
      </c>
      <c r="N31" s="3">
        <f t="shared" si="1"/>
        <v>44.74074074074074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635</v>
      </c>
      <c r="F32">
        <f>SUMIF(DATA!$A:$A,PPL!$A32,DATA!D:D)</f>
        <v>201</v>
      </c>
      <c r="G32">
        <f>SUMIF(DATA!$A:$A,PPL!$A32,DATA!E:E)</f>
        <v>25</v>
      </c>
      <c r="H32">
        <f>SUMIF(DATA!$A:$A,PPL!$A32,DATA!F:F)</f>
        <v>348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61</v>
      </c>
      <c r="L32">
        <f>SUMIF(DATA!$A:$A,PPL!$A32,DATA!J:J)</f>
        <v>0</v>
      </c>
      <c r="M32">
        <f t="shared" si="0"/>
        <v>262</v>
      </c>
      <c r="N32" s="3">
        <f t="shared" si="1"/>
        <v>41.259842519685044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707</v>
      </c>
      <c r="F33">
        <f>SUMIF(DATA!$A:$A,PPL!$A33,DATA!D:D)</f>
        <v>220</v>
      </c>
      <c r="G33">
        <f>SUMIF(DATA!$A:$A,PPL!$A33,DATA!E:E)</f>
        <v>44</v>
      </c>
      <c r="H33">
        <f>SUMIF(DATA!$A:$A,PPL!$A33,DATA!F:F)</f>
        <v>336</v>
      </c>
      <c r="I33">
        <f>SUMIF(DATA!$A:$A,PPL!$A33,DATA!G:G)</f>
        <v>4</v>
      </c>
      <c r="J33">
        <f>SUMIF(DATA!$A:$A,PPL!$A33,DATA!H:H)</f>
        <v>0</v>
      </c>
      <c r="K33">
        <f>SUMIF(DATA!$A:$A,PPL!$A33,DATA!I:I)</f>
        <v>103</v>
      </c>
      <c r="L33">
        <f>SUMIF(DATA!$A:$A,PPL!$A33,DATA!J:J)</f>
        <v>0</v>
      </c>
      <c r="M33">
        <f t="shared" si="0"/>
        <v>327</v>
      </c>
      <c r="N33" s="3">
        <f t="shared" si="1"/>
        <v>46.251768033946249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699</v>
      </c>
      <c r="F34">
        <f>SUMIF(DATA!$A:$A,PPL!$A34,DATA!D:D)</f>
        <v>206</v>
      </c>
      <c r="G34">
        <f>SUMIF(DATA!$A:$A,PPL!$A34,DATA!E:E)</f>
        <v>11</v>
      </c>
      <c r="H34">
        <f>SUMIF(DATA!$A:$A,PPL!$A34,DATA!F:F)</f>
        <v>368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113</v>
      </c>
      <c r="L34">
        <f>SUMIF(DATA!$A:$A,PPL!$A34,DATA!J:J)</f>
        <v>0</v>
      </c>
      <c r="M34">
        <f t="shared" si="0"/>
        <v>320</v>
      </c>
      <c r="N34" s="3">
        <f t="shared" si="1"/>
        <v>45.779685264663804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698</v>
      </c>
      <c r="F35">
        <f>SUMIF(DATA!$A:$A,PPL!$A35,DATA!D:D)</f>
        <v>178</v>
      </c>
      <c r="G35">
        <f>SUMIF(DATA!$A:$A,PPL!$A35,DATA!E:E)</f>
        <v>13</v>
      </c>
      <c r="H35">
        <f>SUMIF(DATA!$A:$A,PPL!$A35,DATA!F:F)</f>
        <v>362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145</v>
      </c>
      <c r="L35">
        <f>SUMIF(DATA!$A:$A,PPL!$A35,DATA!J:J)</f>
        <v>0</v>
      </c>
      <c r="M35">
        <f t="shared" si="0"/>
        <v>323</v>
      </c>
      <c r="N35" s="3">
        <f t="shared" si="1"/>
        <v>46.275071633237822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649</v>
      </c>
      <c r="F36">
        <f>SUMIF(DATA!$A:$A,PPL!$A36,DATA!D:D)</f>
        <v>168</v>
      </c>
      <c r="G36">
        <f>SUMIF(DATA!$A:$A,PPL!$A36,DATA!E:E)</f>
        <v>91</v>
      </c>
      <c r="H36">
        <f>SUMIF(DATA!$A:$A,PPL!$A36,DATA!F:F)</f>
        <v>378</v>
      </c>
      <c r="I36">
        <f>SUMIF(DATA!$A:$A,PPL!$A36,DATA!G:G)</f>
        <v>11</v>
      </c>
      <c r="J36">
        <f>SUMIF(DATA!$A:$A,PPL!$A36,DATA!H:H)</f>
        <v>0</v>
      </c>
      <c r="K36">
        <f>SUMIF(DATA!$A:$A,PPL!$A36,DATA!I:I)</f>
        <v>1</v>
      </c>
      <c r="L36">
        <f>SUMIF(DATA!$A:$A,PPL!$A36,DATA!J:J)</f>
        <v>0</v>
      </c>
      <c r="M36">
        <f t="shared" si="0"/>
        <v>180</v>
      </c>
      <c r="N36" s="3">
        <f t="shared" si="1"/>
        <v>27.734976887519259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626</v>
      </c>
      <c r="F37">
        <f>SUMIF(DATA!$A:$A,PPL!$A37,DATA!D:D)</f>
        <v>196</v>
      </c>
      <c r="G37">
        <f>SUMIF(DATA!$A:$A,PPL!$A37,DATA!E:E)</f>
        <v>60</v>
      </c>
      <c r="H37">
        <f>SUMIF(DATA!$A:$A,PPL!$A37,DATA!F:F)</f>
        <v>338</v>
      </c>
      <c r="I37">
        <f>SUMIF(DATA!$A:$A,PPL!$A37,DATA!G:G)</f>
        <v>14</v>
      </c>
      <c r="J37">
        <f>SUMIF(DATA!$A:$A,PPL!$A37,DATA!H:H)</f>
        <v>1</v>
      </c>
      <c r="K37">
        <f>SUMIF(DATA!$A:$A,PPL!$A37,DATA!I:I)</f>
        <v>17</v>
      </c>
      <c r="L37">
        <f>SUMIF(DATA!$A:$A,PPL!$A37,DATA!J:J)</f>
        <v>0</v>
      </c>
      <c r="M37">
        <f t="shared" si="0"/>
        <v>228</v>
      </c>
      <c r="N37" s="3">
        <f t="shared" si="1"/>
        <v>36.421725239616613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837</v>
      </c>
      <c r="F38">
        <f>SUMIF(DATA!$A:$A,PPL!$A38,DATA!D:D)</f>
        <v>256</v>
      </c>
      <c r="G38">
        <f>SUMIF(DATA!$A:$A,PPL!$A38,DATA!E:E)</f>
        <v>29</v>
      </c>
      <c r="H38">
        <f>SUMIF(DATA!$A:$A,PPL!$A38,DATA!F:F)</f>
        <v>375</v>
      </c>
      <c r="I38">
        <f>SUMIF(DATA!$A:$A,PPL!$A38,DATA!G:G)</f>
        <v>2</v>
      </c>
      <c r="J38">
        <f>SUMIF(DATA!$A:$A,PPL!$A38,DATA!H:H)</f>
        <v>3</v>
      </c>
      <c r="K38">
        <f>SUMIF(DATA!$A:$A,PPL!$A38,DATA!I:I)</f>
        <v>172</v>
      </c>
      <c r="L38">
        <f>SUMIF(DATA!$A:$A,PPL!$A38,DATA!J:J)</f>
        <v>0</v>
      </c>
      <c r="M38">
        <f t="shared" si="0"/>
        <v>433</v>
      </c>
      <c r="N38" s="3">
        <f t="shared" si="1"/>
        <v>51.732377538829155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192</v>
      </c>
      <c r="G39">
        <f>SUMIF(DATA!$A:$A,PPL!$A39,DATA!E:E)</f>
        <v>66</v>
      </c>
      <c r="H39">
        <f>SUMIF(DATA!$A:$A,PPL!$A39,DATA!F:F)</f>
        <v>325</v>
      </c>
      <c r="I39">
        <f>SUMIF(DATA!$A:$A,PPL!$A39,DATA!G:G)</f>
        <v>0</v>
      </c>
      <c r="J39">
        <f>SUMIF(DATA!$A:$A,PPL!$A39,DATA!H:H)</f>
        <v>0</v>
      </c>
      <c r="K39">
        <f>SUMIF(DATA!$A:$A,PPL!$A39,DATA!I:I)</f>
        <v>80</v>
      </c>
      <c r="L39">
        <f>SUMIF(DATA!$A:$A,PPL!$A39,DATA!J:J)</f>
        <v>0</v>
      </c>
      <c r="M39">
        <f t="shared" si="0"/>
        <v>272</v>
      </c>
      <c r="N39" s="3">
        <f t="shared" si="1"/>
        <v>41.025641025641022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768</v>
      </c>
      <c r="F40">
        <f>SUMIF(DATA!$A:$A,PPL!$A40,DATA!D:D)</f>
        <v>310</v>
      </c>
      <c r="G40">
        <f>SUMIF(DATA!$A:$A,PPL!$A40,DATA!E:E)</f>
        <v>37</v>
      </c>
      <c r="H40">
        <f>SUMIF(DATA!$A:$A,PPL!$A40,DATA!F:F)</f>
        <v>418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2</v>
      </c>
      <c r="L40">
        <f>SUMIF(DATA!$A:$A,PPL!$A40,DATA!J:J)</f>
        <v>0</v>
      </c>
      <c r="M40">
        <f t="shared" si="0"/>
        <v>313</v>
      </c>
      <c r="N40" s="3">
        <f t="shared" si="1"/>
        <v>40.755208333333329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703</v>
      </c>
      <c r="F41">
        <f>SUMIF(DATA!$A:$A,PPL!$A41,DATA!D:D)</f>
        <v>284</v>
      </c>
      <c r="G41">
        <f>SUMIF(DATA!$A:$A,PPL!$A41,DATA!E:E)</f>
        <v>10</v>
      </c>
      <c r="H41">
        <f>SUMIF(DATA!$A:$A,PPL!$A41,DATA!F:F)</f>
        <v>408</v>
      </c>
      <c r="I41">
        <f>SUMIF(DATA!$A:$A,PPL!$A41,DATA!G:G)</f>
        <v>1</v>
      </c>
      <c r="J41">
        <f>SUMIF(DATA!$A:$A,PPL!$A41,DATA!H:H)</f>
        <v>0</v>
      </c>
      <c r="K41">
        <f>SUMIF(DATA!$A:$A,PPL!$A41,DATA!I:I)</f>
        <v>0</v>
      </c>
      <c r="L41">
        <f>SUMIF(DATA!$A:$A,PPL!$A41,DATA!J:J)</f>
        <v>0</v>
      </c>
      <c r="M41">
        <f t="shared" si="0"/>
        <v>285</v>
      </c>
      <c r="N41" s="3">
        <f t="shared" si="1"/>
        <v>40.54054054054054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664</v>
      </c>
      <c r="F42">
        <f>SUMIF(DATA!$A:$A,PPL!$A42,DATA!D:D)</f>
        <v>269</v>
      </c>
      <c r="G42">
        <f>SUMIF(DATA!$A:$A,PPL!$A42,DATA!E:E)</f>
        <v>12</v>
      </c>
      <c r="H42">
        <f>SUMIF(DATA!$A:$A,PPL!$A42,DATA!F:F)</f>
        <v>381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2</v>
      </c>
      <c r="L42">
        <f>SUMIF(DATA!$A:$A,PPL!$A42,DATA!J:J)</f>
        <v>0</v>
      </c>
      <c r="M42">
        <f t="shared" si="0"/>
        <v>271</v>
      </c>
      <c r="N42" s="3">
        <f t="shared" si="1"/>
        <v>40.813253012048193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615</v>
      </c>
      <c r="F43">
        <f>SUMIF(DATA!$A:$A,PPL!$A43,DATA!D:D)</f>
        <v>19</v>
      </c>
      <c r="G43">
        <f>SUMIF(DATA!$A:$A,PPL!$A43,DATA!E:E)</f>
        <v>24</v>
      </c>
      <c r="H43">
        <f>SUMIF(DATA!$A:$A,PPL!$A43,DATA!F:F)</f>
        <v>442</v>
      </c>
      <c r="I43">
        <f>SUMIF(DATA!$A:$A,PPL!$A43,DATA!G:G)</f>
        <v>64</v>
      </c>
      <c r="J43">
        <f>SUMIF(DATA!$A:$A,PPL!$A43,DATA!H:H)</f>
        <v>0</v>
      </c>
      <c r="K43">
        <f>SUMIF(DATA!$A:$A,PPL!$A43,DATA!I:I)</f>
        <v>66</v>
      </c>
      <c r="L43">
        <f>SUMIF(DATA!$A:$A,PPL!$A43,DATA!J:J)</f>
        <v>0</v>
      </c>
      <c r="M43">
        <f t="shared" si="0"/>
        <v>149</v>
      </c>
      <c r="N43" s="3">
        <f t="shared" si="1"/>
        <v>24.227642276422763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684</v>
      </c>
      <c r="F44">
        <f>SUMIF(DATA!$A:$A,PPL!$A44,DATA!D:D)</f>
        <v>249</v>
      </c>
      <c r="G44">
        <f>SUMIF(DATA!$A:$A,PPL!$A44,DATA!E:E)</f>
        <v>5</v>
      </c>
      <c r="H44">
        <f>SUMIF(DATA!$A:$A,PPL!$A44,DATA!F:F)</f>
        <v>361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52</v>
      </c>
      <c r="L44">
        <f>SUMIF(DATA!$A:$A,PPL!$A44,DATA!J:J)</f>
        <v>1</v>
      </c>
      <c r="M44">
        <f t="shared" si="0"/>
        <v>318</v>
      </c>
      <c r="N44" s="3">
        <f t="shared" si="1"/>
        <v>46.491228070175438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752</v>
      </c>
      <c r="F45">
        <f>SUMIF(DATA!$A:$A,PPL!$A45,DATA!D:D)</f>
        <v>101</v>
      </c>
      <c r="G45">
        <f>SUMIF(DATA!$A:$A,PPL!$A45,DATA!E:E)</f>
        <v>28</v>
      </c>
      <c r="H45">
        <f>SUMIF(DATA!$A:$A,PPL!$A45,DATA!F:F)</f>
        <v>418</v>
      </c>
      <c r="I45">
        <f>SUMIF(DATA!$A:$A,PPL!$A45,DATA!G:G)</f>
        <v>0</v>
      </c>
      <c r="J45">
        <f>SUMIF(DATA!$A:$A,PPL!$A45,DATA!H:H)</f>
        <v>1</v>
      </c>
      <c r="K45">
        <f>SUMIF(DATA!$A:$A,PPL!$A45,DATA!I:I)</f>
        <v>204</v>
      </c>
      <c r="L45">
        <f>SUMIF(DATA!$A:$A,PPL!$A45,DATA!J:J)</f>
        <v>0</v>
      </c>
      <c r="M45">
        <f t="shared" si="0"/>
        <v>306</v>
      </c>
      <c r="N45" s="3">
        <f t="shared" si="1"/>
        <v>40.691489361702125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665</v>
      </c>
      <c r="F46">
        <f>SUMIF(DATA!$A:$A,PPL!$A46,DATA!D:D)</f>
        <v>199</v>
      </c>
      <c r="G46">
        <f>SUMIF(DATA!$A:$A,PPL!$A46,DATA!E:E)</f>
        <v>10</v>
      </c>
      <c r="H46">
        <f>SUMIF(DATA!$A:$A,PPL!$A46,DATA!F:F)</f>
        <v>372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84</v>
      </c>
      <c r="L46">
        <f>SUMIF(DATA!$A:$A,PPL!$A46,DATA!J:J)</f>
        <v>0</v>
      </c>
      <c r="M46">
        <f t="shared" si="0"/>
        <v>283</v>
      </c>
      <c r="N46" s="3">
        <f t="shared" si="1"/>
        <v>42.556390977443606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676</v>
      </c>
      <c r="F47">
        <f>SUMIF(DATA!$A:$A,PPL!$A47,DATA!D:D)</f>
        <v>152</v>
      </c>
      <c r="G47">
        <f>SUMIF(DATA!$A:$A,PPL!$A47,DATA!E:E)</f>
        <v>20</v>
      </c>
      <c r="H47">
        <f>SUMIF(DATA!$A:$A,PPL!$A47,DATA!F:F)</f>
        <v>378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126</v>
      </c>
      <c r="L47">
        <f>SUMIF(DATA!$A:$A,PPL!$A47,DATA!J:J)</f>
        <v>0</v>
      </c>
      <c r="M47">
        <f t="shared" si="0"/>
        <v>278</v>
      </c>
      <c r="N47" s="3">
        <f t="shared" si="1"/>
        <v>41.124260355029584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492</v>
      </c>
      <c r="F48">
        <f>SUMIF(DATA!$A:$A,PPL!$A48,DATA!D:D)</f>
        <v>195</v>
      </c>
      <c r="G48">
        <f>SUMIF(DATA!$A:$A,PPL!$A48,DATA!E:E)</f>
        <v>6</v>
      </c>
      <c r="H48">
        <f>SUMIF(DATA!$A:$A,PPL!$A48,DATA!F:F)</f>
        <v>232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59</v>
      </c>
      <c r="L48">
        <f>SUMIF(DATA!$A:$A,PPL!$A48,DATA!J:J)</f>
        <v>0</v>
      </c>
      <c r="M48">
        <f t="shared" si="0"/>
        <v>254</v>
      </c>
      <c r="N48" s="3">
        <f t="shared" si="1"/>
        <v>51.626016260162601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527</v>
      </c>
      <c r="F49">
        <f>SUMIF(DATA!$A:$A,PPL!$A49,DATA!D:D)</f>
        <v>264</v>
      </c>
      <c r="G49">
        <f>SUMIF(DATA!$A:$A,PPL!$A49,DATA!E:E)</f>
        <v>9</v>
      </c>
      <c r="H49">
        <f>SUMIF(DATA!$A:$A,PPL!$A49,DATA!F:F)</f>
        <v>250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2</v>
      </c>
      <c r="L49">
        <f>SUMIF(DATA!$A:$A,PPL!$A49,DATA!J:J)</f>
        <v>0</v>
      </c>
      <c r="M49">
        <f t="shared" si="0"/>
        <v>268</v>
      </c>
      <c r="N49" s="3">
        <f t="shared" si="1"/>
        <v>50.853889943074002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622</v>
      </c>
      <c r="F50">
        <f>SUMIF(DATA!$A:$A,PPL!$A50,DATA!D:D)</f>
        <v>270</v>
      </c>
      <c r="G50">
        <f>SUMIF(DATA!$A:$A,PPL!$A50,DATA!E:E)</f>
        <v>3</v>
      </c>
      <c r="H50">
        <f>SUMIF(DATA!$A:$A,PPL!$A50,DATA!F:F)</f>
        <v>349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0</v>
      </c>
      <c r="L50">
        <f>SUMIF(DATA!$A:$A,PPL!$A50,DATA!J:J)</f>
        <v>0</v>
      </c>
      <c r="M50">
        <f t="shared" si="0"/>
        <v>270</v>
      </c>
      <c r="N50" s="3">
        <f t="shared" si="1"/>
        <v>43.40836012861736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637</v>
      </c>
      <c r="F51">
        <f>SUMIF(DATA!$A:$A,PPL!$A51,DATA!D:D)</f>
        <v>264</v>
      </c>
      <c r="G51">
        <f>SUMIF(DATA!$A:$A,PPL!$A51,DATA!E:E)</f>
        <v>11</v>
      </c>
      <c r="H51">
        <f>SUMIF(DATA!$A:$A,PPL!$A51,DATA!F:F)</f>
        <v>362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0</v>
      </c>
      <c r="L51">
        <f>SUMIF(DATA!$A:$A,PPL!$A51,DATA!J:J)</f>
        <v>0</v>
      </c>
      <c r="M51">
        <f t="shared" si="0"/>
        <v>264</v>
      </c>
      <c r="N51" s="3">
        <f t="shared" si="1"/>
        <v>41.444270015698585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257</v>
      </c>
      <c r="G52">
        <f>SUMIF(DATA!$A:$A,PPL!$A52,DATA!E:E)</f>
        <v>1</v>
      </c>
      <c r="H52">
        <f>SUMIF(DATA!$A:$A,PPL!$A52,DATA!F:F)</f>
        <v>342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2</v>
      </c>
      <c r="L52">
        <f>SUMIF(DATA!$A:$A,PPL!$A52,DATA!J:J)</f>
        <v>0</v>
      </c>
      <c r="M52">
        <f t="shared" si="0"/>
        <v>259</v>
      </c>
      <c r="N52" s="3">
        <f t="shared" si="1"/>
        <v>43.02325581395349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679</v>
      </c>
      <c r="F53">
        <f>SUMIF(DATA!$A:$A,PPL!$A53,DATA!D:D)</f>
        <v>272</v>
      </c>
      <c r="G53">
        <f>SUMIF(DATA!$A:$A,PPL!$A53,DATA!E:E)</f>
        <v>14</v>
      </c>
      <c r="H53">
        <f>SUMIF(DATA!$A:$A,PPL!$A53,DATA!F:F)</f>
        <v>391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</v>
      </c>
      <c r="L53">
        <f>SUMIF(DATA!$A:$A,PPL!$A53,DATA!J:J)</f>
        <v>0</v>
      </c>
      <c r="M53">
        <f t="shared" si="0"/>
        <v>274</v>
      </c>
      <c r="N53" s="3">
        <f t="shared" si="1"/>
        <v>40.353460972017672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672</v>
      </c>
      <c r="F54">
        <f>SUMIF(DATA!$A:$A,PPL!$A54,DATA!D:D)</f>
        <v>293</v>
      </c>
      <c r="G54">
        <f>SUMIF(DATA!$A:$A,PPL!$A54,DATA!E:E)</f>
        <v>14</v>
      </c>
      <c r="H54">
        <f>SUMIF(DATA!$A:$A,PPL!$A54,DATA!F:F)</f>
        <v>361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4</v>
      </c>
      <c r="L54">
        <f>SUMIF(DATA!$A:$A,PPL!$A54,DATA!J:J)</f>
        <v>0</v>
      </c>
      <c r="M54">
        <f t="shared" si="0"/>
        <v>297</v>
      </c>
      <c r="N54" s="3">
        <f t="shared" si="1"/>
        <v>44.196428571428569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620</v>
      </c>
      <c r="F55">
        <f>SUMIF(DATA!$A:$A,PPL!$A55,DATA!D:D)</f>
        <v>254</v>
      </c>
      <c r="G55">
        <f>SUMIF(DATA!$A:$A,PPL!$A55,DATA!E:E)</f>
        <v>7</v>
      </c>
      <c r="H55">
        <f>SUMIF(DATA!$A:$A,PPL!$A55,DATA!F:F)</f>
        <v>359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0</v>
      </c>
      <c r="L55">
        <f>SUMIF(DATA!$A:$A,PPL!$A55,DATA!J:J)</f>
        <v>0</v>
      </c>
      <c r="M55">
        <f t="shared" si="0"/>
        <v>254</v>
      </c>
      <c r="N55" s="3">
        <f t="shared" si="1"/>
        <v>40.967741935483872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683</v>
      </c>
      <c r="F56">
        <f>SUMIF(DATA!$A:$A,PPL!$A56,DATA!D:D)</f>
        <v>296</v>
      </c>
      <c r="G56">
        <f>SUMIF(DATA!$A:$A,PPL!$A56,DATA!E:E)</f>
        <v>27</v>
      </c>
      <c r="H56">
        <f>SUMIF(DATA!$A:$A,PPL!$A56,DATA!F:F)</f>
        <v>290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70</v>
      </c>
      <c r="L56">
        <f>SUMIF(DATA!$A:$A,PPL!$A56,DATA!J:J)</f>
        <v>0</v>
      </c>
      <c r="M56">
        <f t="shared" si="0"/>
        <v>366</v>
      </c>
      <c r="N56" s="3">
        <f t="shared" si="1"/>
        <v>53.587115666178619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247</v>
      </c>
      <c r="G57">
        <f>SUMIF(DATA!$A:$A,PPL!$A57,DATA!E:E)</f>
        <v>22</v>
      </c>
      <c r="H57">
        <f>SUMIF(DATA!$A:$A,PPL!$A57,DATA!F:F)</f>
        <v>346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0"/>
        <v>247</v>
      </c>
      <c r="N57" s="3">
        <f t="shared" si="1"/>
        <v>40.162601626016261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707</v>
      </c>
      <c r="F58">
        <f>SUMIF(DATA!$A:$A,PPL!$A58,DATA!D:D)</f>
        <v>283</v>
      </c>
      <c r="G58">
        <f>SUMIF(DATA!$A:$A,PPL!$A58,DATA!E:E)</f>
        <v>7</v>
      </c>
      <c r="H58">
        <f>SUMIF(DATA!$A:$A,PPL!$A58,DATA!F:F)</f>
        <v>417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0</v>
      </c>
      <c r="L58">
        <f>SUMIF(DATA!$A:$A,PPL!$A58,DATA!J:J)</f>
        <v>0</v>
      </c>
      <c r="M58">
        <f t="shared" si="0"/>
        <v>283</v>
      </c>
      <c r="N58" s="3">
        <f t="shared" si="1"/>
        <v>40.028288543140029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612</v>
      </c>
      <c r="F59">
        <f>SUMIF(DATA!$A:$A,PPL!$A59,DATA!D:D)</f>
        <v>253</v>
      </c>
      <c r="G59">
        <f>SUMIF(DATA!$A:$A,PPL!$A59,DATA!E:E)</f>
        <v>27</v>
      </c>
      <c r="H59">
        <f>SUMIF(DATA!$A:$A,PPL!$A59,DATA!F:F)</f>
        <v>332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0</v>
      </c>
      <c r="L59">
        <f>SUMIF(DATA!$A:$A,PPL!$A59,DATA!J:J)</f>
        <v>0</v>
      </c>
      <c r="M59">
        <f t="shared" si="0"/>
        <v>253</v>
      </c>
      <c r="N59" s="3">
        <f t="shared" si="1"/>
        <v>41.33986928104575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649</v>
      </c>
      <c r="F60">
        <f>SUMIF(DATA!$A:$A,PPL!$A60,DATA!D:D)</f>
        <v>266</v>
      </c>
      <c r="G60">
        <f>SUMIF(DATA!$A:$A,PPL!$A60,DATA!E:E)</f>
        <v>15</v>
      </c>
      <c r="H60">
        <f>SUMIF(DATA!$A:$A,PPL!$A60,DATA!F:F)</f>
        <v>302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63</v>
      </c>
      <c r="L60">
        <f>SUMIF(DATA!$A:$A,PPL!$A60,DATA!J:J)</f>
        <v>0</v>
      </c>
      <c r="M60">
        <f t="shared" si="0"/>
        <v>332</v>
      </c>
      <c r="N60" s="3">
        <f t="shared" si="1"/>
        <v>51.155624036979972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635</v>
      </c>
      <c r="F61">
        <f>SUMIF(DATA!$A:$A,PPL!$A61,DATA!D:D)</f>
        <v>209</v>
      </c>
      <c r="G61">
        <f>SUMIF(DATA!$A:$A,PPL!$A61,DATA!E:E)</f>
        <v>4</v>
      </c>
      <c r="H61">
        <f>SUMIF(DATA!$A:$A,PPL!$A61,DATA!F:F)</f>
        <v>372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50</v>
      </c>
      <c r="L61">
        <f>SUMIF(DATA!$A:$A,PPL!$A61,DATA!J:J)</f>
        <v>0</v>
      </c>
      <c r="M61">
        <f t="shared" si="0"/>
        <v>259</v>
      </c>
      <c r="N61" s="3">
        <f t="shared" si="1"/>
        <v>40.787401574803148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651</v>
      </c>
      <c r="F62">
        <f>SUMIF(DATA!$A:$A,PPL!$A62,DATA!D:D)</f>
        <v>179</v>
      </c>
      <c r="G62">
        <f>SUMIF(DATA!$A:$A,PPL!$A62,DATA!E:E)</f>
        <v>9</v>
      </c>
      <c r="H62">
        <f>SUMIF(DATA!$A:$A,PPL!$A62,DATA!F:F)</f>
        <v>370</v>
      </c>
      <c r="I62">
        <f>SUMIF(DATA!$A:$A,PPL!$A62,DATA!G:G)</f>
        <v>0</v>
      </c>
      <c r="J62">
        <f>SUMIF(DATA!$A:$A,PPL!$A62,DATA!H:H)</f>
        <v>1</v>
      </c>
      <c r="K62">
        <f>SUMIF(DATA!$A:$A,PPL!$A62,DATA!I:I)</f>
        <v>92</v>
      </c>
      <c r="L62">
        <f>SUMIF(DATA!$A:$A,PPL!$A62,DATA!J:J)</f>
        <v>0</v>
      </c>
      <c r="M62">
        <f t="shared" si="0"/>
        <v>272</v>
      </c>
      <c r="N62" s="3">
        <f t="shared" si="1"/>
        <v>41.781874039938558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638</v>
      </c>
      <c r="F63">
        <f>SUMIF(DATA!$A:$A,PPL!$A63,DATA!D:D)</f>
        <v>270</v>
      </c>
      <c r="G63">
        <f>SUMIF(DATA!$A:$A,PPL!$A63,DATA!E:E)</f>
        <v>25</v>
      </c>
      <c r="H63">
        <f>SUMIF(DATA!$A:$A,PPL!$A63,DATA!F:F)</f>
        <v>327</v>
      </c>
      <c r="I63">
        <f>SUMIF(DATA!$A:$A,PPL!$A63,DATA!G:G)</f>
        <v>2</v>
      </c>
      <c r="J63">
        <f>SUMIF(DATA!$A:$A,PPL!$A63,DATA!H:H)</f>
        <v>1</v>
      </c>
      <c r="K63">
        <f>SUMIF(DATA!$A:$A,PPL!$A63,DATA!I:I)</f>
        <v>13</v>
      </c>
      <c r="L63">
        <f>SUMIF(DATA!$A:$A,PPL!$A63,DATA!J:J)</f>
        <v>0</v>
      </c>
      <c r="M63">
        <f t="shared" si="0"/>
        <v>286</v>
      </c>
      <c r="N63" s="3">
        <f t="shared" si="1"/>
        <v>44.827586206896555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711</v>
      </c>
      <c r="F64">
        <f>SUMIF(DATA!$A:$A,PPL!$A64,DATA!D:D)</f>
        <v>274</v>
      </c>
      <c r="G64">
        <f>SUMIF(DATA!$A:$A,PPL!$A64,DATA!E:E)</f>
        <v>11</v>
      </c>
      <c r="H64">
        <f>SUMIF(DATA!$A:$A,PPL!$A64,DATA!F:F)</f>
        <v>416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10</v>
      </c>
      <c r="L64">
        <f>SUMIF(DATA!$A:$A,PPL!$A64,DATA!J:J)</f>
        <v>0</v>
      </c>
      <c r="M64">
        <f t="shared" si="0"/>
        <v>284</v>
      </c>
      <c r="N64" s="3">
        <f t="shared" si="1"/>
        <v>39.943741209563996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697</v>
      </c>
      <c r="F65">
        <f>SUMIF(DATA!$A:$A,PPL!$A65,DATA!D:D)</f>
        <v>284</v>
      </c>
      <c r="G65">
        <f>SUMIF(DATA!$A:$A,PPL!$A65,DATA!E:E)</f>
        <v>10</v>
      </c>
      <c r="H65">
        <f>SUMIF(DATA!$A:$A,PPL!$A65,DATA!F:F)</f>
        <v>403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0</v>
      </c>
      <c r="L65">
        <f>SUMIF(DATA!$A:$A,PPL!$A65,DATA!J:J)</f>
        <v>0</v>
      </c>
      <c r="M65">
        <f t="shared" si="0"/>
        <v>284</v>
      </c>
      <c r="N65" s="3">
        <f t="shared" si="1"/>
        <v>40.746054519368727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677</v>
      </c>
      <c r="F66">
        <f>SUMIF(DATA!$A:$A,PPL!$A66,DATA!D:D)</f>
        <v>166</v>
      </c>
      <c r="G66">
        <f>SUMIF(DATA!$A:$A,PPL!$A66,DATA!E:E)</f>
        <v>54</v>
      </c>
      <c r="H66">
        <f>SUMIF(DATA!$A:$A,PPL!$A66,DATA!F:F)</f>
        <v>412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45</v>
      </c>
      <c r="L66">
        <f>SUMIF(DATA!$A:$A,PPL!$A66,DATA!J:J)</f>
        <v>0</v>
      </c>
      <c r="M66">
        <f t="shared" si="0"/>
        <v>211</v>
      </c>
      <c r="N66" s="3">
        <f t="shared" si="1"/>
        <v>31.166912850812405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706</v>
      </c>
      <c r="F67">
        <f>SUMIF(DATA!$A:$A,PPL!$A67,DATA!D:D)</f>
        <v>280</v>
      </c>
      <c r="G67">
        <f>SUMIF(DATA!$A:$A,PPL!$A67,DATA!E:E)</f>
        <v>14</v>
      </c>
      <c r="H67">
        <f>SUMIF(DATA!$A:$A,PPL!$A67,DATA!F:F)</f>
        <v>407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5</v>
      </c>
      <c r="L67">
        <f>SUMIF(DATA!$A:$A,PPL!$A67,DATA!J:J)</f>
        <v>0</v>
      </c>
      <c r="M67">
        <f t="shared" ref="M67:M130" si="2">F67+I67+J67+K67+L67</f>
        <v>285</v>
      </c>
      <c r="N67" s="3">
        <f t="shared" ref="N67:N130" si="3">(M67/E67)*100</f>
        <v>40.368271954674221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634</v>
      </c>
      <c r="F68">
        <f>SUMIF(DATA!$A:$A,PPL!$A68,DATA!D:D)</f>
        <v>234</v>
      </c>
      <c r="G68">
        <f>SUMIF(DATA!$A:$A,PPL!$A68,DATA!E:E)</f>
        <v>39</v>
      </c>
      <c r="H68">
        <f>SUMIF(DATA!$A:$A,PPL!$A68,DATA!F:F)</f>
        <v>341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19</v>
      </c>
      <c r="L68">
        <f>SUMIF(DATA!$A:$A,PPL!$A68,DATA!J:J)</f>
        <v>0</v>
      </c>
      <c r="M68">
        <f t="shared" si="2"/>
        <v>254</v>
      </c>
      <c r="N68" s="3">
        <f t="shared" si="3"/>
        <v>40.063091482649845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627</v>
      </c>
      <c r="F69">
        <f>SUMIF(DATA!$A:$A,PPL!$A69,DATA!D:D)</f>
        <v>262</v>
      </c>
      <c r="G69">
        <f>SUMIF(DATA!$A:$A,PPL!$A69,DATA!E:E)</f>
        <v>9</v>
      </c>
      <c r="H69">
        <f>SUMIF(DATA!$A:$A,PPL!$A69,DATA!F:F)</f>
        <v>355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</v>
      </c>
      <c r="L69">
        <f>SUMIF(DATA!$A:$A,PPL!$A69,DATA!J:J)</f>
        <v>0</v>
      </c>
      <c r="M69">
        <f t="shared" si="2"/>
        <v>263</v>
      </c>
      <c r="N69" s="3">
        <f t="shared" si="3"/>
        <v>41.945773524720892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488</v>
      </c>
      <c r="F70">
        <f>SUMIF(DATA!$A:$A,PPL!$A70,DATA!D:D)</f>
        <v>197</v>
      </c>
      <c r="G70">
        <f>SUMIF(DATA!$A:$A,PPL!$A70,DATA!E:E)</f>
        <v>13</v>
      </c>
      <c r="H70">
        <f>SUMIF(DATA!$A:$A,PPL!$A70,DATA!F:F)</f>
        <v>275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0</v>
      </c>
      <c r="L70">
        <f>SUMIF(DATA!$A:$A,PPL!$A70,DATA!J:J)</f>
        <v>0</v>
      </c>
      <c r="M70">
        <f t="shared" si="2"/>
        <v>200</v>
      </c>
      <c r="N70" s="3">
        <f t="shared" si="3"/>
        <v>40.983606557377051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469</v>
      </c>
      <c r="F71">
        <f>SUMIF(DATA!$A:$A,PPL!$A71,DATA!D:D)</f>
        <v>186</v>
      </c>
      <c r="G71">
        <f>SUMIF(DATA!$A:$A,PPL!$A71,DATA!E:E)</f>
        <v>28</v>
      </c>
      <c r="H71">
        <f>SUMIF(DATA!$A:$A,PPL!$A71,DATA!F:F)</f>
        <v>251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0</v>
      </c>
      <c r="L71">
        <f>SUMIF(DATA!$A:$A,PPL!$A71,DATA!J:J)</f>
        <v>0</v>
      </c>
      <c r="M71">
        <f t="shared" si="2"/>
        <v>190</v>
      </c>
      <c r="N71" s="3">
        <f t="shared" si="3"/>
        <v>40.511727078891255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493</v>
      </c>
      <c r="F72">
        <f>SUMIF(DATA!$A:$A,PPL!$A72,DATA!D:D)</f>
        <v>200</v>
      </c>
      <c r="G72">
        <f>SUMIF(DATA!$A:$A,PPL!$A72,DATA!E:E)</f>
        <v>8</v>
      </c>
      <c r="H72">
        <f>SUMIF(DATA!$A:$A,PPL!$A72,DATA!F:F)</f>
        <v>285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0</v>
      </c>
      <c r="L72">
        <f>SUMIF(DATA!$A:$A,PPL!$A72,DATA!J:J)</f>
        <v>0</v>
      </c>
      <c r="M72">
        <f t="shared" si="2"/>
        <v>200</v>
      </c>
      <c r="N72" s="3">
        <f t="shared" si="3"/>
        <v>40.56795131845842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445</v>
      </c>
      <c r="F73">
        <f>SUMIF(DATA!$A:$A,PPL!$A73,DATA!D:D)</f>
        <v>188</v>
      </c>
      <c r="G73">
        <f>SUMIF(DATA!$A:$A,PPL!$A73,DATA!E:E)</f>
        <v>2</v>
      </c>
      <c r="H73">
        <f>SUMIF(DATA!$A:$A,PPL!$A73,DATA!F:F)</f>
        <v>255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2"/>
        <v>188</v>
      </c>
      <c r="N73" s="3">
        <f t="shared" si="3"/>
        <v>42.247191011235955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548</v>
      </c>
      <c r="F74">
        <f>SUMIF(DATA!$A:$A,PPL!$A74,DATA!D:D)</f>
        <v>232</v>
      </c>
      <c r="G74">
        <f>SUMIF(DATA!$A:$A,PPL!$A74,DATA!E:E)</f>
        <v>5</v>
      </c>
      <c r="H74">
        <f>SUMIF(DATA!$A:$A,PPL!$A74,DATA!F:F)</f>
        <v>310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0</v>
      </c>
      <c r="L74">
        <f>SUMIF(DATA!$A:$A,PPL!$A74,DATA!J:J)</f>
        <v>0</v>
      </c>
      <c r="M74">
        <f t="shared" si="2"/>
        <v>233</v>
      </c>
      <c r="N74" s="3">
        <f t="shared" si="3"/>
        <v>42.518248175182485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209</v>
      </c>
      <c r="G75">
        <f>SUMIF(DATA!$A:$A,PPL!$A75,DATA!E:E)</f>
        <v>19</v>
      </c>
      <c r="H75">
        <f>SUMIF(DATA!$A:$A,PPL!$A75,DATA!F:F)</f>
        <v>270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2"/>
        <v>209</v>
      </c>
      <c r="N75" s="3">
        <f t="shared" si="3"/>
        <v>41.967871485943775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490</v>
      </c>
      <c r="F76">
        <f>SUMIF(DATA!$A:$A,PPL!$A76,DATA!D:D)</f>
        <v>171</v>
      </c>
      <c r="G76">
        <f>SUMIF(DATA!$A:$A,PPL!$A76,DATA!E:E)</f>
        <v>9</v>
      </c>
      <c r="H76">
        <f>SUMIF(DATA!$A:$A,PPL!$A76,DATA!F:F)</f>
        <v>277</v>
      </c>
      <c r="I76">
        <f>SUMIF(DATA!$A:$A,PPL!$A76,DATA!G:G)</f>
        <v>0</v>
      </c>
      <c r="J76">
        <f>SUMIF(DATA!$A:$A,PPL!$A76,DATA!H:H)</f>
        <v>2</v>
      </c>
      <c r="K76">
        <f>SUMIF(DATA!$A:$A,PPL!$A76,DATA!I:I)</f>
        <v>31</v>
      </c>
      <c r="L76">
        <f>SUMIF(DATA!$A:$A,PPL!$A76,DATA!J:J)</f>
        <v>0</v>
      </c>
      <c r="M76">
        <f t="shared" si="2"/>
        <v>204</v>
      </c>
      <c r="N76" s="3">
        <f t="shared" si="3"/>
        <v>41.632653061224488</v>
      </c>
    </row>
    <row r="77" spans="1:14" x14ac:dyDescent="0.25">
      <c r="A77" t="s">
        <v>81</v>
      </c>
      <c r="B77" t="s">
        <v>402</v>
      </c>
      <c r="C77" t="s">
        <v>171</v>
      </c>
      <c r="D77" t="str">
        <f>VLOOKUP(C77,PML!A:B,2,0)</f>
        <v>Puput</v>
      </c>
      <c r="E77">
        <f>SUMIF(DATA!$A:$A,PPL!$A77,DATA!C:C)</f>
        <v>517</v>
      </c>
      <c r="F77">
        <f>SUMIF(DATA!$A:$A,PPL!$A77,DATA!D:D)</f>
        <v>212</v>
      </c>
      <c r="G77">
        <f>SUMIF(DATA!$A:$A,PPL!$A77,DATA!E:E)</f>
        <v>42</v>
      </c>
      <c r="H77">
        <f>SUMIF(DATA!$A:$A,PPL!$A77,DATA!F:F)</f>
        <v>261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1</v>
      </c>
      <c r="L77">
        <f>SUMIF(DATA!$A:$A,PPL!$A77,DATA!J:J)</f>
        <v>0</v>
      </c>
      <c r="M77">
        <f t="shared" si="2"/>
        <v>214</v>
      </c>
      <c r="N77" s="3">
        <f t="shared" si="3"/>
        <v>41.392649903288202</v>
      </c>
    </row>
    <row r="78" spans="1:14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458</v>
      </c>
      <c r="F78">
        <f>SUMIF(DATA!$A:$A,PPL!$A78,DATA!D:D)</f>
        <v>193</v>
      </c>
      <c r="G78">
        <f>SUMIF(DATA!$A:$A,PPL!$A78,DATA!E:E)</f>
        <v>22</v>
      </c>
      <c r="H78">
        <f>SUMIF(DATA!$A:$A,PPL!$A78,DATA!F:F)</f>
        <v>238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5</v>
      </c>
      <c r="L78">
        <f>SUMIF(DATA!$A:$A,PPL!$A78,DATA!J:J)</f>
        <v>0</v>
      </c>
      <c r="M78">
        <f t="shared" si="2"/>
        <v>198</v>
      </c>
      <c r="N78" s="3">
        <f t="shared" si="3"/>
        <v>43.231441048034938</v>
      </c>
    </row>
    <row r="79" spans="1:14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75</v>
      </c>
      <c r="G79">
        <f>SUMIF(DATA!$A:$A,PPL!$A79,DATA!E:E)</f>
        <v>24</v>
      </c>
      <c r="H79">
        <f>SUMIF(DATA!$A:$A,PPL!$A79,DATA!F:F)</f>
        <v>305</v>
      </c>
      <c r="I79">
        <f>SUMIF(DATA!$A:$A,PPL!$A79,DATA!G:G)</f>
        <v>18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2"/>
        <v>93</v>
      </c>
      <c r="N79" s="3">
        <f t="shared" si="3"/>
        <v>22.037914691943129</v>
      </c>
    </row>
    <row r="80" spans="1:14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82</v>
      </c>
      <c r="G80">
        <f>SUMIF(DATA!$A:$A,PPL!$A80,DATA!E:E)</f>
        <v>27</v>
      </c>
      <c r="H80">
        <f>SUMIF(DATA!$A:$A,PPL!$A80,DATA!F:F)</f>
        <v>337</v>
      </c>
      <c r="I80">
        <f>SUMIF(DATA!$A:$A,PPL!$A80,DATA!G:G)</f>
        <v>2</v>
      </c>
      <c r="J80">
        <f>SUMIF(DATA!$A:$A,PPL!$A80,DATA!H:H)</f>
        <v>1</v>
      </c>
      <c r="K80">
        <f>SUMIF(DATA!$A:$A,PPL!$A80,DATA!I:I)</f>
        <v>21</v>
      </c>
      <c r="L80">
        <f>SUMIF(DATA!$A:$A,PPL!$A80,DATA!J:J)</f>
        <v>0</v>
      </c>
      <c r="M80">
        <f t="shared" si="2"/>
        <v>106</v>
      </c>
      <c r="N80" s="3">
        <f t="shared" si="3"/>
        <v>22.553191489361701</v>
      </c>
    </row>
    <row r="81" spans="1:14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441</v>
      </c>
      <c r="F81">
        <f>SUMIF(DATA!$A:$A,PPL!$A81,DATA!D:D)</f>
        <v>180</v>
      </c>
      <c r="G81">
        <f>SUMIF(DATA!$A:$A,PPL!$A81,DATA!E:E)</f>
        <v>0</v>
      </c>
      <c r="H81">
        <f>SUMIF(DATA!$A:$A,PPL!$A81,DATA!F:F)</f>
        <v>261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0</v>
      </c>
      <c r="L81">
        <f>SUMIF(DATA!$A:$A,PPL!$A81,DATA!J:J)</f>
        <v>0</v>
      </c>
      <c r="M81">
        <f t="shared" si="2"/>
        <v>180</v>
      </c>
      <c r="N81" s="3">
        <f t="shared" si="3"/>
        <v>40.816326530612244</v>
      </c>
    </row>
    <row r="82" spans="1:14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176</v>
      </c>
      <c r="G82">
        <f>SUMIF(DATA!$A:$A,PPL!$A82,DATA!E:E)</f>
        <v>1</v>
      </c>
      <c r="H82">
        <f>SUMIF(DATA!$A:$A,PPL!$A82,DATA!F:F)</f>
        <v>246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4</v>
      </c>
      <c r="L82">
        <f>SUMIF(DATA!$A:$A,PPL!$A82,DATA!J:J)</f>
        <v>0</v>
      </c>
      <c r="M82">
        <f t="shared" si="2"/>
        <v>181</v>
      </c>
      <c r="N82" s="3">
        <f t="shared" si="3"/>
        <v>42.289719626168228</v>
      </c>
    </row>
    <row r="83" spans="1:14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412</v>
      </c>
      <c r="F83">
        <f>SUMIF(DATA!$A:$A,PPL!$A83,DATA!D:D)</f>
        <v>168</v>
      </c>
      <c r="G83">
        <f>SUMIF(DATA!$A:$A,PPL!$A83,DATA!E:E)</f>
        <v>3</v>
      </c>
      <c r="H83">
        <f>SUMIF(DATA!$A:$A,PPL!$A83,DATA!F:F)</f>
        <v>241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0</v>
      </c>
      <c r="L83">
        <f>SUMIF(DATA!$A:$A,PPL!$A83,DATA!J:J)</f>
        <v>0</v>
      </c>
      <c r="M83">
        <f t="shared" si="2"/>
        <v>168</v>
      </c>
      <c r="N83" s="3">
        <f t="shared" si="3"/>
        <v>40.776699029126213</v>
      </c>
    </row>
    <row r="84" spans="1:14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430</v>
      </c>
      <c r="F84">
        <f>SUMIF(DATA!$A:$A,PPL!$A84,DATA!D:D)</f>
        <v>180</v>
      </c>
      <c r="G84">
        <f>SUMIF(DATA!$A:$A,PPL!$A84,DATA!E:E)</f>
        <v>4</v>
      </c>
      <c r="H84">
        <f>SUMIF(DATA!$A:$A,PPL!$A84,DATA!F:F)</f>
        <v>243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2</v>
      </c>
      <c r="L84">
        <f>SUMIF(DATA!$A:$A,PPL!$A84,DATA!J:J)</f>
        <v>0</v>
      </c>
      <c r="M84">
        <f t="shared" si="2"/>
        <v>183</v>
      </c>
      <c r="N84" s="3">
        <f t="shared" si="3"/>
        <v>42.558139534883722</v>
      </c>
    </row>
    <row r="85" spans="1:14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430</v>
      </c>
      <c r="F85">
        <f>SUMIF(DATA!$A:$A,PPL!$A85,DATA!D:D)</f>
        <v>186</v>
      </c>
      <c r="G85">
        <f>SUMIF(DATA!$A:$A,PPL!$A85,DATA!E:E)</f>
        <v>10</v>
      </c>
      <c r="H85">
        <f>SUMIF(DATA!$A:$A,PPL!$A85,DATA!F:F)</f>
        <v>230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4</v>
      </c>
      <c r="L85">
        <f>SUMIF(DATA!$A:$A,PPL!$A85,DATA!J:J)</f>
        <v>0</v>
      </c>
      <c r="M85">
        <f t="shared" si="2"/>
        <v>190</v>
      </c>
      <c r="N85" s="3">
        <f t="shared" si="3"/>
        <v>44.186046511627907</v>
      </c>
    </row>
    <row r="86" spans="1:14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699</v>
      </c>
      <c r="F86">
        <f>SUMIF(DATA!$A:$A,PPL!$A86,DATA!D:D)</f>
        <v>270</v>
      </c>
      <c r="G86">
        <f>SUMIF(DATA!$A:$A,PPL!$A86,DATA!E:E)</f>
        <v>1</v>
      </c>
      <c r="H86">
        <f>SUMIF(DATA!$A:$A,PPL!$A86,DATA!F:F)</f>
        <v>415</v>
      </c>
      <c r="I86">
        <f>SUMIF(DATA!$A:$A,PPL!$A86,DATA!G:G)</f>
        <v>1</v>
      </c>
      <c r="J86">
        <f>SUMIF(DATA!$A:$A,PPL!$A86,DATA!H:H)</f>
        <v>1</v>
      </c>
      <c r="K86">
        <f>SUMIF(DATA!$A:$A,PPL!$A86,DATA!I:I)</f>
        <v>11</v>
      </c>
      <c r="L86">
        <f>SUMIF(DATA!$A:$A,PPL!$A86,DATA!J:J)</f>
        <v>0</v>
      </c>
      <c r="M86">
        <f t="shared" si="2"/>
        <v>283</v>
      </c>
      <c r="N86" s="3">
        <f t="shared" si="3"/>
        <v>40.486409155937054</v>
      </c>
    </row>
    <row r="87" spans="1:14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652</v>
      </c>
      <c r="F87">
        <f>SUMIF(DATA!$A:$A,PPL!$A87,DATA!D:D)</f>
        <v>284</v>
      </c>
      <c r="G87">
        <f>SUMIF(DATA!$A:$A,PPL!$A87,DATA!E:E)</f>
        <v>4</v>
      </c>
      <c r="H87">
        <f>SUMIF(DATA!$A:$A,PPL!$A87,DATA!F:F)</f>
        <v>364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0</v>
      </c>
      <c r="L87">
        <f>SUMIF(DATA!$A:$A,PPL!$A87,DATA!J:J)</f>
        <v>0</v>
      </c>
      <c r="M87">
        <f t="shared" si="2"/>
        <v>284</v>
      </c>
      <c r="N87" s="3">
        <f t="shared" si="3"/>
        <v>43.558282208588956</v>
      </c>
    </row>
    <row r="88" spans="1:14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611</v>
      </c>
      <c r="F88">
        <f>SUMIF(DATA!$A:$A,PPL!$A88,DATA!D:D)</f>
        <v>264</v>
      </c>
      <c r="G88">
        <f>SUMIF(DATA!$A:$A,PPL!$A88,DATA!E:E)</f>
        <v>15</v>
      </c>
      <c r="H88">
        <f>SUMIF(DATA!$A:$A,PPL!$A88,DATA!F:F)</f>
        <v>329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3</v>
      </c>
      <c r="L88">
        <f>SUMIF(DATA!$A:$A,PPL!$A88,DATA!J:J)</f>
        <v>0</v>
      </c>
      <c r="M88">
        <f t="shared" si="2"/>
        <v>267</v>
      </c>
      <c r="N88" s="3">
        <f t="shared" si="3"/>
        <v>43.698854337152213</v>
      </c>
    </row>
    <row r="89" spans="1:14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618</v>
      </c>
      <c r="F89">
        <f>SUMIF(DATA!$A:$A,PPL!$A89,DATA!D:D)</f>
        <v>222</v>
      </c>
      <c r="G89">
        <f>SUMIF(DATA!$A:$A,PPL!$A89,DATA!E:E)</f>
        <v>12</v>
      </c>
      <c r="H89">
        <f>SUMIF(DATA!$A:$A,PPL!$A89,DATA!F:F)</f>
        <v>358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26</v>
      </c>
      <c r="L89">
        <f>SUMIF(DATA!$A:$A,PPL!$A89,DATA!J:J)</f>
        <v>0</v>
      </c>
      <c r="M89">
        <f t="shared" si="2"/>
        <v>248</v>
      </c>
      <c r="N89" s="3">
        <f t="shared" si="3"/>
        <v>40.129449838187703</v>
      </c>
    </row>
    <row r="90" spans="1:14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244</v>
      </c>
      <c r="G90">
        <f>SUMIF(DATA!$A:$A,PPL!$A90,DATA!E:E)</f>
        <v>3</v>
      </c>
      <c r="H90">
        <f>SUMIF(DATA!$A:$A,PPL!$A90,DATA!F:F)</f>
        <v>321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0</v>
      </c>
      <c r="L90">
        <f>SUMIF(DATA!$A:$A,PPL!$A90,DATA!J:J)</f>
        <v>0</v>
      </c>
      <c r="M90">
        <f t="shared" si="2"/>
        <v>244</v>
      </c>
      <c r="N90" s="3">
        <f t="shared" si="3"/>
        <v>42.95774647887324</v>
      </c>
    </row>
    <row r="91" spans="1:14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620</v>
      </c>
      <c r="F91">
        <f>SUMIF(DATA!$A:$A,PPL!$A91,DATA!D:D)</f>
        <v>291</v>
      </c>
      <c r="G91">
        <f>SUMIF(DATA!$A:$A,PPL!$A91,DATA!E:E)</f>
        <v>3</v>
      </c>
      <c r="H91">
        <f>SUMIF(DATA!$A:$A,PPL!$A91,DATA!F:F)</f>
        <v>324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0</v>
      </c>
      <c r="L91">
        <f>SUMIF(DATA!$A:$A,PPL!$A91,DATA!J:J)</f>
        <v>0</v>
      </c>
      <c r="M91">
        <f t="shared" si="2"/>
        <v>293</v>
      </c>
      <c r="N91" s="3">
        <f t="shared" si="3"/>
        <v>47.258064516129032</v>
      </c>
    </row>
    <row r="92" spans="1:14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232</v>
      </c>
      <c r="G92">
        <f>SUMIF(DATA!$A:$A,PPL!$A92,DATA!E:E)</f>
        <v>68</v>
      </c>
      <c r="H92">
        <f>SUMIF(DATA!$A:$A,PPL!$A92,DATA!F:F)</f>
        <v>273</v>
      </c>
      <c r="I92">
        <f>SUMIF(DATA!$A:$A,PPL!$A92,DATA!G:G)</f>
        <v>8</v>
      </c>
      <c r="J92">
        <f>SUMIF(DATA!$A:$A,PPL!$A92,DATA!H:H)</f>
        <v>0</v>
      </c>
      <c r="K92">
        <f>SUMIF(DATA!$A:$A,PPL!$A92,DATA!I:I)</f>
        <v>47</v>
      </c>
      <c r="L92">
        <f>SUMIF(DATA!$A:$A,PPL!$A92,DATA!J:J)</f>
        <v>0</v>
      </c>
      <c r="M92">
        <f t="shared" si="2"/>
        <v>287</v>
      </c>
      <c r="N92" s="3">
        <f t="shared" si="3"/>
        <v>45.70063694267516</v>
      </c>
    </row>
    <row r="93" spans="1:14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225</v>
      </c>
      <c r="G93">
        <f>SUMIF(DATA!$A:$A,PPL!$A93,DATA!E:E)</f>
        <v>1</v>
      </c>
      <c r="H93">
        <f>SUMIF(DATA!$A:$A,PPL!$A93,DATA!F:F)</f>
        <v>343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52</v>
      </c>
      <c r="L93">
        <f>SUMIF(DATA!$A:$A,PPL!$A93,DATA!J:J)</f>
        <v>0</v>
      </c>
      <c r="M93">
        <f t="shared" si="2"/>
        <v>279</v>
      </c>
      <c r="N93" s="3">
        <f t="shared" si="3"/>
        <v>44.783306581059392</v>
      </c>
    </row>
    <row r="94" spans="1:14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611</v>
      </c>
      <c r="F94">
        <f>SUMIF(DATA!$A:$A,PPL!$A94,DATA!D:D)</f>
        <v>306</v>
      </c>
      <c r="G94">
        <f>SUMIF(DATA!$A:$A,PPL!$A94,DATA!E:E)</f>
        <v>43</v>
      </c>
      <c r="H94">
        <f>SUMIF(DATA!$A:$A,PPL!$A94,DATA!F:F)</f>
        <v>259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3</v>
      </c>
      <c r="L94">
        <f>SUMIF(DATA!$A:$A,PPL!$A94,DATA!J:J)</f>
        <v>0</v>
      </c>
      <c r="M94">
        <f t="shared" si="2"/>
        <v>309</v>
      </c>
      <c r="N94" s="3">
        <f t="shared" si="3"/>
        <v>50.572831423895259</v>
      </c>
    </row>
    <row r="95" spans="1:14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638</v>
      </c>
      <c r="F95">
        <f>SUMIF(DATA!$A:$A,PPL!$A95,DATA!D:D)</f>
        <v>305</v>
      </c>
      <c r="G95">
        <f>SUMIF(DATA!$A:$A,PPL!$A95,DATA!E:E)</f>
        <v>17</v>
      </c>
      <c r="H95">
        <f>SUMIF(DATA!$A:$A,PPL!$A95,DATA!F:F)</f>
        <v>314</v>
      </c>
      <c r="I95">
        <f>SUMIF(DATA!$A:$A,PPL!$A95,DATA!G:G)</f>
        <v>1</v>
      </c>
      <c r="J95">
        <f>SUMIF(DATA!$A:$A,PPL!$A95,DATA!H:H)</f>
        <v>1</v>
      </c>
      <c r="K95">
        <f>SUMIF(DATA!$A:$A,PPL!$A95,DATA!I:I)</f>
        <v>0</v>
      </c>
      <c r="L95">
        <f>SUMIF(DATA!$A:$A,PPL!$A95,DATA!J:J)</f>
        <v>0</v>
      </c>
      <c r="M95">
        <f t="shared" si="2"/>
        <v>307</v>
      </c>
      <c r="N95" s="3">
        <f t="shared" si="3"/>
        <v>48.119122257053291</v>
      </c>
    </row>
    <row r="96" spans="1:14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231</v>
      </c>
      <c r="G96">
        <f>SUMIF(DATA!$A:$A,PPL!$A96,DATA!E:E)</f>
        <v>0</v>
      </c>
      <c r="H96">
        <f>SUMIF(DATA!$A:$A,PPL!$A96,DATA!F:F)</f>
        <v>307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39</v>
      </c>
      <c r="L96">
        <f>SUMIF(DATA!$A:$A,PPL!$A96,DATA!J:J)</f>
        <v>0</v>
      </c>
      <c r="M96">
        <f t="shared" si="2"/>
        <v>270</v>
      </c>
      <c r="N96" s="3">
        <f t="shared" si="3"/>
        <v>46.793760831889081</v>
      </c>
    </row>
    <row r="97" spans="1:14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263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2"/>
        <v>263</v>
      </c>
      <c r="N97" s="3">
        <f t="shared" si="3"/>
        <v>42.556634304207122</v>
      </c>
    </row>
    <row r="98" spans="1:14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260</v>
      </c>
      <c r="G98">
        <f>SUMIF(DATA!$A:$A,PPL!$A98,DATA!E:E)</f>
        <v>8</v>
      </c>
      <c r="H98">
        <f>SUMIF(DATA!$A:$A,PPL!$A98,DATA!F:F)</f>
        <v>353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0</v>
      </c>
      <c r="L98">
        <f>SUMIF(DATA!$A:$A,PPL!$A98,DATA!J:J)</f>
        <v>0</v>
      </c>
      <c r="M98">
        <f t="shared" si="2"/>
        <v>260</v>
      </c>
      <c r="N98" s="3">
        <f t="shared" si="3"/>
        <v>41.867954911433173</v>
      </c>
    </row>
    <row r="99" spans="1:14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636</v>
      </c>
      <c r="F99">
        <f>SUMIF(DATA!$A:$A,PPL!$A99,DATA!D:D)</f>
        <v>357</v>
      </c>
      <c r="G99">
        <f>SUMIF(DATA!$A:$A,PPL!$A99,DATA!E:E)</f>
        <v>8</v>
      </c>
      <c r="H99">
        <f>SUMIF(DATA!$A:$A,PPL!$A99,DATA!F:F)</f>
        <v>263</v>
      </c>
      <c r="I99">
        <f>SUMIF(DATA!$A:$A,PPL!$A99,DATA!G:G)</f>
        <v>3</v>
      </c>
      <c r="J99">
        <f>SUMIF(DATA!$A:$A,PPL!$A99,DATA!H:H)</f>
        <v>1</v>
      </c>
      <c r="K99">
        <f>SUMIF(DATA!$A:$A,PPL!$A99,DATA!I:I)</f>
        <v>4</v>
      </c>
      <c r="L99">
        <f>SUMIF(DATA!$A:$A,PPL!$A99,DATA!J:J)</f>
        <v>0</v>
      </c>
      <c r="M99">
        <f t="shared" si="2"/>
        <v>365</v>
      </c>
      <c r="N99" s="3">
        <f t="shared" si="3"/>
        <v>57.389937106918239</v>
      </c>
    </row>
    <row r="100" spans="1:14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674</v>
      </c>
      <c r="F100">
        <f>SUMIF(DATA!$A:$A,PPL!$A100,DATA!D:D)</f>
        <v>295</v>
      </c>
      <c r="G100">
        <f>SUMIF(DATA!$A:$A,PPL!$A100,DATA!E:E)</f>
        <v>17</v>
      </c>
      <c r="H100">
        <f>SUMIF(DATA!$A:$A,PPL!$A100,DATA!F:F)</f>
        <v>360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1</v>
      </c>
      <c r="L100">
        <f>SUMIF(DATA!$A:$A,PPL!$A100,DATA!J:J)</f>
        <v>0</v>
      </c>
      <c r="M100">
        <f t="shared" si="2"/>
        <v>297</v>
      </c>
      <c r="N100" s="3">
        <f t="shared" si="3"/>
        <v>44.065281899109792</v>
      </c>
    </row>
    <row r="101" spans="1:14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444</v>
      </c>
      <c r="F101">
        <f>SUMIF(DATA!$A:$A,PPL!$A101,DATA!D:D)</f>
        <v>217</v>
      </c>
      <c r="G101">
        <f>SUMIF(DATA!$A:$A,PPL!$A101,DATA!E:E)</f>
        <v>26</v>
      </c>
      <c r="H101">
        <f>SUMIF(DATA!$A:$A,PPL!$A101,DATA!F:F)</f>
        <v>195</v>
      </c>
      <c r="I101">
        <f>SUMIF(DATA!$A:$A,PPL!$A101,DATA!G:G)</f>
        <v>1</v>
      </c>
      <c r="J101">
        <f>SUMIF(DATA!$A:$A,PPL!$A101,DATA!H:H)</f>
        <v>0</v>
      </c>
      <c r="K101">
        <f>SUMIF(DATA!$A:$A,PPL!$A101,DATA!I:I)</f>
        <v>5</v>
      </c>
      <c r="L101">
        <f>SUMIF(DATA!$A:$A,PPL!$A101,DATA!J:J)</f>
        <v>0</v>
      </c>
      <c r="M101">
        <f t="shared" si="2"/>
        <v>223</v>
      </c>
      <c r="N101" s="3">
        <f t="shared" si="3"/>
        <v>50.225225225225223</v>
      </c>
    </row>
    <row r="102" spans="1:14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570</v>
      </c>
      <c r="F102">
        <f>SUMIF(DATA!$A:$A,PPL!$A102,DATA!D:D)</f>
        <v>280</v>
      </c>
      <c r="G102">
        <f>SUMIF(DATA!$A:$A,PPL!$A102,DATA!E:E)</f>
        <v>4</v>
      </c>
      <c r="H102">
        <f>SUMIF(DATA!$A:$A,PPL!$A102,DATA!F:F)</f>
        <v>282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4</v>
      </c>
      <c r="L102">
        <f>SUMIF(DATA!$A:$A,PPL!$A102,DATA!J:J)</f>
        <v>0</v>
      </c>
      <c r="M102">
        <f t="shared" si="2"/>
        <v>284</v>
      </c>
      <c r="N102" s="3">
        <f t="shared" si="3"/>
        <v>49.824561403508774</v>
      </c>
    </row>
    <row r="103" spans="1:14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637</v>
      </c>
      <c r="F103">
        <f>SUMIF(DATA!$A:$A,PPL!$A103,DATA!D:D)</f>
        <v>256</v>
      </c>
      <c r="G103">
        <f>SUMIF(DATA!$A:$A,PPL!$A103,DATA!E:E)</f>
        <v>24</v>
      </c>
      <c r="H103">
        <f>SUMIF(DATA!$A:$A,PPL!$A103,DATA!F:F)</f>
        <v>355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2"/>
        <v>258</v>
      </c>
      <c r="N103" s="3">
        <f t="shared" si="3"/>
        <v>40.50235478806907</v>
      </c>
    </row>
    <row r="104" spans="1:14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678</v>
      </c>
      <c r="F104">
        <f>SUMIF(DATA!$A:$A,PPL!$A104,DATA!D:D)</f>
        <v>265</v>
      </c>
      <c r="G104">
        <f>SUMIF(DATA!$A:$A,PPL!$A104,DATA!E:E)</f>
        <v>51</v>
      </c>
      <c r="H104">
        <f>SUMIF(DATA!$A:$A,PPL!$A104,DATA!F:F)</f>
        <v>357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4</v>
      </c>
      <c r="L104">
        <f>SUMIF(DATA!$A:$A,PPL!$A104,DATA!J:J)</f>
        <v>0</v>
      </c>
      <c r="M104">
        <f t="shared" si="2"/>
        <v>270</v>
      </c>
      <c r="N104" s="3">
        <f t="shared" si="3"/>
        <v>39.823008849557525</v>
      </c>
    </row>
    <row r="105" spans="1:14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657</v>
      </c>
      <c r="F105">
        <f>SUMIF(DATA!$A:$A,PPL!$A105,DATA!D:D)</f>
        <v>270</v>
      </c>
      <c r="G105">
        <f>SUMIF(DATA!$A:$A,PPL!$A105,DATA!E:E)</f>
        <v>41</v>
      </c>
      <c r="H105">
        <f>SUMIF(DATA!$A:$A,PPL!$A105,DATA!F:F)</f>
        <v>338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7</v>
      </c>
      <c r="L105">
        <f>SUMIF(DATA!$A:$A,PPL!$A105,DATA!J:J)</f>
        <v>0</v>
      </c>
      <c r="M105">
        <f t="shared" si="2"/>
        <v>278</v>
      </c>
      <c r="N105" s="3">
        <f t="shared" si="3"/>
        <v>42.313546423135463</v>
      </c>
    </row>
    <row r="106" spans="1:14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650</v>
      </c>
      <c r="F106">
        <f>SUMIF(DATA!$A:$A,PPL!$A106,DATA!D:D)</f>
        <v>410</v>
      </c>
      <c r="G106">
        <f>SUMIF(DATA!$A:$A,PPL!$A106,DATA!E:E)</f>
        <v>24</v>
      </c>
      <c r="H106">
        <f>SUMIF(DATA!$A:$A,PPL!$A106,DATA!F:F)</f>
        <v>120</v>
      </c>
      <c r="I106">
        <f>SUMIF(DATA!$A:$A,PPL!$A106,DATA!G:G)</f>
        <v>2</v>
      </c>
      <c r="J106">
        <f>SUMIF(DATA!$A:$A,PPL!$A106,DATA!H:H)</f>
        <v>0</v>
      </c>
      <c r="K106">
        <f>SUMIF(DATA!$A:$A,PPL!$A106,DATA!I:I)</f>
        <v>94</v>
      </c>
      <c r="L106">
        <f>SUMIF(DATA!$A:$A,PPL!$A106,DATA!J:J)</f>
        <v>0</v>
      </c>
      <c r="M106">
        <f t="shared" si="2"/>
        <v>506</v>
      </c>
      <c r="N106" s="3">
        <f t="shared" si="3"/>
        <v>77.84615384615384</v>
      </c>
    </row>
    <row r="107" spans="1:14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622</v>
      </c>
      <c r="F107">
        <f>SUMIF(DATA!$A:$A,PPL!$A107,DATA!D:D)</f>
        <v>248</v>
      </c>
      <c r="G107">
        <f>SUMIF(DATA!$A:$A,PPL!$A107,DATA!E:E)</f>
        <v>22</v>
      </c>
      <c r="H107">
        <f>SUMIF(DATA!$A:$A,PPL!$A107,DATA!F:F)</f>
        <v>339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13</v>
      </c>
      <c r="L107">
        <f>SUMIF(DATA!$A:$A,PPL!$A107,DATA!J:J)</f>
        <v>0</v>
      </c>
      <c r="M107">
        <f t="shared" si="2"/>
        <v>261</v>
      </c>
      <c r="N107" s="3">
        <f t="shared" si="3"/>
        <v>41.961414790996784</v>
      </c>
    </row>
    <row r="108" spans="1:14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691</v>
      </c>
      <c r="F108">
        <f>SUMIF(DATA!$A:$A,PPL!$A108,DATA!D:D)</f>
        <v>282</v>
      </c>
      <c r="G108">
        <f>SUMIF(DATA!$A:$A,PPL!$A108,DATA!E:E)</f>
        <v>128</v>
      </c>
      <c r="H108">
        <f>SUMIF(DATA!$A:$A,PPL!$A108,DATA!F:F)</f>
        <v>269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12</v>
      </c>
      <c r="L108">
        <f>SUMIF(DATA!$A:$A,PPL!$A108,DATA!J:J)</f>
        <v>0</v>
      </c>
      <c r="M108">
        <f t="shared" si="2"/>
        <v>294</v>
      </c>
      <c r="N108" s="3">
        <f t="shared" si="3"/>
        <v>42.547033285094066</v>
      </c>
    </row>
    <row r="109" spans="1:14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650</v>
      </c>
      <c r="F109">
        <f>SUMIF(DATA!$A:$A,PPL!$A109,DATA!D:D)</f>
        <v>270</v>
      </c>
      <c r="G109">
        <f>SUMIF(DATA!$A:$A,PPL!$A109,DATA!E:E)</f>
        <v>12</v>
      </c>
      <c r="H109">
        <f>SUMIF(DATA!$A:$A,PPL!$A109,DATA!F:F)</f>
        <v>359</v>
      </c>
      <c r="I109">
        <f>SUMIF(DATA!$A:$A,PPL!$A109,DATA!G:G)</f>
        <v>0</v>
      </c>
      <c r="J109">
        <f>SUMIF(DATA!$A:$A,PPL!$A109,DATA!H:H)</f>
        <v>1</v>
      </c>
      <c r="K109">
        <f>SUMIF(DATA!$A:$A,PPL!$A109,DATA!I:I)</f>
        <v>8</v>
      </c>
      <c r="L109">
        <f>SUMIF(DATA!$A:$A,PPL!$A109,DATA!J:J)</f>
        <v>0</v>
      </c>
      <c r="M109">
        <f t="shared" si="2"/>
        <v>279</v>
      </c>
      <c r="N109" s="3">
        <f t="shared" si="3"/>
        <v>42.923076923076927</v>
      </c>
    </row>
    <row r="110" spans="1:14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668</v>
      </c>
      <c r="F110">
        <f>SUMIF(DATA!$A:$A,PPL!$A110,DATA!D:D)</f>
        <v>287</v>
      </c>
      <c r="G110">
        <f>SUMIF(DATA!$A:$A,PPL!$A110,DATA!E:E)</f>
        <v>6</v>
      </c>
      <c r="H110">
        <f>SUMIF(DATA!$A:$A,PPL!$A110,DATA!F:F)</f>
        <v>373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289</v>
      </c>
      <c r="N110" s="3">
        <f t="shared" si="3"/>
        <v>43.263473053892213</v>
      </c>
    </row>
    <row r="111" spans="1:14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593</v>
      </c>
      <c r="F111">
        <f>SUMIF(DATA!$A:$A,PPL!$A111,DATA!D:D)</f>
        <v>291</v>
      </c>
      <c r="G111">
        <f>SUMIF(DATA!$A:$A,PPL!$A111,DATA!E:E)</f>
        <v>12</v>
      </c>
      <c r="H111">
        <f>SUMIF(DATA!$A:$A,PPL!$A111,DATA!F:F)</f>
        <v>289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292</v>
      </c>
      <c r="N111" s="3">
        <f t="shared" si="3"/>
        <v>49.24114671163575</v>
      </c>
    </row>
    <row r="112" spans="1:14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625</v>
      </c>
      <c r="F112">
        <f>SUMIF(DATA!$A:$A,PPL!$A112,DATA!D:D)</f>
        <v>329</v>
      </c>
      <c r="G112">
        <f>SUMIF(DATA!$A:$A,PPL!$A112,DATA!E:E)</f>
        <v>3</v>
      </c>
      <c r="H112">
        <f>SUMIF(DATA!$A:$A,PPL!$A112,DATA!F:F)</f>
        <v>293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329</v>
      </c>
      <c r="N112" s="3">
        <f t="shared" si="3"/>
        <v>52.64</v>
      </c>
    </row>
    <row r="113" spans="1:14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624</v>
      </c>
      <c r="F113">
        <f>SUMIF(DATA!$A:$A,PPL!$A113,DATA!D:D)</f>
        <v>265</v>
      </c>
      <c r="G113">
        <f>SUMIF(DATA!$A:$A,PPL!$A113,DATA!E:E)</f>
        <v>61</v>
      </c>
      <c r="H113">
        <f>SUMIF(DATA!$A:$A,PPL!$A113,DATA!F:F)</f>
        <v>295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0</v>
      </c>
      <c r="M113">
        <f t="shared" si="2"/>
        <v>268</v>
      </c>
      <c r="N113" s="3">
        <f t="shared" si="3"/>
        <v>42.948717948717949</v>
      </c>
    </row>
    <row r="114" spans="1:14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573</v>
      </c>
      <c r="F114">
        <f>SUMIF(DATA!$A:$A,PPL!$A114,DATA!D:D)</f>
        <v>247</v>
      </c>
      <c r="G114">
        <f>SUMIF(DATA!$A:$A,PPL!$A114,DATA!E:E)</f>
        <v>5</v>
      </c>
      <c r="H114">
        <f>SUMIF(DATA!$A:$A,PPL!$A114,DATA!F:F)</f>
        <v>321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247</v>
      </c>
      <c r="N114" s="3">
        <f t="shared" si="3"/>
        <v>43.106457242582898</v>
      </c>
    </row>
    <row r="115" spans="1:14" x14ac:dyDescent="0.25">
      <c r="A115" t="s">
        <v>119</v>
      </c>
      <c r="B115" t="s">
        <v>359</v>
      </c>
      <c r="C115" t="s">
        <v>178</v>
      </c>
      <c r="D115" t="str">
        <f>VLOOKUP(C115,PML!A:B,2,0)</f>
        <v>Rizky</v>
      </c>
      <c r="E115">
        <f>SUMIF(DATA!$A:$A,PPL!$A115,DATA!C:C)</f>
        <v>641</v>
      </c>
      <c r="F115">
        <f>SUMIF(DATA!$A:$A,PPL!$A115,DATA!D:D)</f>
        <v>269</v>
      </c>
      <c r="G115">
        <f>SUMIF(DATA!$A:$A,PPL!$A115,DATA!E:E)</f>
        <v>25</v>
      </c>
      <c r="H115">
        <f>SUMIF(DATA!$A:$A,PPL!$A115,DATA!F:F)</f>
        <v>344</v>
      </c>
      <c r="I115">
        <f>SUMIF(DATA!$A:$A,PPL!$A115,DATA!G:G)</f>
        <v>2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272</v>
      </c>
      <c r="N115" s="3">
        <f t="shared" si="3"/>
        <v>42.433697347893919</v>
      </c>
    </row>
    <row r="116" spans="1:14" x14ac:dyDescent="0.25">
      <c r="A116" t="s">
        <v>120</v>
      </c>
      <c r="B116" t="s">
        <v>360</v>
      </c>
      <c r="C116" t="s">
        <v>176</v>
      </c>
      <c r="D116" t="str">
        <f>VLOOKUP(C116,PML!A:B,2,0)</f>
        <v>Gabe</v>
      </c>
      <c r="E116">
        <f>SUMIF(DATA!$A:$A,PPL!$A116,DATA!C:C)</f>
        <v>686</v>
      </c>
      <c r="F116">
        <f>SUMIF(DATA!$A:$A,PPL!$A116,DATA!D:D)</f>
        <v>269</v>
      </c>
      <c r="G116">
        <f>SUMIF(DATA!$A:$A,PPL!$A116,DATA!E:E)</f>
        <v>15</v>
      </c>
      <c r="H116">
        <f>SUMIF(DATA!$A:$A,PPL!$A116,DATA!F:F)</f>
        <v>369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33</v>
      </c>
      <c r="L116">
        <f>SUMIF(DATA!$A:$A,PPL!$A116,DATA!J:J)</f>
        <v>0</v>
      </c>
      <c r="M116">
        <f t="shared" si="2"/>
        <v>302</v>
      </c>
      <c r="N116" s="3">
        <f t="shared" si="3"/>
        <v>44.023323615160351</v>
      </c>
    </row>
    <row r="117" spans="1:14" x14ac:dyDescent="0.25">
      <c r="A117" t="s">
        <v>121</v>
      </c>
      <c r="B117" t="s">
        <v>361</v>
      </c>
      <c r="C117" t="s">
        <v>176</v>
      </c>
      <c r="D117" t="str">
        <f>VLOOKUP(C117,PML!A:B,2,0)</f>
        <v>Gabe</v>
      </c>
      <c r="E117">
        <f>SUMIF(DATA!$A:$A,PPL!$A117,DATA!C:C)</f>
        <v>659</v>
      </c>
      <c r="F117">
        <f>SUMIF(DATA!$A:$A,PPL!$A117,DATA!D:D)</f>
        <v>276</v>
      </c>
      <c r="G117">
        <f>SUMIF(DATA!$A:$A,PPL!$A117,DATA!E:E)</f>
        <v>35</v>
      </c>
      <c r="H117">
        <f>SUMIF(DATA!$A:$A,PPL!$A117,DATA!F:F)</f>
        <v>323</v>
      </c>
      <c r="I117">
        <f>SUMIF(DATA!$A:$A,PPL!$A117,DATA!G:G)</f>
        <v>2</v>
      </c>
      <c r="J117">
        <f>SUMIF(DATA!$A:$A,PPL!$A117,DATA!H:H)</f>
        <v>1</v>
      </c>
      <c r="K117">
        <f>SUMIF(DATA!$A:$A,PPL!$A117,DATA!I:I)</f>
        <v>22</v>
      </c>
      <c r="L117">
        <f>SUMIF(DATA!$A:$A,PPL!$A117,DATA!J:J)</f>
        <v>0</v>
      </c>
      <c r="M117">
        <f t="shared" si="2"/>
        <v>301</v>
      </c>
      <c r="N117" s="3">
        <f t="shared" si="3"/>
        <v>45.675265553869501</v>
      </c>
    </row>
    <row r="118" spans="1:14" x14ac:dyDescent="0.25">
      <c r="A118" t="s">
        <v>122</v>
      </c>
      <c r="B118" t="s">
        <v>362</v>
      </c>
      <c r="C118" t="s">
        <v>176</v>
      </c>
      <c r="D118" t="str">
        <f>VLOOKUP(C118,PML!A:B,2,0)</f>
        <v>Gabe</v>
      </c>
      <c r="E118">
        <f>SUMIF(DATA!$A:$A,PPL!$A118,DATA!C:C)</f>
        <v>631</v>
      </c>
      <c r="F118">
        <f>SUMIF(DATA!$A:$A,PPL!$A118,DATA!D:D)</f>
        <v>251</v>
      </c>
      <c r="G118">
        <f>SUMIF(DATA!$A:$A,PPL!$A118,DATA!E:E)</f>
        <v>19</v>
      </c>
      <c r="H118">
        <f>SUMIF(DATA!$A:$A,PPL!$A118,DATA!F:F)</f>
        <v>350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11</v>
      </c>
      <c r="L118">
        <f>SUMIF(DATA!$A:$A,PPL!$A118,DATA!J:J)</f>
        <v>0</v>
      </c>
      <c r="M118">
        <f t="shared" si="2"/>
        <v>262</v>
      </c>
      <c r="N118" s="3">
        <f t="shared" si="3"/>
        <v>41.521394611727416</v>
      </c>
    </row>
    <row r="119" spans="1:14" x14ac:dyDescent="0.25">
      <c r="A119" t="s">
        <v>123</v>
      </c>
      <c r="B119" t="s">
        <v>363</v>
      </c>
      <c r="C119" t="s">
        <v>178</v>
      </c>
      <c r="D119" t="str">
        <f>VLOOKUP(C119,PML!A:B,2,0)</f>
        <v>Rizky</v>
      </c>
      <c r="E119">
        <f>SUMIF(DATA!$A:$A,PPL!$A119,DATA!C:C)</f>
        <v>635</v>
      </c>
      <c r="F119">
        <f>SUMIF(DATA!$A:$A,PPL!$A119,DATA!D:D)</f>
        <v>272</v>
      </c>
      <c r="G119">
        <f>SUMIF(DATA!$A:$A,PPL!$A119,DATA!E:E)</f>
        <v>9</v>
      </c>
      <c r="H119">
        <f>SUMIF(DATA!$A:$A,PPL!$A119,DATA!F:F)</f>
        <v>353</v>
      </c>
      <c r="I119">
        <f>SUMIF(DATA!$A:$A,PPL!$A119,DATA!G:G)</f>
        <v>1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273</v>
      </c>
      <c r="N119" s="3">
        <f t="shared" si="3"/>
        <v>42.992125984251963</v>
      </c>
    </row>
    <row r="120" spans="1:14" x14ac:dyDescent="0.25">
      <c r="A120" t="s">
        <v>124</v>
      </c>
      <c r="B120" t="s">
        <v>364</v>
      </c>
      <c r="C120" t="s">
        <v>177</v>
      </c>
      <c r="D120" t="str">
        <f>VLOOKUP(C120,PML!A:B,2,0)</f>
        <v>Neivrid</v>
      </c>
      <c r="E120">
        <f>SUMIF(DATA!$A:$A,PPL!$A120,DATA!C:C)</f>
        <v>643</v>
      </c>
      <c r="F120">
        <f>SUMIF(DATA!$A:$A,PPL!$A120,DATA!D:D)</f>
        <v>407</v>
      </c>
      <c r="G120">
        <f>SUMIF(DATA!$A:$A,PPL!$A120,DATA!E:E)</f>
        <v>35</v>
      </c>
      <c r="H120">
        <f>SUMIF(DATA!$A:$A,PPL!$A120,DATA!F:F)</f>
        <v>199</v>
      </c>
      <c r="I120">
        <f>SUMIF(DATA!$A:$A,PPL!$A120,DATA!G:G)</f>
        <v>0</v>
      </c>
      <c r="J120">
        <f>SUMIF(DATA!$A:$A,PPL!$A120,DATA!H:H)</f>
        <v>0</v>
      </c>
      <c r="K120">
        <f>SUMIF(DATA!$A:$A,PPL!$A120,DATA!I:I)</f>
        <v>2</v>
      </c>
      <c r="L120">
        <f>SUMIF(DATA!$A:$A,PPL!$A120,DATA!J:J)</f>
        <v>0</v>
      </c>
      <c r="M120">
        <f t="shared" si="2"/>
        <v>409</v>
      </c>
      <c r="N120" s="3">
        <f t="shared" si="3"/>
        <v>63.60808709175739</v>
      </c>
    </row>
    <row r="121" spans="1:14" x14ac:dyDescent="0.25">
      <c r="A121" t="s">
        <v>125</v>
      </c>
      <c r="B121" t="s">
        <v>365</v>
      </c>
      <c r="C121" t="s">
        <v>177</v>
      </c>
      <c r="D121" t="str">
        <f>VLOOKUP(C121,PML!A:B,2,0)</f>
        <v>Neivrid</v>
      </c>
      <c r="E121">
        <f>SUMIF(DATA!$A:$A,PPL!$A121,DATA!C:C)</f>
        <v>684</v>
      </c>
      <c r="F121">
        <f>SUMIF(DATA!$A:$A,PPL!$A121,DATA!D:D)</f>
        <v>335</v>
      </c>
      <c r="G121">
        <f>SUMIF(DATA!$A:$A,PPL!$A121,DATA!E:E)</f>
        <v>29</v>
      </c>
      <c r="H121">
        <f>SUMIF(DATA!$A:$A,PPL!$A121,DATA!F:F)</f>
        <v>306</v>
      </c>
      <c r="I121">
        <f>SUMIF(DATA!$A:$A,PPL!$A121,DATA!G:G)</f>
        <v>5</v>
      </c>
      <c r="J121">
        <f>SUMIF(DATA!$A:$A,PPL!$A121,DATA!H:H)</f>
        <v>0</v>
      </c>
      <c r="K121">
        <f>SUMIF(DATA!$A:$A,PPL!$A121,DATA!I:I)</f>
        <v>9</v>
      </c>
      <c r="L121">
        <f>SUMIF(DATA!$A:$A,PPL!$A121,DATA!J:J)</f>
        <v>0</v>
      </c>
      <c r="M121">
        <f t="shared" si="2"/>
        <v>349</v>
      </c>
      <c r="N121" s="3">
        <f t="shared" si="3"/>
        <v>51.023391812865491</v>
      </c>
    </row>
    <row r="122" spans="1:14" x14ac:dyDescent="0.25">
      <c r="A122" t="s">
        <v>126</v>
      </c>
      <c r="B122" t="s">
        <v>366</v>
      </c>
      <c r="C122" t="s">
        <v>177</v>
      </c>
      <c r="D122" t="str">
        <f>VLOOKUP(C122,PML!A:B,2,0)</f>
        <v>Neivrid</v>
      </c>
      <c r="E122">
        <f>SUMIF(DATA!$A:$A,PPL!$A122,DATA!C:C)</f>
        <v>658</v>
      </c>
      <c r="F122">
        <f>SUMIF(DATA!$A:$A,PPL!$A122,DATA!D:D)</f>
        <v>272</v>
      </c>
      <c r="G122">
        <f>SUMIF(DATA!$A:$A,PPL!$A122,DATA!E:E)</f>
        <v>11</v>
      </c>
      <c r="H122">
        <f>SUMIF(DATA!$A:$A,PPL!$A122,DATA!F:F)</f>
        <v>367</v>
      </c>
      <c r="I122">
        <f>SUMIF(DATA!$A:$A,PPL!$A122,DATA!G:G)</f>
        <v>1</v>
      </c>
      <c r="J122">
        <f>SUMIF(DATA!$A:$A,PPL!$A122,DATA!H:H)</f>
        <v>1</v>
      </c>
      <c r="K122">
        <f>SUMIF(DATA!$A:$A,PPL!$A122,DATA!I:I)</f>
        <v>6</v>
      </c>
      <c r="L122">
        <f>SUMIF(DATA!$A:$A,PPL!$A122,DATA!J:J)</f>
        <v>0</v>
      </c>
      <c r="M122">
        <f t="shared" si="2"/>
        <v>280</v>
      </c>
      <c r="N122" s="3">
        <f t="shared" si="3"/>
        <v>42.553191489361701</v>
      </c>
    </row>
    <row r="123" spans="1:14" x14ac:dyDescent="0.25">
      <c r="A123" t="s">
        <v>127</v>
      </c>
      <c r="B123" t="s">
        <v>367</v>
      </c>
      <c r="C123" t="s">
        <v>177</v>
      </c>
      <c r="D123" t="str">
        <f>VLOOKUP(C123,PML!A:B,2,0)</f>
        <v>Neivrid</v>
      </c>
      <c r="E123">
        <f>SUMIF(DATA!$A:$A,PPL!$A123,DATA!C:C)</f>
        <v>614</v>
      </c>
      <c r="F123">
        <f>SUMIF(DATA!$A:$A,PPL!$A123,DATA!D:D)</f>
        <v>286</v>
      </c>
      <c r="G123">
        <f>SUMIF(DATA!$A:$A,PPL!$A123,DATA!E:E)</f>
        <v>10</v>
      </c>
      <c r="H123">
        <f>SUMIF(DATA!$A:$A,PPL!$A123,DATA!F:F)</f>
        <v>312</v>
      </c>
      <c r="I123">
        <f>SUMIF(DATA!$A:$A,PPL!$A123,DATA!G:G)</f>
        <v>4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0</v>
      </c>
      <c r="M123">
        <f t="shared" si="2"/>
        <v>292</v>
      </c>
      <c r="N123" s="3">
        <f t="shared" si="3"/>
        <v>47.557003257328986</v>
      </c>
    </row>
    <row r="124" spans="1:14" x14ac:dyDescent="0.25">
      <c r="A124" t="s">
        <v>128</v>
      </c>
      <c r="B124" t="s">
        <v>368</v>
      </c>
      <c r="C124" t="s">
        <v>177</v>
      </c>
      <c r="D124" t="str">
        <f>VLOOKUP(C124,PML!A:B,2,0)</f>
        <v>Neivrid</v>
      </c>
      <c r="E124">
        <f>SUMIF(DATA!$A:$A,PPL!$A124,DATA!C:C)</f>
        <v>623</v>
      </c>
      <c r="F124">
        <f>SUMIF(DATA!$A:$A,PPL!$A124,DATA!D:D)</f>
        <v>254</v>
      </c>
      <c r="G124">
        <f>SUMIF(DATA!$A:$A,PPL!$A124,DATA!E:E)</f>
        <v>50</v>
      </c>
      <c r="H124">
        <f>SUMIF(DATA!$A:$A,PPL!$A124,DATA!F:F)</f>
        <v>315</v>
      </c>
      <c r="I124">
        <f>SUMIF(DATA!$A:$A,PPL!$A124,DATA!G:G)</f>
        <v>0</v>
      </c>
      <c r="J124">
        <f>SUMIF(DATA!$A:$A,PPL!$A124,DATA!H:H)</f>
        <v>4</v>
      </c>
      <c r="K124">
        <f>SUMIF(DATA!$A:$A,PPL!$A124,DATA!I:I)</f>
        <v>0</v>
      </c>
      <c r="L124">
        <f>SUMIF(DATA!$A:$A,PPL!$A124,DATA!J:J)</f>
        <v>0</v>
      </c>
      <c r="M124">
        <f t="shared" si="2"/>
        <v>258</v>
      </c>
      <c r="N124" s="3">
        <f t="shared" si="3"/>
        <v>41.412520064205452</v>
      </c>
    </row>
    <row r="125" spans="1:14" x14ac:dyDescent="0.25">
      <c r="A125" t="s">
        <v>129</v>
      </c>
      <c r="B125" t="s">
        <v>369</v>
      </c>
      <c r="C125" t="s">
        <v>177</v>
      </c>
      <c r="D125" t="str">
        <f>VLOOKUP(C125,PML!A:B,2,0)</f>
        <v>Neivrid</v>
      </c>
      <c r="E125">
        <f>SUMIF(DATA!$A:$A,PPL!$A125,DATA!C:C)</f>
        <v>623</v>
      </c>
      <c r="F125">
        <f>SUMIF(DATA!$A:$A,PPL!$A125,DATA!D:D)</f>
        <v>244</v>
      </c>
      <c r="G125">
        <f>SUMIF(DATA!$A:$A,PPL!$A125,DATA!E:E)</f>
        <v>19</v>
      </c>
      <c r="H125">
        <f>SUMIF(DATA!$A:$A,PPL!$A125,DATA!F:F)</f>
        <v>351</v>
      </c>
      <c r="I125">
        <f>SUMIF(DATA!$A:$A,PPL!$A125,DATA!G:G)</f>
        <v>8</v>
      </c>
      <c r="J125">
        <f>SUMIF(DATA!$A:$A,PPL!$A125,DATA!H:H)</f>
        <v>1</v>
      </c>
      <c r="K125">
        <f>SUMIF(DATA!$A:$A,PPL!$A125,DATA!I:I)</f>
        <v>0</v>
      </c>
      <c r="L125">
        <f>SUMIF(DATA!$A:$A,PPL!$A125,DATA!J:J)</f>
        <v>0</v>
      </c>
      <c r="M125">
        <f t="shared" si="2"/>
        <v>253</v>
      </c>
      <c r="N125" s="3">
        <f t="shared" si="3"/>
        <v>40.609951845906899</v>
      </c>
    </row>
    <row r="126" spans="1:14" x14ac:dyDescent="0.25">
      <c r="A126" t="s">
        <v>130</v>
      </c>
      <c r="B126" t="s">
        <v>370</v>
      </c>
      <c r="C126" t="s">
        <v>179</v>
      </c>
      <c r="D126" t="str">
        <f>VLOOKUP(C126,PML!A:B,2,0)</f>
        <v>Saul</v>
      </c>
      <c r="E126">
        <f>SUMIF(DATA!$A:$A,PPL!$A126,DATA!C:C)</f>
        <v>621</v>
      </c>
      <c r="F126">
        <f>SUMIF(DATA!$A:$A,PPL!$A126,DATA!D:D)</f>
        <v>119</v>
      </c>
      <c r="G126">
        <f>SUMIF(DATA!$A:$A,PPL!$A126,DATA!E:E)</f>
        <v>28</v>
      </c>
      <c r="H126">
        <f>SUMIF(DATA!$A:$A,PPL!$A126,DATA!F:F)</f>
        <v>469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4</v>
      </c>
      <c r="L126">
        <f>SUMIF(DATA!$A:$A,PPL!$A126,DATA!J:J)</f>
        <v>0</v>
      </c>
      <c r="M126">
        <f t="shared" si="2"/>
        <v>124</v>
      </c>
      <c r="N126" s="3">
        <f t="shared" si="3"/>
        <v>19.967793880837359</v>
      </c>
    </row>
    <row r="127" spans="1:14" x14ac:dyDescent="0.25">
      <c r="A127" t="s">
        <v>131</v>
      </c>
      <c r="B127" t="s">
        <v>371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272</v>
      </c>
      <c r="G127">
        <f>SUMIF(DATA!$A:$A,PPL!$A127,DATA!E:E)</f>
        <v>5</v>
      </c>
      <c r="H127">
        <f>SUMIF(DATA!$A:$A,PPL!$A127,DATA!F:F)</f>
        <v>364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273</v>
      </c>
      <c r="N127" s="3">
        <f t="shared" si="3"/>
        <v>42.523364485981304</v>
      </c>
    </row>
    <row r="128" spans="1:14" x14ac:dyDescent="0.25">
      <c r="A128" t="s">
        <v>132</v>
      </c>
      <c r="B128" t="s">
        <v>372</v>
      </c>
      <c r="C128" t="s">
        <v>180</v>
      </c>
      <c r="D128" t="str">
        <f>VLOOKUP(C128,PML!A:B,2,0)</f>
        <v>Alfian</v>
      </c>
      <c r="E128">
        <f>SUMIF(DATA!$A:$A,PPL!$A128,DATA!C:C)</f>
        <v>627</v>
      </c>
      <c r="F128">
        <f>SUMIF(DATA!$A:$A,PPL!$A128,DATA!D:D)</f>
        <v>251</v>
      </c>
      <c r="G128">
        <f>SUMIF(DATA!$A:$A,PPL!$A128,DATA!E:E)</f>
        <v>32</v>
      </c>
      <c r="H128">
        <f>SUMIF(DATA!$A:$A,PPL!$A128,DATA!F:F)</f>
        <v>343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</v>
      </c>
      <c r="L128">
        <f>SUMIF(DATA!$A:$A,PPL!$A128,DATA!J:J)</f>
        <v>0</v>
      </c>
      <c r="M128">
        <f t="shared" si="2"/>
        <v>252</v>
      </c>
      <c r="N128" s="3">
        <f t="shared" si="3"/>
        <v>40.191387559808611</v>
      </c>
    </row>
    <row r="129" spans="1:14" x14ac:dyDescent="0.25">
      <c r="A129" t="s">
        <v>133</v>
      </c>
      <c r="B129" t="s">
        <v>373</v>
      </c>
      <c r="C129" t="s">
        <v>180</v>
      </c>
      <c r="D129" t="str">
        <f>VLOOKUP(C129,PML!A:B,2,0)</f>
        <v>Alfian</v>
      </c>
      <c r="E129">
        <f>SUMIF(DATA!$A:$A,PPL!$A129,DATA!C:C)</f>
        <v>631</v>
      </c>
      <c r="F129">
        <f>SUMIF(DATA!$A:$A,PPL!$A129,DATA!D:D)</f>
        <v>259</v>
      </c>
      <c r="G129">
        <f>SUMIF(DATA!$A:$A,PPL!$A129,DATA!E:E)</f>
        <v>1</v>
      </c>
      <c r="H129">
        <f>SUMIF(DATA!$A:$A,PPL!$A129,DATA!F:F)</f>
        <v>368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0</v>
      </c>
      <c r="L129">
        <f>SUMIF(DATA!$A:$A,PPL!$A129,DATA!J:J)</f>
        <v>1</v>
      </c>
      <c r="M129">
        <f t="shared" si="2"/>
        <v>262</v>
      </c>
      <c r="N129" s="3">
        <f t="shared" si="3"/>
        <v>41.521394611727416</v>
      </c>
    </row>
    <row r="130" spans="1:14" x14ac:dyDescent="0.25">
      <c r="A130" t="s">
        <v>134</v>
      </c>
      <c r="B130" t="s">
        <v>374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267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</row>
    <row r="131" spans="1:14" x14ac:dyDescent="0.25">
      <c r="A131" t="s">
        <v>136</v>
      </c>
      <c r="B131" t="s">
        <v>375</v>
      </c>
      <c r="C131" t="s">
        <v>180</v>
      </c>
      <c r="D131" t="str">
        <f>VLOOKUP(C131,PML!A:B,2,0)</f>
        <v>Alfian</v>
      </c>
      <c r="E131">
        <f>SUMIF(DATA!$A:$A,PPL!$A131,DATA!C:C)</f>
        <v>620</v>
      </c>
      <c r="F131">
        <f>SUMIF(DATA!$A:$A,PPL!$A131,DATA!D:D)</f>
        <v>260</v>
      </c>
      <c r="G131">
        <f>SUMIF(DATA!$A:$A,PPL!$A131,DATA!E:E)</f>
        <v>7</v>
      </c>
      <c r="H131">
        <f>SUMIF(DATA!$A:$A,PPL!$A131,DATA!F:F)</f>
        <v>353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0</v>
      </c>
      <c r="L131">
        <f>SUMIF(DATA!$A:$A,PPL!$A131,DATA!J:J)</f>
        <v>0</v>
      </c>
      <c r="M131">
        <f t="shared" ref="M131:M139" si="4">F131+I131+J131+K131+L131</f>
        <v>260</v>
      </c>
      <c r="N131" s="3">
        <f t="shared" ref="N131:N139" si="5">(M131/E131)*100</f>
        <v>41.935483870967744</v>
      </c>
    </row>
    <row r="132" spans="1:14" x14ac:dyDescent="0.25">
      <c r="A132" t="s">
        <v>137</v>
      </c>
      <c r="B132" t="s">
        <v>376</v>
      </c>
      <c r="C132" t="s">
        <v>179</v>
      </c>
      <c r="D132" t="str">
        <f>VLOOKUP(C132,PML!A:B,2,0)</f>
        <v>Saul</v>
      </c>
      <c r="E132">
        <f>SUMIF(DATA!$A:$A,PPL!$A132,DATA!C:C)</f>
        <v>668</v>
      </c>
      <c r="F132">
        <f>SUMIF(DATA!$A:$A,PPL!$A132,DATA!D:D)</f>
        <v>282</v>
      </c>
      <c r="G132">
        <f>SUMIF(DATA!$A:$A,PPL!$A132,DATA!E:E)</f>
        <v>9</v>
      </c>
      <c r="H132">
        <f>SUMIF(DATA!$A:$A,PPL!$A132,DATA!F:F)</f>
        <v>374</v>
      </c>
      <c r="I132">
        <f>SUMIF(DATA!$A:$A,PPL!$A132,DATA!G:G)</f>
        <v>1</v>
      </c>
      <c r="J132">
        <f>SUMIF(DATA!$A:$A,PPL!$A132,DATA!H:H)</f>
        <v>2</v>
      </c>
      <c r="K132">
        <f>SUMIF(DATA!$A:$A,PPL!$A132,DATA!I:I)</f>
        <v>0</v>
      </c>
      <c r="L132">
        <f>SUMIF(DATA!$A:$A,PPL!$A132,DATA!J:J)</f>
        <v>0</v>
      </c>
      <c r="M132">
        <f t="shared" si="4"/>
        <v>285</v>
      </c>
      <c r="N132" s="3">
        <f t="shared" si="5"/>
        <v>42.664670658682638</v>
      </c>
    </row>
    <row r="133" spans="1:14" x14ac:dyDescent="0.25">
      <c r="A133" t="s">
        <v>138</v>
      </c>
      <c r="B133" t="s">
        <v>377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230</v>
      </c>
      <c r="G133">
        <f>SUMIF(DATA!$A:$A,PPL!$A133,DATA!E:E)</f>
        <v>14</v>
      </c>
      <c r="H133">
        <f>SUMIF(DATA!$A:$A,PPL!$A133,DATA!F:F)</f>
        <v>384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3</v>
      </c>
      <c r="L133">
        <f>SUMIF(DATA!$A:$A,PPL!$A133,DATA!J:J)</f>
        <v>0</v>
      </c>
      <c r="M133">
        <f t="shared" si="4"/>
        <v>237</v>
      </c>
      <c r="N133" s="3">
        <f t="shared" si="5"/>
        <v>37.322834645669289</v>
      </c>
    </row>
    <row r="134" spans="1:14" x14ac:dyDescent="0.25">
      <c r="A134" t="s">
        <v>139</v>
      </c>
      <c r="B134" t="s">
        <v>378</v>
      </c>
      <c r="C134" t="s">
        <v>179</v>
      </c>
      <c r="D134" t="str">
        <f>VLOOKUP(C134,PML!A:B,2,0)</f>
        <v>Saul</v>
      </c>
      <c r="E134">
        <f>SUMIF(DATA!$A:$A,PPL!$A134,DATA!C:C)</f>
        <v>541</v>
      </c>
      <c r="F134">
        <f>SUMIF(DATA!$A:$A,PPL!$A134,DATA!D:D)</f>
        <v>164</v>
      </c>
      <c r="G134">
        <f>SUMIF(DATA!$A:$A,PPL!$A134,DATA!E:E)</f>
        <v>28</v>
      </c>
      <c r="H134">
        <f>SUMIF(DATA!$A:$A,PPL!$A134,DATA!F:F)</f>
        <v>342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7</v>
      </c>
      <c r="L134">
        <f>SUMIF(DATA!$A:$A,PPL!$A134,DATA!J:J)</f>
        <v>0</v>
      </c>
      <c r="M134">
        <f t="shared" si="4"/>
        <v>171</v>
      </c>
      <c r="N134" s="3">
        <f t="shared" si="5"/>
        <v>31.608133086876155</v>
      </c>
    </row>
    <row r="135" spans="1:14" x14ac:dyDescent="0.25">
      <c r="A135" t="s">
        <v>140</v>
      </c>
      <c r="B135" t="s">
        <v>379</v>
      </c>
      <c r="C135" t="s">
        <v>179</v>
      </c>
      <c r="D135" t="str">
        <f>VLOOKUP(C135,PML!A:B,2,0)</f>
        <v>Saul</v>
      </c>
      <c r="E135">
        <f>SUMIF(DATA!$A:$A,PPL!$A135,DATA!C:C)</f>
        <v>640</v>
      </c>
      <c r="F135">
        <f>SUMIF(DATA!$A:$A,PPL!$A135,DATA!D:D)</f>
        <v>311</v>
      </c>
      <c r="G135">
        <f>SUMIF(DATA!$A:$A,PPL!$A135,DATA!E:E)</f>
        <v>13</v>
      </c>
      <c r="H135">
        <f>SUMIF(DATA!$A:$A,PPL!$A135,DATA!F:F)</f>
        <v>311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5</v>
      </c>
      <c r="L135">
        <f>SUMIF(DATA!$A:$A,PPL!$A135,DATA!J:J)</f>
        <v>0</v>
      </c>
      <c r="M135">
        <f t="shared" si="4"/>
        <v>316</v>
      </c>
      <c r="N135" s="3">
        <f t="shared" si="5"/>
        <v>49.375</v>
      </c>
    </row>
    <row r="136" spans="1:14" x14ac:dyDescent="0.25">
      <c r="A136" t="s">
        <v>141</v>
      </c>
      <c r="B136" t="s">
        <v>380</v>
      </c>
      <c r="C136" t="s">
        <v>179</v>
      </c>
      <c r="D136" t="str">
        <f>VLOOKUP(C136,PML!A:B,2,0)</f>
        <v>Saul</v>
      </c>
      <c r="E136">
        <f>SUMIF(DATA!$A:$A,PPL!$A136,DATA!C:C)</f>
        <v>623</v>
      </c>
      <c r="F136">
        <f>SUMIF(DATA!$A:$A,PPL!$A136,DATA!D:D)</f>
        <v>276</v>
      </c>
      <c r="G136">
        <f>SUMIF(DATA!$A:$A,PPL!$A136,DATA!E:E)</f>
        <v>77</v>
      </c>
      <c r="H136">
        <f>SUMIF(DATA!$A:$A,PPL!$A136,DATA!F:F)</f>
        <v>238</v>
      </c>
      <c r="I136">
        <f>SUMIF(DATA!$A:$A,PPL!$A136,DATA!G:G)</f>
        <v>25</v>
      </c>
      <c r="J136">
        <f>SUMIF(DATA!$A:$A,PPL!$A136,DATA!H:H)</f>
        <v>0</v>
      </c>
      <c r="K136">
        <f>SUMIF(DATA!$A:$A,PPL!$A136,DATA!I:I)</f>
        <v>7</v>
      </c>
      <c r="L136">
        <f>SUMIF(DATA!$A:$A,PPL!$A136,DATA!J:J)</f>
        <v>0</v>
      </c>
      <c r="M136">
        <f t="shared" si="4"/>
        <v>308</v>
      </c>
      <c r="N136" s="3">
        <f t="shared" si="5"/>
        <v>49.438202247191008</v>
      </c>
    </row>
    <row r="137" spans="1:14" x14ac:dyDescent="0.25">
      <c r="A137" t="s">
        <v>142</v>
      </c>
      <c r="B137" t="s">
        <v>381</v>
      </c>
      <c r="C137" t="s">
        <v>179</v>
      </c>
      <c r="D137" t="str">
        <f>VLOOKUP(C137,PML!A:B,2,0)</f>
        <v>Saul</v>
      </c>
      <c r="E137">
        <f>SUMIF(DATA!$A:$A,PPL!$A137,DATA!C:C)</f>
        <v>712</v>
      </c>
      <c r="F137">
        <f>SUMIF(DATA!$A:$A,PPL!$A137,DATA!D:D)</f>
        <v>296</v>
      </c>
      <c r="G137">
        <f>SUMIF(DATA!$A:$A,PPL!$A137,DATA!E:E)</f>
        <v>17</v>
      </c>
      <c r="H137">
        <f>SUMIF(DATA!$A:$A,PPL!$A137,DATA!F:F)</f>
        <v>390</v>
      </c>
      <c r="I137">
        <f>SUMIF(DATA!$A:$A,PPL!$A137,DATA!G:G)</f>
        <v>6</v>
      </c>
      <c r="J137">
        <f>SUMIF(DATA!$A:$A,PPL!$A137,DATA!H:H)</f>
        <v>0</v>
      </c>
      <c r="K137">
        <f>SUMIF(DATA!$A:$A,PPL!$A137,DATA!I:I)</f>
        <v>3</v>
      </c>
      <c r="L137">
        <f>SUMIF(DATA!$A:$A,PPL!$A137,DATA!J:J)</f>
        <v>0</v>
      </c>
      <c r="M137">
        <f t="shared" si="4"/>
        <v>305</v>
      </c>
      <c r="N137" s="3">
        <f t="shared" si="5"/>
        <v>42.837078651685395</v>
      </c>
    </row>
    <row r="138" spans="1:14" x14ac:dyDescent="0.25">
      <c r="A138" t="s">
        <v>388</v>
      </c>
      <c r="B138" t="s">
        <v>391</v>
      </c>
      <c r="C138" t="s">
        <v>170</v>
      </c>
      <c r="D138" t="str">
        <f>VLOOKUP(C138,PML!A:B,2,0)</f>
        <v>Iska</v>
      </c>
      <c r="E138">
        <f>SUMIF(DATA!$A:$A,PPL!$A138,DATA!C:C)</f>
        <v>739</v>
      </c>
      <c r="F138">
        <f>SUMIF(DATA!$A:$A,PPL!$A138,DATA!D:D)</f>
        <v>254</v>
      </c>
      <c r="G138">
        <f>SUMIF(DATA!$A:$A,PPL!$A138,DATA!E:E)</f>
        <v>10</v>
      </c>
      <c r="H138">
        <f>SUMIF(DATA!$A:$A,PPL!$A138,DATA!F:F)</f>
        <v>475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0</v>
      </c>
      <c r="L138">
        <f>SUMIF(DATA!$A:$A,PPL!$A138,DATA!J:J)</f>
        <v>0</v>
      </c>
      <c r="M138">
        <f t="shared" si="4"/>
        <v>254</v>
      </c>
      <c r="N138" s="3">
        <f t="shared" si="5"/>
        <v>34.370771312584573</v>
      </c>
    </row>
    <row r="139" spans="1:14" x14ac:dyDescent="0.25">
      <c r="A139" t="s">
        <v>389</v>
      </c>
      <c r="B139" t="s">
        <v>390</v>
      </c>
      <c r="C139" t="s">
        <v>180</v>
      </c>
      <c r="D139" t="str">
        <f>VLOOKUP(C139,PML!A:B,2,0)</f>
        <v>Alfian</v>
      </c>
      <c r="E139">
        <f>SUMIF(DATA!$A:$A,PPL!$A139,DATA!C:C)</f>
        <v>821</v>
      </c>
      <c r="F139">
        <f>SUMIF(DATA!$A:$A,PPL!$A139,DATA!D:D)</f>
        <v>353</v>
      </c>
      <c r="G139">
        <f>SUMIF(DATA!$A:$A,PPL!$A139,DATA!E:E)</f>
        <v>26</v>
      </c>
      <c r="H139">
        <f>SUMIF(DATA!$A:$A,PPL!$A139,DATA!F:F)</f>
        <v>434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7</v>
      </c>
      <c r="L139">
        <f>SUMIF(DATA!$A:$A,PPL!$A139,DATA!J:J)</f>
        <v>0</v>
      </c>
      <c r="M139">
        <f t="shared" si="4"/>
        <v>361</v>
      </c>
      <c r="N139" s="3">
        <f t="shared" si="5"/>
        <v>43.970767356881851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382</v>
      </c>
      <c r="L1" t="s">
        <v>397</v>
      </c>
    </row>
    <row r="2" spans="1:12" x14ac:dyDescent="0.25">
      <c r="A2" t="s">
        <v>162</v>
      </c>
      <c r="B2" t="s">
        <v>198</v>
      </c>
      <c r="C2">
        <f>SUMIF(PPL!$C:$C,PML!$A2,PPL!E:E)</f>
        <v>4531</v>
      </c>
      <c r="D2">
        <f>SUMIF(PPL!$C:$C,PML!$A2,PPL!F:F)</f>
        <v>2043</v>
      </c>
      <c r="E2">
        <f>SUMIF(PPL!$C:$C,PML!$A2,PPL!G:G)</f>
        <v>37</v>
      </c>
      <c r="F2">
        <f>SUMIF(PPL!$C:$C,PML!$A2,PPL!H:H)</f>
        <v>2341</v>
      </c>
      <c r="G2">
        <f>SUMIF(PPL!$C:$C,PML!$A2,PPL!I:I)</f>
        <v>2</v>
      </c>
      <c r="H2">
        <f>SUMIF(PPL!$C:$C,PML!$A2,PPL!J:J)</f>
        <v>0</v>
      </c>
      <c r="I2">
        <f>SUMIF(PPL!$C:$C,PML!$A2,PPL!K:K)</f>
        <v>108</v>
      </c>
      <c r="J2">
        <f>SUMIF(PPL!$C:$C,PML!$A2,PPL!L:L)</f>
        <v>0</v>
      </c>
      <c r="K2">
        <f>D2</f>
        <v>2043</v>
      </c>
      <c r="L2" s="3">
        <f>(SUM(D2)/C2)*100</f>
        <v>45.089384241889206</v>
      </c>
    </row>
    <row r="3" spans="1:12" x14ac:dyDescent="0.25">
      <c r="A3" t="s">
        <v>163</v>
      </c>
      <c r="B3" t="s">
        <v>187</v>
      </c>
      <c r="C3">
        <f>SUMIF(PPL!$C:$C,PML!$A3,PPL!E:E)</f>
        <v>4491</v>
      </c>
      <c r="D3">
        <f>SUMIF(PPL!$C:$C,PML!$A3,PPL!F:F)</f>
        <v>2262</v>
      </c>
      <c r="E3">
        <f>SUMIF(PPL!$C:$C,PML!$A3,PPL!G:G)</f>
        <v>34</v>
      </c>
      <c r="F3">
        <f>SUMIF(PPL!$C:$C,PML!$A3,PPL!H:H)</f>
        <v>2194</v>
      </c>
      <c r="G3">
        <f>SUMIF(PPL!$C:$C,PML!$A3,PPL!I:I)</f>
        <v>0</v>
      </c>
      <c r="H3">
        <f>SUMIF(PPL!$C:$C,PML!$A3,PPL!J:J)</f>
        <v>1</v>
      </c>
      <c r="I3">
        <f>SUMIF(PPL!$C:$C,PML!$A3,PPL!K:K)</f>
        <v>0</v>
      </c>
      <c r="J3">
        <f>SUMIF(PPL!$C:$C,PML!$A3,PPL!L:L)</f>
        <v>0</v>
      </c>
      <c r="K3">
        <f t="shared" ref="K3:K20" si="0">D3</f>
        <v>2262</v>
      </c>
      <c r="L3" s="3">
        <f t="shared" ref="L3:L20" si="1">(SUM(D3)/C3)*100</f>
        <v>50.36740146960588</v>
      </c>
    </row>
    <row r="4" spans="1:12" x14ac:dyDescent="0.25">
      <c r="A4" t="s">
        <v>164</v>
      </c>
      <c r="B4" t="s">
        <v>190</v>
      </c>
      <c r="C4">
        <f>SUMIF(PPL!$C:$C,PML!$A4,PPL!E:E)</f>
        <v>4682</v>
      </c>
      <c r="D4">
        <f>SUMIF(PPL!$C:$C,PML!$A4,PPL!F:F)</f>
        <v>2134</v>
      </c>
      <c r="E4">
        <f>SUMIF(PPL!$C:$C,PML!$A4,PPL!G:G)</f>
        <v>62</v>
      </c>
      <c r="F4">
        <f>SUMIF(PPL!$C:$C,PML!$A4,PPL!H:H)</f>
        <v>2462</v>
      </c>
      <c r="G4">
        <f>SUMIF(PPL!$C:$C,PML!$A4,PPL!I:I)</f>
        <v>15</v>
      </c>
      <c r="H4">
        <f>SUMIF(PPL!$C:$C,PML!$A4,PPL!J:J)</f>
        <v>0</v>
      </c>
      <c r="I4">
        <f>SUMIF(PPL!$C:$C,PML!$A4,PPL!K:K)</f>
        <v>8</v>
      </c>
      <c r="J4">
        <f>SUMIF(PPL!$C:$C,PML!$A4,PPL!L:L)</f>
        <v>1</v>
      </c>
      <c r="K4">
        <f t="shared" si="0"/>
        <v>2134</v>
      </c>
      <c r="L4" s="3">
        <f t="shared" si="1"/>
        <v>45.578812473302008</v>
      </c>
    </row>
    <row r="5" spans="1:12" x14ac:dyDescent="0.25">
      <c r="A5" t="s">
        <v>165</v>
      </c>
      <c r="B5" t="s">
        <v>181</v>
      </c>
      <c r="C5">
        <f>SUMIF(PPL!$C:$C,PML!$A5,PPL!E:E)</f>
        <v>5567</v>
      </c>
      <c r="D5">
        <f>SUMIF(PPL!$C:$C,PML!$A5,PPL!F:F)</f>
        <v>1380</v>
      </c>
      <c r="E5">
        <f>SUMIF(PPL!$C:$C,PML!$A5,PPL!G:G)</f>
        <v>416</v>
      </c>
      <c r="F5">
        <f>SUMIF(PPL!$C:$C,PML!$A5,PPL!H:H)</f>
        <v>3024</v>
      </c>
      <c r="G5">
        <f>SUMIF(PPL!$C:$C,PML!$A5,PPL!I:I)</f>
        <v>134</v>
      </c>
      <c r="H5">
        <f>SUMIF(PPL!$C:$C,PML!$A5,PPL!J:J)</f>
        <v>24</v>
      </c>
      <c r="I5">
        <f>SUMIF(PPL!$C:$C,PML!$A5,PPL!K:K)</f>
        <v>589</v>
      </c>
      <c r="J5">
        <f>SUMIF(PPL!$C:$C,PML!$A5,PPL!L:L)</f>
        <v>0</v>
      </c>
      <c r="K5">
        <f t="shared" si="0"/>
        <v>1380</v>
      </c>
      <c r="L5" s="3">
        <f t="shared" si="1"/>
        <v>24.788934794323694</v>
      </c>
    </row>
    <row r="6" spans="1:12" x14ac:dyDescent="0.25">
      <c r="A6" t="s">
        <v>166</v>
      </c>
      <c r="B6" t="s">
        <v>189</v>
      </c>
      <c r="C6">
        <f>SUMIF(PPL!$C:$C,PML!$A6,PPL!E:E)</f>
        <v>4976</v>
      </c>
      <c r="D6">
        <f>SUMIF(PPL!$C:$C,PML!$A6,PPL!F:F)</f>
        <v>2100</v>
      </c>
      <c r="E6">
        <f>SUMIF(PPL!$C:$C,PML!$A6,PPL!G:G)</f>
        <v>117</v>
      </c>
      <c r="F6">
        <f>SUMIF(PPL!$C:$C,PML!$A6,PPL!H:H)</f>
        <v>2720</v>
      </c>
      <c r="G6">
        <f>SUMIF(PPL!$C:$C,PML!$A6,PPL!I:I)</f>
        <v>5</v>
      </c>
      <c r="H6">
        <f>SUMIF(PPL!$C:$C,PML!$A6,PPL!J:J)</f>
        <v>2</v>
      </c>
      <c r="I6">
        <f>SUMIF(PPL!$C:$C,PML!$A6,PPL!K:K)</f>
        <v>32</v>
      </c>
      <c r="J6">
        <f>SUMIF(PPL!$C:$C,PML!$A6,PPL!L:L)</f>
        <v>0</v>
      </c>
      <c r="K6">
        <f t="shared" si="0"/>
        <v>2100</v>
      </c>
      <c r="L6" s="3">
        <f t="shared" si="1"/>
        <v>42.20257234726688</v>
      </c>
    </row>
    <row r="7" spans="1:12" x14ac:dyDescent="0.25">
      <c r="A7" t="s">
        <v>167</v>
      </c>
      <c r="B7" t="s">
        <v>182</v>
      </c>
      <c r="C7">
        <f>SUMIF(PPL!$C:$C,PML!$A7,PPL!E:E)</f>
        <v>5408</v>
      </c>
      <c r="D7">
        <f>SUMIF(PPL!$C:$C,PML!$A7,PPL!F:F)</f>
        <v>1830</v>
      </c>
      <c r="E7">
        <f>SUMIF(PPL!$C:$C,PML!$A7,PPL!G:G)</f>
        <v>133</v>
      </c>
      <c r="F7">
        <f>SUMIF(PPL!$C:$C,PML!$A7,PPL!H:H)</f>
        <v>2821</v>
      </c>
      <c r="G7">
        <f>SUMIF(PPL!$C:$C,PML!$A7,PPL!I:I)</f>
        <v>25</v>
      </c>
      <c r="H7">
        <f>SUMIF(PPL!$C:$C,PML!$A7,PPL!J:J)</f>
        <v>0</v>
      </c>
      <c r="I7">
        <f>SUMIF(PPL!$C:$C,PML!$A7,PPL!K:K)</f>
        <v>598</v>
      </c>
      <c r="J7">
        <f>SUMIF(PPL!$C:$C,PML!$A7,PPL!L:L)</f>
        <v>1</v>
      </c>
      <c r="K7">
        <f t="shared" si="0"/>
        <v>1830</v>
      </c>
      <c r="L7" s="3">
        <f t="shared" si="1"/>
        <v>33.838757396449701</v>
      </c>
    </row>
    <row r="8" spans="1:12" x14ac:dyDescent="0.25">
      <c r="A8" t="s">
        <v>168</v>
      </c>
      <c r="B8" t="s">
        <v>197</v>
      </c>
      <c r="C8">
        <f>SUMIF(PPL!$C:$C,PML!$A8,PPL!E:E)</f>
        <v>5141</v>
      </c>
      <c r="D8">
        <f>SUMIF(PPL!$C:$C,PML!$A8,PPL!F:F)</f>
        <v>2061</v>
      </c>
      <c r="E8">
        <f>SUMIF(PPL!$C:$C,PML!$A8,PPL!G:G)</f>
        <v>85</v>
      </c>
      <c r="F8">
        <f>SUMIF(PPL!$C:$C,PML!$A8,PPL!H:H)</f>
        <v>2906</v>
      </c>
      <c r="G8">
        <f>SUMIF(PPL!$C:$C,PML!$A8,PPL!I:I)</f>
        <v>0</v>
      </c>
      <c r="H8">
        <f>SUMIF(PPL!$C:$C,PML!$A8,PPL!J:J)</f>
        <v>0</v>
      </c>
      <c r="I8">
        <f>SUMIF(PPL!$C:$C,PML!$A8,PPL!K:K)</f>
        <v>89</v>
      </c>
      <c r="J8">
        <f>SUMIF(PPL!$C:$C,PML!$A8,PPL!L:L)</f>
        <v>0</v>
      </c>
      <c r="K8">
        <f t="shared" si="0"/>
        <v>2061</v>
      </c>
      <c r="L8" s="3">
        <f t="shared" si="1"/>
        <v>40.089476755495042</v>
      </c>
    </row>
    <row r="9" spans="1:12" x14ac:dyDescent="0.25">
      <c r="A9" t="s">
        <v>169</v>
      </c>
      <c r="B9" t="s">
        <v>199</v>
      </c>
      <c r="C9">
        <f>SUMIF(PPL!$C:$C,PML!$A9,PPL!E:E)</f>
        <v>5220</v>
      </c>
      <c r="D9">
        <f>SUMIF(PPL!$C:$C,PML!$A9,PPL!F:F)</f>
        <v>1819</v>
      </c>
      <c r="E9">
        <f>SUMIF(PPL!$C:$C,PML!$A9,PPL!G:G)</f>
        <v>181</v>
      </c>
      <c r="F9">
        <f>SUMIF(PPL!$C:$C,PML!$A9,PPL!H:H)</f>
        <v>2901</v>
      </c>
      <c r="G9">
        <f>SUMIF(PPL!$C:$C,PML!$A9,PPL!I:I)</f>
        <v>5</v>
      </c>
      <c r="H9">
        <f>SUMIF(PPL!$C:$C,PML!$A9,PPL!J:J)</f>
        <v>2</v>
      </c>
      <c r="I9">
        <f>SUMIF(PPL!$C:$C,PML!$A9,PPL!K:K)</f>
        <v>312</v>
      </c>
      <c r="J9">
        <f>SUMIF(PPL!$C:$C,PML!$A9,PPL!L:L)</f>
        <v>0</v>
      </c>
      <c r="K9">
        <f t="shared" si="0"/>
        <v>1819</v>
      </c>
      <c r="L9" s="3">
        <f t="shared" si="1"/>
        <v>34.846743295019152</v>
      </c>
    </row>
    <row r="10" spans="1:12" x14ac:dyDescent="0.25">
      <c r="A10" t="s">
        <v>170</v>
      </c>
      <c r="B10" t="s">
        <v>196</v>
      </c>
      <c r="C10">
        <f>SUMIF(PPL!$C:$C,PML!$A10,PPL!E:E)</f>
        <v>5177</v>
      </c>
      <c r="D10">
        <f>SUMIF(PPL!$C:$C,PML!$A10,PPL!F:F)</f>
        <v>2088</v>
      </c>
      <c r="E10">
        <f>SUMIF(PPL!$C:$C,PML!$A10,PPL!G:G)</f>
        <v>108</v>
      </c>
      <c r="F10">
        <f>SUMIF(PPL!$C:$C,PML!$A10,PPL!H:H)</f>
        <v>2782</v>
      </c>
      <c r="G10">
        <f>SUMIF(PPL!$C:$C,PML!$A10,PPL!I:I)</f>
        <v>3</v>
      </c>
      <c r="H10">
        <f>SUMIF(PPL!$C:$C,PML!$A10,PPL!J:J)</f>
        <v>0</v>
      </c>
      <c r="I10">
        <f>SUMIF(PPL!$C:$C,PML!$A10,PPL!K:K)</f>
        <v>196</v>
      </c>
      <c r="J10">
        <f>SUMIF(PPL!$C:$C,PML!$A10,PPL!L:L)</f>
        <v>0</v>
      </c>
      <c r="K10">
        <f t="shared" si="0"/>
        <v>2088</v>
      </c>
      <c r="L10" s="3">
        <f t="shared" si="1"/>
        <v>40.332238748309834</v>
      </c>
    </row>
    <row r="11" spans="1:12" x14ac:dyDescent="0.25">
      <c r="A11" t="s">
        <v>171</v>
      </c>
      <c r="B11" t="s">
        <v>195</v>
      </c>
      <c r="C11">
        <f>SUMIF(PPL!$C:$C,PML!$A11,PPL!E:E)</f>
        <v>3948</v>
      </c>
      <c r="D11">
        <f>SUMIF(PPL!$C:$C,PML!$A11,PPL!F:F)</f>
        <v>1595</v>
      </c>
      <c r="E11">
        <f>SUMIF(PPL!$C:$C,PML!$A11,PPL!G:G)</f>
        <v>126</v>
      </c>
      <c r="F11">
        <f>SUMIF(PPL!$C:$C,PML!$A11,PPL!H:H)</f>
        <v>2184</v>
      </c>
      <c r="G11">
        <f>SUMIF(PPL!$C:$C,PML!$A11,PPL!I:I)</f>
        <v>0</v>
      </c>
      <c r="H11">
        <f>SUMIF(PPL!$C:$C,PML!$A11,PPL!J:J)</f>
        <v>11</v>
      </c>
      <c r="I11">
        <f>SUMIF(PPL!$C:$C,PML!$A11,PPL!K:K)</f>
        <v>32</v>
      </c>
      <c r="J11">
        <f>SUMIF(PPL!$C:$C,PML!$A11,PPL!L:L)</f>
        <v>0</v>
      </c>
      <c r="K11">
        <f t="shared" si="0"/>
        <v>1595</v>
      </c>
      <c r="L11" s="3">
        <f t="shared" si="1"/>
        <v>40.400202634245183</v>
      </c>
    </row>
    <row r="12" spans="1:12" x14ac:dyDescent="0.25">
      <c r="A12" t="s">
        <v>172</v>
      </c>
      <c r="B12" t="s">
        <v>193</v>
      </c>
      <c r="C12">
        <f>SUMIF(PPL!$C:$C,PML!$A12,PPL!E:E)</f>
        <v>3491</v>
      </c>
      <c r="D12">
        <f>SUMIF(PPL!$C:$C,PML!$A12,PPL!F:F)</f>
        <v>1240</v>
      </c>
      <c r="E12">
        <f>SUMIF(PPL!$C:$C,PML!$A12,PPL!G:G)</f>
        <v>91</v>
      </c>
      <c r="F12">
        <f>SUMIF(PPL!$C:$C,PML!$A12,PPL!H:H)</f>
        <v>2101</v>
      </c>
      <c r="G12">
        <f>SUMIF(PPL!$C:$C,PML!$A12,PPL!I:I)</f>
        <v>22</v>
      </c>
      <c r="H12">
        <f>SUMIF(PPL!$C:$C,PML!$A12,PPL!J:J)</f>
        <v>1</v>
      </c>
      <c r="I12">
        <f>SUMIF(PPL!$C:$C,PML!$A12,PPL!K:K)</f>
        <v>36</v>
      </c>
      <c r="J12">
        <f>SUMIF(PPL!$C:$C,PML!$A12,PPL!L:L)</f>
        <v>0</v>
      </c>
      <c r="K12">
        <f t="shared" si="0"/>
        <v>1240</v>
      </c>
      <c r="L12" s="3">
        <f t="shared" si="1"/>
        <v>35.519908335720423</v>
      </c>
    </row>
    <row r="13" spans="1:12" x14ac:dyDescent="0.25">
      <c r="A13" t="s">
        <v>173</v>
      </c>
      <c r="B13" t="s">
        <v>186</v>
      </c>
      <c r="C13">
        <f>SUMIF(PPL!$C:$C,PML!$A13,PPL!E:E)</f>
        <v>3884</v>
      </c>
      <c r="D13">
        <f>SUMIF(PPL!$C:$C,PML!$A13,PPL!F:F)</f>
        <v>1691</v>
      </c>
      <c r="E13">
        <f>SUMIF(PPL!$C:$C,PML!$A13,PPL!G:G)</f>
        <v>65</v>
      </c>
      <c r="F13">
        <f>SUMIF(PPL!$C:$C,PML!$A13,PPL!H:H)</f>
        <v>2075</v>
      </c>
      <c r="G13">
        <f>SUMIF(PPL!$C:$C,PML!$A13,PPL!I:I)</f>
        <v>7</v>
      </c>
      <c r="H13">
        <f>SUMIF(PPL!$C:$C,PML!$A13,PPL!J:J)</f>
        <v>4</v>
      </c>
      <c r="I13">
        <f>SUMIF(PPL!$C:$C,PML!$A13,PPL!K:K)</f>
        <v>42</v>
      </c>
      <c r="J13">
        <f>SUMIF(PPL!$C:$C,PML!$A13,PPL!L:L)</f>
        <v>0</v>
      </c>
      <c r="K13">
        <f t="shared" si="0"/>
        <v>1691</v>
      </c>
      <c r="L13" s="3">
        <f t="shared" si="1"/>
        <v>43.537590113285276</v>
      </c>
    </row>
    <row r="14" spans="1:12" x14ac:dyDescent="0.25">
      <c r="A14" t="s">
        <v>174</v>
      </c>
      <c r="B14" t="s">
        <v>185</v>
      </c>
      <c r="C14">
        <f>SUMIF(PPL!$C:$C,PML!$A14,PPL!E:E)</f>
        <v>3717</v>
      </c>
      <c r="D14">
        <f>SUMIF(PPL!$C:$C,PML!$A14,PPL!F:F)</f>
        <v>1684</v>
      </c>
      <c r="E14">
        <f>SUMIF(PPL!$C:$C,PML!$A14,PPL!G:G)</f>
        <v>122</v>
      </c>
      <c r="F14">
        <f>SUMIF(PPL!$C:$C,PML!$A14,PPL!H:H)</f>
        <v>1897</v>
      </c>
      <c r="G14">
        <f>SUMIF(PPL!$C:$C,PML!$A14,PPL!I:I)</f>
        <v>1</v>
      </c>
      <c r="H14">
        <f>SUMIF(PPL!$C:$C,PML!$A14,PPL!J:J)</f>
        <v>2</v>
      </c>
      <c r="I14">
        <f>SUMIF(PPL!$C:$C,PML!$A14,PPL!K:K)</f>
        <v>11</v>
      </c>
      <c r="J14">
        <f>SUMIF(PPL!$C:$C,PML!$A14,PPL!L:L)</f>
        <v>0</v>
      </c>
      <c r="K14">
        <f t="shared" si="0"/>
        <v>1684</v>
      </c>
      <c r="L14" s="3">
        <f t="shared" si="1"/>
        <v>45.305353779930051</v>
      </c>
    </row>
    <row r="15" spans="1:12" x14ac:dyDescent="0.25">
      <c r="A15" t="s">
        <v>175</v>
      </c>
      <c r="B15" t="s">
        <v>188</v>
      </c>
      <c r="C15">
        <f>SUMIF(PPL!$C:$C,PML!$A15,PPL!E:E)</f>
        <v>4122</v>
      </c>
      <c r="D15">
        <f>SUMIF(PPL!$C:$C,PML!$A15,PPL!F:F)</f>
        <v>1692</v>
      </c>
      <c r="E15">
        <f>SUMIF(PPL!$C:$C,PML!$A15,PPL!G:G)</f>
        <v>118</v>
      </c>
      <c r="F15">
        <f>SUMIF(PPL!$C:$C,PML!$A15,PPL!H:H)</f>
        <v>2154</v>
      </c>
      <c r="G15">
        <f>SUMIF(PPL!$C:$C,PML!$A15,PPL!I:I)</f>
        <v>11</v>
      </c>
      <c r="H15">
        <f>SUMIF(PPL!$C:$C,PML!$A15,PPL!J:J)</f>
        <v>0</v>
      </c>
      <c r="I15">
        <f>SUMIF(PPL!$C:$C,PML!$A15,PPL!K:K)</f>
        <v>146</v>
      </c>
      <c r="J15">
        <f>SUMIF(PPL!$C:$C,PML!$A15,PPL!L:L)</f>
        <v>0</v>
      </c>
      <c r="K15">
        <f t="shared" si="0"/>
        <v>1692</v>
      </c>
      <c r="L15" s="3">
        <f t="shared" si="1"/>
        <v>41.048034934497821</v>
      </c>
    </row>
    <row r="16" spans="1:12" x14ac:dyDescent="0.25">
      <c r="A16" t="s">
        <v>176</v>
      </c>
      <c r="B16" t="s">
        <v>194</v>
      </c>
      <c r="C16">
        <f>SUMIF(PPL!$C:$C,PML!$A16,PPL!E:E)</f>
        <v>4596</v>
      </c>
      <c r="D16">
        <f>SUMIF(PPL!$C:$C,PML!$A16,PPL!F:F)</f>
        <v>2006</v>
      </c>
      <c r="E16">
        <f>SUMIF(PPL!$C:$C,PML!$A16,PPL!G:G)</f>
        <v>284</v>
      </c>
      <c r="F16">
        <f>SUMIF(PPL!$C:$C,PML!$A16,PPL!H:H)</f>
        <v>2108</v>
      </c>
      <c r="G16">
        <f>SUMIF(PPL!$C:$C,PML!$A16,PPL!I:I)</f>
        <v>5</v>
      </c>
      <c r="H16">
        <f>SUMIF(PPL!$C:$C,PML!$A16,PPL!J:J)</f>
        <v>1</v>
      </c>
      <c r="I16">
        <f>SUMIF(PPL!$C:$C,PML!$A16,PPL!K:K)</f>
        <v>192</v>
      </c>
      <c r="J16">
        <f>SUMIF(PPL!$C:$C,PML!$A16,PPL!L:L)</f>
        <v>0</v>
      </c>
      <c r="K16">
        <f t="shared" si="0"/>
        <v>2006</v>
      </c>
      <c r="L16" s="3">
        <f t="shared" si="1"/>
        <v>43.646649260226283</v>
      </c>
    </row>
    <row r="17" spans="1:12" x14ac:dyDescent="0.25">
      <c r="A17" t="s">
        <v>177</v>
      </c>
      <c r="B17" t="s">
        <v>192</v>
      </c>
      <c r="C17">
        <f>SUMIF(PPL!$C:$C,PML!$A17,PPL!E:E)</f>
        <v>4495</v>
      </c>
      <c r="D17">
        <f>SUMIF(PPL!$C:$C,PML!$A17,PPL!F:F)</f>
        <v>2068</v>
      </c>
      <c r="E17">
        <f>SUMIF(PPL!$C:$C,PML!$A17,PPL!G:G)</f>
        <v>166</v>
      </c>
      <c r="F17">
        <f>SUMIF(PPL!$C:$C,PML!$A17,PPL!H:H)</f>
        <v>2209</v>
      </c>
      <c r="G17">
        <f>SUMIF(PPL!$C:$C,PML!$A17,PPL!I:I)</f>
        <v>18</v>
      </c>
      <c r="H17">
        <f>SUMIF(PPL!$C:$C,PML!$A17,PPL!J:J)</f>
        <v>9</v>
      </c>
      <c r="I17">
        <f>SUMIF(PPL!$C:$C,PML!$A17,PPL!K:K)</f>
        <v>25</v>
      </c>
      <c r="J17">
        <f>SUMIF(PPL!$C:$C,PML!$A17,PPL!L:L)</f>
        <v>0</v>
      </c>
      <c r="K17">
        <f t="shared" si="0"/>
        <v>2068</v>
      </c>
      <c r="L17" s="3">
        <f t="shared" si="1"/>
        <v>46.00667408231368</v>
      </c>
    </row>
    <row r="18" spans="1:12" x14ac:dyDescent="0.25">
      <c r="A18" t="s">
        <v>178</v>
      </c>
      <c r="B18" t="s">
        <v>191</v>
      </c>
      <c r="C18">
        <f>SUMIF(PPL!$C:$C,PML!$A18,PPL!E:E)</f>
        <v>4359</v>
      </c>
      <c r="D18">
        <f>SUMIF(PPL!$C:$C,PML!$A18,PPL!F:F)</f>
        <v>1960</v>
      </c>
      <c r="E18">
        <f>SUMIF(PPL!$C:$C,PML!$A18,PPL!G:G)</f>
        <v>121</v>
      </c>
      <c r="F18">
        <f>SUMIF(PPL!$C:$C,PML!$A18,PPL!H:H)</f>
        <v>2268</v>
      </c>
      <c r="G18">
        <f>SUMIF(PPL!$C:$C,PML!$A18,PPL!I:I)</f>
        <v>4</v>
      </c>
      <c r="H18">
        <f>SUMIF(PPL!$C:$C,PML!$A18,PPL!J:J)</f>
        <v>2</v>
      </c>
      <c r="I18">
        <f>SUMIF(PPL!$C:$C,PML!$A18,PPL!K:K)</f>
        <v>4</v>
      </c>
      <c r="J18">
        <f>SUMIF(PPL!$C:$C,PML!$A18,PPL!L:L)</f>
        <v>0</v>
      </c>
      <c r="K18">
        <f t="shared" si="0"/>
        <v>1960</v>
      </c>
      <c r="L18" s="3">
        <f t="shared" si="1"/>
        <v>44.964441385638906</v>
      </c>
    </row>
    <row r="19" spans="1:12" x14ac:dyDescent="0.25">
      <c r="A19" t="s">
        <v>179</v>
      </c>
      <c r="B19" t="s">
        <v>184</v>
      </c>
      <c r="C19">
        <f>SUMIF(PPL!$C:$C,PML!$A19,PPL!E:E)</f>
        <v>3805</v>
      </c>
      <c r="D19">
        <f>SUMIF(PPL!$C:$C,PML!$A19,PPL!F:F)</f>
        <v>1448</v>
      </c>
      <c r="E19">
        <f>SUMIF(PPL!$C:$C,PML!$A19,PPL!G:G)</f>
        <v>172</v>
      </c>
      <c r="F19">
        <f>SUMIF(PPL!$C:$C,PML!$A19,PPL!H:H)</f>
        <v>2124</v>
      </c>
      <c r="G19">
        <f>SUMIF(PPL!$C:$C,PML!$A19,PPL!I:I)</f>
        <v>33</v>
      </c>
      <c r="H19">
        <f>SUMIF(PPL!$C:$C,PML!$A19,PPL!J:J)</f>
        <v>2</v>
      </c>
      <c r="I19">
        <f>SUMIF(PPL!$C:$C,PML!$A19,PPL!K:K)</f>
        <v>26</v>
      </c>
      <c r="J19">
        <f>SUMIF(PPL!$C:$C,PML!$A19,PPL!L:L)</f>
        <v>0</v>
      </c>
      <c r="K19">
        <f t="shared" si="0"/>
        <v>1448</v>
      </c>
      <c r="L19" s="3">
        <f t="shared" si="1"/>
        <v>38.055190538764784</v>
      </c>
    </row>
    <row r="20" spans="1:12" x14ac:dyDescent="0.25">
      <c r="A20" t="s">
        <v>180</v>
      </c>
      <c r="B20" t="s">
        <v>183</v>
      </c>
      <c r="C20">
        <f>SUMIF(PPL!$C:$C,PML!$A20,PPL!E:E)</f>
        <v>5259</v>
      </c>
      <c r="D20">
        <f>SUMIF(PPL!$C:$C,PML!$A20,PPL!F:F)</f>
        <v>2101</v>
      </c>
      <c r="E20">
        <f>SUMIF(PPL!$C:$C,PML!$A20,PPL!G:G)</f>
        <v>93</v>
      </c>
      <c r="F20">
        <f>SUMIF(PPL!$C:$C,PML!$A20,PPL!H:H)</f>
        <v>2995</v>
      </c>
      <c r="G20">
        <f>SUMIF(PPL!$C:$C,PML!$A20,PPL!I:I)</f>
        <v>0</v>
      </c>
      <c r="H20">
        <f>SUMIF(PPL!$C:$C,PML!$A20,PPL!J:J)</f>
        <v>8</v>
      </c>
      <c r="I20">
        <f>SUMIF(PPL!$C:$C,PML!$A20,PPL!K:K)</f>
        <v>61</v>
      </c>
      <c r="J20">
        <f>SUMIF(PPL!$C:$C,PML!$A20,PPL!L:L)</f>
        <v>1</v>
      </c>
      <c r="K20">
        <f t="shared" si="0"/>
        <v>2101</v>
      </c>
      <c r="L20" s="3">
        <f t="shared" si="1"/>
        <v>39.950560943145085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4C8BC-F960-46E6-A5A6-F6331428B17F}">
  <dimension ref="A1:M1058"/>
  <sheetViews>
    <sheetView topLeftCell="B1027" workbookViewId="0">
      <selection activeCell="I2" sqref="I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398</v>
      </c>
      <c r="G1" t="s">
        <v>224</v>
      </c>
      <c r="H1" t="s">
        <v>400</v>
      </c>
      <c r="I1" t="s">
        <v>225</v>
      </c>
      <c r="J1" t="s">
        <v>226</v>
      </c>
      <c r="K1" t="s">
        <v>227</v>
      </c>
      <c r="L1" t="s">
        <v>228</v>
      </c>
      <c r="M1" t="s">
        <v>399</v>
      </c>
    </row>
    <row r="2" spans="1:13" x14ac:dyDescent="0.25">
      <c r="A2" s="4" t="s">
        <v>10</v>
      </c>
      <c r="B2">
        <v>7172010009002700</v>
      </c>
      <c r="C2">
        <v>104</v>
      </c>
      <c r="D2">
        <v>95</v>
      </c>
      <c r="E2">
        <v>4</v>
      </c>
      <c r="F2">
        <v>0</v>
      </c>
      <c r="G2">
        <v>5</v>
      </c>
      <c r="H2">
        <v>0</v>
      </c>
      <c r="I2">
        <v>0</v>
      </c>
      <c r="J2">
        <v>0</v>
      </c>
      <c r="K2">
        <v>0</v>
      </c>
      <c r="L2">
        <v>0</v>
      </c>
      <c r="M2">
        <f>region_summary__39[[#This Row],[APPROVED BY Pengawas]]+region_summary__39[[#This Row],[EDITED BY Admin Kabupaten]]</f>
        <v>95</v>
      </c>
    </row>
    <row r="3" spans="1:13" x14ac:dyDescent="0.25">
      <c r="A3" s="4" t="s">
        <v>10</v>
      </c>
      <c r="B3">
        <v>7172010009002800</v>
      </c>
      <c r="C3">
        <v>103</v>
      </c>
      <c r="D3">
        <v>98</v>
      </c>
      <c r="E3">
        <v>1</v>
      </c>
      <c r="F3">
        <v>0</v>
      </c>
      <c r="G3">
        <v>0</v>
      </c>
      <c r="H3">
        <v>0</v>
      </c>
      <c r="I3">
        <v>1</v>
      </c>
      <c r="J3">
        <v>0</v>
      </c>
      <c r="K3">
        <v>3</v>
      </c>
      <c r="L3">
        <v>0</v>
      </c>
      <c r="M3">
        <f>region_summary__39[[#This Row],[APPROVED BY Pengawas]]+region_summary__39[[#This Row],[EDITED BY Admin Kabupaten]]</f>
        <v>98</v>
      </c>
    </row>
    <row r="4" spans="1:13" x14ac:dyDescent="0.25">
      <c r="A4" s="4" t="s">
        <v>10</v>
      </c>
      <c r="B4">
        <v>7172010009002600</v>
      </c>
      <c r="C4">
        <v>93</v>
      </c>
      <c r="D4">
        <v>86</v>
      </c>
      <c r="E4">
        <v>0</v>
      </c>
      <c r="F4">
        <v>0</v>
      </c>
      <c r="G4">
        <v>7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region_summary__39[[#This Row],[APPROVED BY Pengawas]]+region_summary__39[[#This Row],[EDITED BY Admin Kabupaten]]</f>
        <v>86</v>
      </c>
    </row>
    <row r="5" spans="1:13" x14ac:dyDescent="0.25">
      <c r="A5" s="4" t="s">
        <v>10</v>
      </c>
      <c r="B5">
        <v>7172010009002500</v>
      </c>
      <c r="C5">
        <v>83</v>
      </c>
      <c r="D5">
        <v>2</v>
      </c>
      <c r="E5">
        <v>7</v>
      </c>
      <c r="F5">
        <v>0</v>
      </c>
      <c r="G5">
        <v>66</v>
      </c>
      <c r="H5">
        <v>0</v>
      </c>
      <c r="I5">
        <v>0</v>
      </c>
      <c r="J5">
        <v>0</v>
      </c>
      <c r="K5">
        <v>8</v>
      </c>
      <c r="L5">
        <v>0</v>
      </c>
      <c r="M5">
        <f>region_summary__39[[#This Row],[APPROVED BY Pengawas]]+region_summary__39[[#This Row],[EDITED BY Admin Kabupaten]]</f>
        <v>2</v>
      </c>
    </row>
    <row r="6" spans="1:13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region_summary__39[[#This Row],[APPROVED BY Pengawas]]+region_summary__39[[#This Row],[EDITED BY Admin Kabupaten]]</f>
        <v>0</v>
      </c>
    </row>
    <row r="7" spans="1:13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  <c r="L7">
        <v>0</v>
      </c>
      <c r="M7">
        <f>region_summary__39[[#This Row],[APPROVED BY Pengawas]]+region_summary__39[[#This Row],[EDITED BY Admin Kabupaten]]</f>
        <v>0</v>
      </c>
    </row>
    <row r="8" spans="1:13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region_summary__39[[#This Row],[APPROVED BY Pengawas]]+region_summary__39[[#This Row],[EDITED BY Admin Kabupaten]]</f>
        <v>0</v>
      </c>
    </row>
    <row r="9" spans="1:13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region_summary__39[[#This Row],[APPROVED BY Pengawas]]+region_summary__39[[#This Row],[EDITED BY Admin Kabupaten]]</f>
        <v>0</v>
      </c>
    </row>
    <row r="10" spans="1:13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region_summary__39[[#This Row],[APPROVED BY Pengawas]]+region_summary__39[[#This Row],[EDITED BY Admin Kabupaten]]</f>
        <v>0</v>
      </c>
    </row>
    <row r="11" spans="1:13" x14ac:dyDescent="0.25">
      <c r="A11" s="4" t="s">
        <v>6</v>
      </c>
      <c r="B11">
        <v>7172010008000600</v>
      </c>
      <c r="C11">
        <v>129</v>
      </c>
      <c r="D11">
        <v>30</v>
      </c>
      <c r="E11">
        <v>0</v>
      </c>
      <c r="F11">
        <v>0</v>
      </c>
      <c r="G11">
        <v>99</v>
      </c>
      <c r="H11">
        <v>0</v>
      </c>
      <c r="I11">
        <v>0</v>
      </c>
      <c r="J11">
        <v>0</v>
      </c>
      <c r="K11">
        <v>0</v>
      </c>
      <c r="L11">
        <v>0</v>
      </c>
      <c r="M11">
        <f>region_summary__39[[#This Row],[APPROVED BY Pengawas]]+region_summary__39[[#This Row],[EDITED BY Admin Kabupaten]]</f>
        <v>30</v>
      </c>
    </row>
    <row r="12" spans="1:13" x14ac:dyDescent="0.25">
      <c r="A12" s="4" t="s">
        <v>6</v>
      </c>
      <c r="B12">
        <v>7172010008000500</v>
      </c>
      <c r="C12">
        <v>84</v>
      </c>
      <c r="D12">
        <v>80</v>
      </c>
      <c r="E12">
        <v>0</v>
      </c>
      <c r="F12">
        <v>0</v>
      </c>
      <c r="G12">
        <v>4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region_summary__39[[#This Row],[APPROVED BY Pengawas]]+region_summary__39[[#This Row],[EDITED BY Admin Kabupaten]]</f>
        <v>80</v>
      </c>
    </row>
    <row r="13" spans="1:13" x14ac:dyDescent="0.25">
      <c r="A13" s="4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region_summary__39[[#This Row],[APPROVED BY Pengawas]]+region_summary__39[[#This Row],[EDITED BY Admin Kabupaten]]</f>
        <v>72</v>
      </c>
    </row>
    <row r="14" spans="1:13" x14ac:dyDescent="0.25">
      <c r="A14" s="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region_summary__39[[#This Row],[APPROVED BY Pengawas]]+region_summary__39[[#This Row],[EDITED BY Admin Kabupaten]]</f>
        <v>71</v>
      </c>
    </row>
    <row r="15" spans="1:13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region_summary__39[[#This Row],[APPROVED BY Pengawas]]+region_summary__39[[#This Row],[EDITED BY Admin Kabupaten]]</f>
        <v>0</v>
      </c>
    </row>
    <row r="16" spans="1:13" x14ac:dyDescent="0.25">
      <c r="A16" s="4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>region_summary__39[[#This Row],[APPROVED BY Pengawas]]+region_summary__39[[#This Row],[EDITED BY Admin Kabupaten]]</f>
        <v>43</v>
      </c>
    </row>
    <row r="17" spans="1:13" x14ac:dyDescent="0.25">
      <c r="A17" s="4" t="s">
        <v>13</v>
      </c>
      <c r="B17">
        <v>7172010010002100</v>
      </c>
      <c r="C17">
        <v>86</v>
      </c>
      <c r="D17">
        <v>83</v>
      </c>
      <c r="E17">
        <v>0</v>
      </c>
      <c r="F17">
        <v>0</v>
      </c>
      <c r="G17">
        <v>3</v>
      </c>
      <c r="H17">
        <v>0</v>
      </c>
      <c r="I17">
        <v>0</v>
      </c>
      <c r="J17">
        <v>0</v>
      </c>
      <c r="K17">
        <v>0</v>
      </c>
      <c r="L17">
        <v>0</v>
      </c>
      <c r="M17">
        <f>region_summary__39[[#This Row],[APPROVED BY Pengawas]]+region_summary__39[[#This Row],[EDITED BY Admin Kabupaten]]</f>
        <v>83</v>
      </c>
    </row>
    <row r="18" spans="1:13" x14ac:dyDescent="0.25">
      <c r="A18" s="4" t="s">
        <v>13</v>
      </c>
      <c r="B18">
        <v>7172010010001600</v>
      </c>
      <c r="C18">
        <v>80</v>
      </c>
      <c r="D18">
        <v>64</v>
      </c>
      <c r="E18">
        <v>0</v>
      </c>
      <c r="F18">
        <v>0</v>
      </c>
      <c r="G18">
        <v>16</v>
      </c>
      <c r="H18">
        <v>0</v>
      </c>
      <c r="I18">
        <v>0</v>
      </c>
      <c r="J18">
        <v>0</v>
      </c>
      <c r="K18">
        <v>0</v>
      </c>
      <c r="L18">
        <v>0</v>
      </c>
      <c r="M18">
        <f>region_summary__39[[#This Row],[APPROVED BY Pengawas]]+region_summary__39[[#This Row],[EDITED BY Admin Kabupaten]]</f>
        <v>64</v>
      </c>
    </row>
    <row r="19" spans="1:13" x14ac:dyDescent="0.25">
      <c r="A19" s="4" t="s">
        <v>13</v>
      </c>
      <c r="B19">
        <v>7172010010001800</v>
      </c>
      <c r="C19">
        <v>78</v>
      </c>
      <c r="D19">
        <v>55</v>
      </c>
      <c r="E19">
        <v>0</v>
      </c>
      <c r="F19">
        <v>0</v>
      </c>
      <c r="G19">
        <v>23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region_summary__39[[#This Row],[APPROVED BY Pengawas]]+region_summary__39[[#This Row],[EDITED BY Admin Kabupaten]]</f>
        <v>55</v>
      </c>
    </row>
    <row r="20" spans="1:13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region_summary__39[[#This Row],[APPROVED BY Pengawas]]+region_summary__39[[#This Row],[EDITED BY Admin Kabupaten]]</f>
        <v>0</v>
      </c>
    </row>
    <row r="21" spans="1:13" x14ac:dyDescent="0.25">
      <c r="A21" s="4" t="s">
        <v>13</v>
      </c>
      <c r="B21">
        <v>7172010010002000</v>
      </c>
      <c r="C21">
        <v>62</v>
      </c>
      <c r="D21">
        <v>16</v>
      </c>
      <c r="E21">
        <v>7</v>
      </c>
      <c r="F21">
        <v>0</v>
      </c>
      <c r="G21">
        <v>34</v>
      </c>
      <c r="H21">
        <v>0</v>
      </c>
      <c r="I21">
        <v>0</v>
      </c>
      <c r="J21">
        <v>0</v>
      </c>
      <c r="K21">
        <v>5</v>
      </c>
      <c r="L21">
        <v>0</v>
      </c>
      <c r="M21">
        <f>region_summary__39[[#This Row],[APPROVED BY Pengawas]]+region_summary__39[[#This Row],[EDITED BY Admin Kabupaten]]</f>
        <v>16</v>
      </c>
    </row>
    <row r="22" spans="1:13" x14ac:dyDescent="0.25">
      <c r="A22" s="4" t="s">
        <v>13</v>
      </c>
      <c r="B22">
        <v>7172010010001700</v>
      </c>
      <c r="C22">
        <v>47</v>
      </c>
      <c r="D22">
        <v>42</v>
      </c>
      <c r="E22">
        <v>0</v>
      </c>
      <c r="F22">
        <v>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region_summary__39[[#This Row],[APPROVED BY Pengawas]]+region_summary__39[[#This Row],[EDITED BY Admin Kabupaten]]</f>
        <v>42</v>
      </c>
    </row>
    <row r="23" spans="1:13" x14ac:dyDescent="0.25">
      <c r="A23" s="4" t="s">
        <v>13</v>
      </c>
      <c r="B23">
        <v>7172010011000300</v>
      </c>
      <c r="C23">
        <v>42</v>
      </c>
      <c r="D23">
        <v>0</v>
      </c>
      <c r="E23">
        <v>0</v>
      </c>
      <c r="F23">
        <v>0</v>
      </c>
      <c r="G23">
        <v>42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region_summary__39[[#This Row],[APPROVED BY Pengawas]]+region_summary__39[[#This Row],[EDITED BY Admin Kabupaten]]</f>
        <v>0</v>
      </c>
    </row>
    <row r="24" spans="1:13" x14ac:dyDescent="0.25">
      <c r="A24" s="4" t="s">
        <v>13</v>
      </c>
      <c r="B24">
        <v>7172010011000100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region_summary__39[[#This Row],[APPROVED BY Pengawas]]+region_summary__39[[#This Row],[EDITED BY Admin Kabupaten]]</f>
        <v>0</v>
      </c>
    </row>
    <row r="25" spans="1:13" x14ac:dyDescent="0.25">
      <c r="A25" s="4" t="s">
        <v>13</v>
      </c>
      <c r="B25">
        <v>7172010011000600</v>
      </c>
      <c r="C25">
        <v>41</v>
      </c>
      <c r="D25">
        <v>0</v>
      </c>
      <c r="E25">
        <v>0</v>
      </c>
      <c r="F25">
        <v>0</v>
      </c>
      <c r="G25">
        <v>41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region_summary__39[[#This Row],[APPROVED BY Pengawas]]+region_summary__39[[#This Row],[EDITED BY Admin Kabupaten]]</f>
        <v>0</v>
      </c>
    </row>
    <row r="26" spans="1:13" x14ac:dyDescent="0.25">
      <c r="A26" s="4" t="s">
        <v>13</v>
      </c>
      <c r="B26">
        <v>7172010010002200</v>
      </c>
      <c r="C26">
        <v>39</v>
      </c>
      <c r="D26">
        <v>29</v>
      </c>
      <c r="E26">
        <v>0</v>
      </c>
      <c r="F26">
        <v>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region_summary__39[[#This Row],[APPROVED BY Pengawas]]+region_summary__39[[#This Row],[EDITED BY Admin Kabupaten]]</f>
        <v>29</v>
      </c>
    </row>
    <row r="27" spans="1:13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  <c r="L27">
        <v>0</v>
      </c>
      <c r="M27">
        <f>region_summary__39[[#This Row],[APPROVED BY Pengawas]]+region_summary__39[[#This Row],[EDITED BY Admin Kabupaten]]</f>
        <v>0</v>
      </c>
    </row>
    <row r="28" spans="1:13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  <c r="L28">
        <v>0</v>
      </c>
      <c r="M28">
        <f>region_summary__39[[#This Row],[APPROVED BY Pengawas]]+region_summary__39[[#This Row],[EDITED BY Admin Kabupaten]]</f>
        <v>0</v>
      </c>
    </row>
    <row r="29" spans="1:13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  <c r="L29">
        <v>0</v>
      </c>
      <c r="M29">
        <f>region_summary__39[[#This Row],[APPROVED BY Pengawas]]+region_summary__39[[#This Row],[EDITED BY Admin Kabupaten]]</f>
        <v>0</v>
      </c>
    </row>
    <row r="30" spans="1:13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region_summary__39[[#This Row],[APPROVED BY Pengawas]]+region_summary__39[[#This Row],[EDITED BY Admin Kabupaten]]</f>
        <v>0</v>
      </c>
    </row>
    <row r="31" spans="1:13" x14ac:dyDescent="0.25">
      <c r="A31" s="4" t="s">
        <v>16</v>
      </c>
      <c r="B31">
        <v>7172010012001500</v>
      </c>
      <c r="C31">
        <v>78</v>
      </c>
      <c r="D31">
        <v>71</v>
      </c>
      <c r="E31">
        <v>1</v>
      </c>
      <c r="F31">
        <v>0</v>
      </c>
      <c r="G31">
        <v>6</v>
      </c>
      <c r="H31">
        <v>0</v>
      </c>
      <c r="I31">
        <v>0</v>
      </c>
      <c r="J31">
        <v>0</v>
      </c>
      <c r="K31">
        <v>0</v>
      </c>
      <c r="L31">
        <v>0</v>
      </c>
      <c r="M31">
        <f>region_summary__39[[#This Row],[APPROVED BY Pengawas]]+region_summary__39[[#This Row],[EDITED BY Admin Kabupaten]]</f>
        <v>71</v>
      </c>
    </row>
    <row r="32" spans="1:13" x14ac:dyDescent="0.25">
      <c r="A32" s="4" t="s">
        <v>16</v>
      </c>
      <c r="B32">
        <v>7172010012001400</v>
      </c>
      <c r="C32">
        <v>65</v>
      </c>
      <c r="D32">
        <v>60</v>
      </c>
      <c r="E32">
        <v>4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region_summary__39[[#This Row],[APPROVED BY Pengawas]]+region_summary__39[[#This Row],[EDITED BY Admin Kabupaten]]</f>
        <v>60</v>
      </c>
    </row>
    <row r="33" spans="1:13" x14ac:dyDescent="0.25">
      <c r="A33" s="4" t="s">
        <v>16</v>
      </c>
      <c r="B33">
        <v>7172010012002100</v>
      </c>
      <c r="C33">
        <v>61</v>
      </c>
      <c r="D33">
        <v>49</v>
      </c>
      <c r="E33">
        <v>0</v>
      </c>
      <c r="F33">
        <v>0</v>
      </c>
      <c r="G33">
        <v>12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region_summary__39[[#This Row],[APPROVED BY Pengawas]]+region_summary__39[[#This Row],[EDITED BY Admin Kabupaten]]</f>
        <v>49</v>
      </c>
    </row>
    <row r="34" spans="1:13" x14ac:dyDescent="0.25">
      <c r="A34" s="4" t="s">
        <v>16</v>
      </c>
      <c r="B34">
        <v>7172010012002200</v>
      </c>
      <c r="C34">
        <v>61</v>
      </c>
      <c r="D34">
        <v>0</v>
      </c>
      <c r="E34">
        <v>0</v>
      </c>
      <c r="F34">
        <v>0</v>
      </c>
      <c r="G34">
        <v>61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region_summary__39[[#This Row],[APPROVED BY Pengawas]]+region_summary__39[[#This Row],[EDITED BY Admin Kabupaten]]</f>
        <v>0</v>
      </c>
    </row>
    <row r="35" spans="1:13" x14ac:dyDescent="0.25">
      <c r="A35" s="4" t="s">
        <v>16</v>
      </c>
      <c r="B35">
        <v>7172010012001800</v>
      </c>
      <c r="C35">
        <v>59</v>
      </c>
      <c r="D35">
        <v>0</v>
      </c>
      <c r="E35">
        <v>0</v>
      </c>
      <c r="F35">
        <v>0</v>
      </c>
      <c r="G35">
        <v>59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region_summary__39[[#This Row],[APPROVED BY Pengawas]]+region_summary__39[[#This Row],[EDITED BY Admin Kabupaten]]</f>
        <v>0</v>
      </c>
    </row>
    <row r="36" spans="1:13" x14ac:dyDescent="0.25">
      <c r="A36" s="4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region_summary__39[[#This Row],[APPROVED BY Pengawas]]+region_summary__39[[#This Row],[EDITED BY Admin Kabupaten]]</f>
        <v>53</v>
      </c>
    </row>
    <row r="37" spans="1:13" x14ac:dyDescent="0.25">
      <c r="A37" s="4" t="s">
        <v>16</v>
      </c>
      <c r="B37">
        <v>7172010012002400</v>
      </c>
      <c r="C37">
        <v>51</v>
      </c>
      <c r="D37">
        <v>0</v>
      </c>
      <c r="E37">
        <v>0</v>
      </c>
      <c r="F37">
        <v>0</v>
      </c>
      <c r="G37">
        <v>51</v>
      </c>
      <c r="H37">
        <v>0</v>
      </c>
      <c r="I37">
        <v>0</v>
      </c>
      <c r="J37">
        <v>0</v>
      </c>
      <c r="K37">
        <v>0</v>
      </c>
      <c r="L37">
        <v>0</v>
      </c>
      <c r="M37">
        <f>region_summary__39[[#This Row],[APPROVED BY Pengawas]]+region_summary__39[[#This Row],[EDITED BY Admin Kabupaten]]</f>
        <v>0</v>
      </c>
    </row>
    <row r="38" spans="1:13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45</v>
      </c>
      <c r="H38">
        <v>0</v>
      </c>
      <c r="I38">
        <v>0</v>
      </c>
      <c r="J38">
        <v>0</v>
      </c>
      <c r="K38">
        <v>0</v>
      </c>
      <c r="L38">
        <v>0</v>
      </c>
      <c r="M38">
        <f>region_summary__39[[#This Row],[APPROVED BY Pengawas]]+region_summary__39[[#This Row],[EDITED BY Admin Kabupaten]]</f>
        <v>0</v>
      </c>
    </row>
    <row r="39" spans="1:13" x14ac:dyDescent="0.25">
      <c r="A39" s="4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region_summary__39[[#This Row],[APPROVED BY Pengawas]]+region_summary__39[[#This Row],[EDITED BY Admin Kabupaten]]</f>
        <v>30</v>
      </c>
    </row>
    <row r="40" spans="1:13" x14ac:dyDescent="0.25">
      <c r="A40" s="4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region_summary__39[[#This Row],[APPROVED BY Pengawas]]+region_summary__39[[#This Row],[EDITED BY Admin Kabupaten]]</f>
        <v>30</v>
      </c>
    </row>
    <row r="41" spans="1:13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region_summary__39[[#This Row],[APPROVED BY Pengawas]]+region_summary__39[[#This Row],[EDITED BY Admin Kabupaten]]</f>
        <v>0</v>
      </c>
    </row>
    <row r="42" spans="1:13" x14ac:dyDescent="0.25">
      <c r="A42" s="4" t="s">
        <v>17</v>
      </c>
      <c r="B42">
        <v>7172010015003400</v>
      </c>
      <c r="C42">
        <v>227</v>
      </c>
      <c r="D42">
        <v>221</v>
      </c>
      <c r="E42">
        <v>5</v>
      </c>
      <c r="F42">
        <v>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region_summary__39[[#This Row],[APPROVED BY Pengawas]]+region_summary__39[[#This Row],[EDITED BY Admin Kabupaten]]</f>
        <v>222</v>
      </c>
    </row>
    <row r="43" spans="1:13" x14ac:dyDescent="0.25">
      <c r="A43" s="4" t="s">
        <v>17</v>
      </c>
      <c r="B43">
        <v>7172010015003300</v>
      </c>
      <c r="C43">
        <v>205</v>
      </c>
      <c r="D43">
        <v>67</v>
      </c>
      <c r="E43">
        <v>6</v>
      </c>
      <c r="F43">
        <v>0</v>
      </c>
      <c r="G43">
        <v>132</v>
      </c>
      <c r="H43">
        <v>0</v>
      </c>
      <c r="I43">
        <v>0</v>
      </c>
      <c r="J43">
        <v>0</v>
      </c>
      <c r="K43">
        <v>0</v>
      </c>
      <c r="L43">
        <v>0</v>
      </c>
      <c r="M43">
        <f>region_summary__39[[#This Row],[APPROVED BY Pengawas]]+region_summary__39[[#This Row],[EDITED BY Admin Kabupaten]]</f>
        <v>67</v>
      </c>
    </row>
    <row r="44" spans="1:13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  <c r="L44">
        <v>0</v>
      </c>
      <c r="M44">
        <f>region_summary__39[[#This Row],[APPROVED BY Pengawas]]+region_summary__39[[#This Row],[EDITED BY Admin Kabupaten]]</f>
        <v>0</v>
      </c>
    </row>
    <row r="45" spans="1:13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  <c r="L45">
        <v>0</v>
      </c>
      <c r="M45">
        <f>region_summary__39[[#This Row],[APPROVED BY Pengawas]]+region_summary__39[[#This Row],[EDITED BY Admin Kabupaten]]</f>
        <v>0</v>
      </c>
    </row>
    <row r="46" spans="1:13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region_summary__39[[#This Row],[APPROVED BY Pengawas]]+region_summary__39[[#This Row],[EDITED BY Admin Kabupaten]]</f>
        <v>0</v>
      </c>
    </row>
    <row r="47" spans="1:13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region_summary__39[[#This Row],[APPROVED BY Pengawas]]+region_summary__39[[#This Row],[EDITED BY Admin Kabupaten]]</f>
        <v>0</v>
      </c>
    </row>
    <row r="48" spans="1:13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region_summary__39[[#This Row],[APPROVED BY Pengawas]]+region_summary__39[[#This Row],[EDITED BY Admin Kabupaten]]</f>
        <v>0</v>
      </c>
    </row>
    <row r="49" spans="1:13" x14ac:dyDescent="0.25">
      <c r="A49" s="4" t="s">
        <v>20</v>
      </c>
      <c r="B49">
        <v>7172010016001700</v>
      </c>
      <c r="C49">
        <v>101</v>
      </c>
      <c r="D49">
        <v>95</v>
      </c>
      <c r="E49">
        <v>0</v>
      </c>
      <c r="F49">
        <v>0</v>
      </c>
      <c r="G49">
        <v>6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region_summary__39[[#This Row],[APPROVED BY Pengawas]]+region_summary__39[[#This Row],[EDITED BY Admin Kabupaten]]</f>
        <v>95</v>
      </c>
    </row>
    <row r="50" spans="1:13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region_summary__39[[#This Row],[APPROVED BY Pengawas]]+region_summary__39[[#This Row],[EDITED BY Admin Kabupaten]]</f>
        <v>0</v>
      </c>
    </row>
    <row r="51" spans="1:13" x14ac:dyDescent="0.25">
      <c r="A51" s="4" t="s">
        <v>20</v>
      </c>
      <c r="B51">
        <v>7172010016002000</v>
      </c>
      <c r="C51">
        <v>84</v>
      </c>
      <c r="D51">
        <v>51</v>
      </c>
      <c r="E51">
        <v>2</v>
      </c>
      <c r="F51">
        <v>0</v>
      </c>
      <c r="G51">
        <v>31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region_summary__39[[#This Row],[APPROVED BY Pengawas]]+region_summary__39[[#This Row],[EDITED BY Admin Kabupaten]]</f>
        <v>51</v>
      </c>
    </row>
    <row r="52" spans="1:13" x14ac:dyDescent="0.25">
      <c r="A52" s="4" t="s">
        <v>20</v>
      </c>
      <c r="B52">
        <v>7172010016002200</v>
      </c>
      <c r="C52">
        <v>62</v>
      </c>
      <c r="D52">
        <v>56</v>
      </c>
      <c r="E52">
        <v>2</v>
      </c>
      <c r="F52">
        <v>0</v>
      </c>
      <c r="G52">
        <v>4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region_summary__39[[#This Row],[APPROVED BY Pengawas]]+region_summary__39[[#This Row],[EDITED BY Admin Kabupaten]]</f>
        <v>56</v>
      </c>
    </row>
    <row r="53" spans="1:13" x14ac:dyDescent="0.25">
      <c r="A53" s="4" t="s">
        <v>20</v>
      </c>
      <c r="B53">
        <v>7172010015000800</v>
      </c>
      <c r="C53">
        <v>61</v>
      </c>
      <c r="D53">
        <v>0</v>
      </c>
      <c r="E53">
        <v>0</v>
      </c>
      <c r="F53">
        <v>0</v>
      </c>
      <c r="G53">
        <v>61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region_summary__39[[#This Row],[APPROVED BY Pengawas]]+region_summary__39[[#This Row],[EDITED BY Admin Kabupaten]]</f>
        <v>0</v>
      </c>
    </row>
    <row r="54" spans="1:13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region_summary__39[[#This Row],[APPROVED BY Pengawas]]+region_summary__39[[#This Row],[EDITED BY Admin Kabupaten]]</f>
        <v>0</v>
      </c>
    </row>
    <row r="55" spans="1:13" x14ac:dyDescent="0.25">
      <c r="A55" s="4" t="s">
        <v>20</v>
      </c>
      <c r="B55">
        <v>7172010016002100</v>
      </c>
      <c r="C55">
        <v>60</v>
      </c>
      <c r="D55">
        <v>15</v>
      </c>
      <c r="E55">
        <v>1</v>
      </c>
      <c r="F55">
        <v>0</v>
      </c>
      <c r="G55">
        <v>20</v>
      </c>
      <c r="H55">
        <v>0</v>
      </c>
      <c r="I55">
        <v>0</v>
      </c>
      <c r="J55">
        <v>0</v>
      </c>
      <c r="K55">
        <v>24</v>
      </c>
      <c r="L55">
        <v>0</v>
      </c>
      <c r="M55">
        <f>region_summary__39[[#This Row],[APPROVED BY Pengawas]]+region_summary__39[[#This Row],[EDITED BY Admin Kabupaten]]</f>
        <v>15</v>
      </c>
    </row>
    <row r="56" spans="1:13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region_summary__39[[#This Row],[APPROVED BY Pengawas]]+region_summary__39[[#This Row],[EDITED BY Admin Kabupaten]]</f>
        <v>0</v>
      </c>
    </row>
    <row r="57" spans="1:13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region_summary__39[[#This Row],[APPROVED BY Pengawas]]+region_summary__39[[#This Row],[EDITED BY Admin Kabupaten]]</f>
        <v>0</v>
      </c>
    </row>
    <row r="58" spans="1:13" x14ac:dyDescent="0.25">
      <c r="A58" s="4" t="s">
        <v>20</v>
      </c>
      <c r="B58">
        <v>7172010016001500</v>
      </c>
      <c r="C58">
        <v>45</v>
      </c>
      <c r="D58">
        <v>38</v>
      </c>
      <c r="E58">
        <v>0</v>
      </c>
      <c r="F58">
        <v>0</v>
      </c>
      <c r="G58">
        <v>7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region_summary__39[[#This Row],[APPROVED BY Pengawas]]+region_summary__39[[#This Row],[EDITED BY Admin Kabupaten]]</f>
        <v>38</v>
      </c>
    </row>
    <row r="59" spans="1:13" x14ac:dyDescent="0.25">
      <c r="A59" s="4" t="s">
        <v>18</v>
      </c>
      <c r="B59">
        <v>7172010017001300</v>
      </c>
      <c r="C59">
        <v>149</v>
      </c>
      <c r="D59">
        <v>132</v>
      </c>
      <c r="E59">
        <v>4</v>
      </c>
      <c r="F59">
        <v>0</v>
      </c>
      <c r="G59">
        <v>0</v>
      </c>
      <c r="H59">
        <v>0</v>
      </c>
      <c r="I59">
        <v>13</v>
      </c>
      <c r="J59">
        <v>0</v>
      </c>
      <c r="K59">
        <v>0</v>
      </c>
      <c r="L59">
        <v>0</v>
      </c>
      <c r="M59">
        <f>region_summary__39[[#This Row],[APPROVED BY Pengawas]]+region_summary__39[[#This Row],[EDITED BY Admin Kabupaten]]</f>
        <v>132</v>
      </c>
    </row>
    <row r="60" spans="1:13" x14ac:dyDescent="0.25">
      <c r="A60" s="4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region_summary__39[[#This Row],[APPROVED BY Pengawas]]+region_summary__39[[#This Row],[EDITED BY Admin Kabupaten]]</f>
        <v>94</v>
      </c>
    </row>
    <row r="61" spans="1:13" x14ac:dyDescent="0.25">
      <c r="A61" s="4" t="s">
        <v>18</v>
      </c>
      <c r="B61">
        <v>7172010017002100</v>
      </c>
      <c r="C61">
        <v>88</v>
      </c>
      <c r="D61">
        <v>31</v>
      </c>
      <c r="E61">
        <v>0</v>
      </c>
      <c r="F61">
        <v>0</v>
      </c>
      <c r="G61">
        <v>57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region_summary__39[[#This Row],[APPROVED BY Pengawas]]+region_summary__39[[#This Row],[EDITED BY Admin Kabupaten]]</f>
        <v>31</v>
      </c>
    </row>
    <row r="62" spans="1:13" x14ac:dyDescent="0.25">
      <c r="A62" s="4" t="s">
        <v>18</v>
      </c>
      <c r="B62">
        <v>7172010017001900</v>
      </c>
      <c r="C62">
        <v>76</v>
      </c>
      <c r="D62">
        <v>60</v>
      </c>
      <c r="E62">
        <v>3</v>
      </c>
      <c r="F62">
        <v>1</v>
      </c>
      <c r="G62">
        <v>12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region_summary__39[[#This Row],[APPROVED BY Pengawas]]+region_summary__39[[#This Row],[EDITED BY Admin Kabupaten]]</f>
        <v>61</v>
      </c>
    </row>
    <row r="63" spans="1:13" x14ac:dyDescent="0.25">
      <c r="A63" s="4" t="s">
        <v>18</v>
      </c>
      <c r="B63">
        <v>7172010017001500</v>
      </c>
      <c r="C63">
        <v>71</v>
      </c>
      <c r="D63">
        <v>0</v>
      </c>
      <c r="E63">
        <v>1</v>
      </c>
      <c r="F63">
        <v>0</v>
      </c>
      <c r="G63">
        <v>70</v>
      </c>
      <c r="H63">
        <v>0</v>
      </c>
      <c r="I63">
        <v>0</v>
      </c>
      <c r="J63">
        <v>0</v>
      </c>
      <c r="K63">
        <v>0</v>
      </c>
      <c r="L63">
        <v>0</v>
      </c>
      <c r="M63">
        <f>region_summary__39[[#This Row],[APPROVED BY Pengawas]]+region_summary__39[[#This Row],[EDITED BY Admin Kabupaten]]</f>
        <v>0</v>
      </c>
    </row>
    <row r="64" spans="1:13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61</v>
      </c>
      <c r="H64">
        <v>0</v>
      </c>
      <c r="I64">
        <v>0</v>
      </c>
      <c r="J64">
        <v>0</v>
      </c>
      <c r="K64">
        <v>0</v>
      </c>
      <c r="L64">
        <v>0</v>
      </c>
      <c r="M64">
        <f>region_summary__39[[#This Row],[APPROVED BY Pengawas]]+region_summary__39[[#This Row],[EDITED BY Admin Kabupaten]]</f>
        <v>0</v>
      </c>
    </row>
    <row r="65" spans="1:13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  <c r="L65">
        <v>0</v>
      </c>
      <c r="M65">
        <f>region_summary__39[[#This Row],[APPROVED BY Pengawas]]+region_summary__39[[#This Row],[EDITED BY Admin Kabupaten]]</f>
        <v>0</v>
      </c>
    </row>
    <row r="66" spans="1:13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region_summary__39[[#This Row],[APPROVED BY Pengawas]]+region_summary__39[[#This Row],[EDITED BY Admin Kabupaten]]</f>
        <v>0</v>
      </c>
    </row>
    <row r="67" spans="1:13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region_summary__39[[#This Row],[APPROVED BY Pengawas]]+region_summary__39[[#This Row],[EDITED BY Admin Kabupaten]]</f>
        <v>0</v>
      </c>
    </row>
    <row r="68" spans="1:13" x14ac:dyDescent="0.25">
      <c r="A68" s="4" t="s">
        <v>22</v>
      </c>
      <c r="B68">
        <v>7172010015002100</v>
      </c>
      <c r="C68">
        <v>149</v>
      </c>
      <c r="D68">
        <v>128</v>
      </c>
      <c r="E68">
        <v>5</v>
      </c>
      <c r="F68">
        <v>0</v>
      </c>
      <c r="G68">
        <v>16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region_summary__39[[#This Row],[APPROVED BY Pengawas]]+region_summary__39[[#This Row],[EDITED BY Admin Kabupaten]]</f>
        <v>128</v>
      </c>
    </row>
    <row r="69" spans="1:13" x14ac:dyDescent="0.25">
      <c r="A69" s="4" t="s">
        <v>22</v>
      </c>
      <c r="B69">
        <v>7172010015002400</v>
      </c>
      <c r="C69">
        <v>138</v>
      </c>
      <c r="D69">
        <v>95</v>
      </c>
      <c r="E69">
        <v>0</v>
      </c>
      <c r="F69">
        <v>1</v>
      </c>
      <c r="G69">
        <v>41</v>
      </c>
      <c r="H69">
        <v>0</v>
      </c>
      <c r="I69">
        <v>1</v>
      </c>
      <c r="J69">
        <v>0</v>
      </c>
      <c r="K69">
        <v>0</v>
      </c>
      <c r="L69">
        <v>0</v>
      </c>
      <c r="M69">
        <f>region_summary__39[[#This Row],[APPROVED BY Pengawas]]+region_summary__39[[#This Row],[EDITED BY Admin Kabupaten]]</f>
        <v>96</v>
      </c>
    </row>
    <row r="70" spans="1:13" x14ac:dyDescent="0.25">
      <c r="A70" s="4" t="s">
        <v>22</v>
      </c>
      <c r="B70">
        <v>7172010015002500</v>
      </c>
      <c r="C70">
        <v>119</v>
      </c>
      <c r="D70">
        <v>95</v>
      </c>
      <c r="E70">
        <v>1</v>
      </c>
      <c r="F70">
        <v>1</v>
      </c>
      <c r="G70">
        <v>21</v>
      </c>
      <c r="H70">
        <v>0</v>
      </c>
      <c r="I70">
        <v>1</v>
      </c>
      <c r="J70">
        <v>0</v>
      </c>
      <c r="K70">
        <v>0</v>
      </c>
      <c r="L70">
        <v>0</v>
      </c>
      <c r="M70">
        <f>region_summary__39[[#This Row],[APPROVED BY Pengawas]]+region_summary__39[[#This Row],[EDITED BY Admin Kabupaten]]</f>
        <v>96</v>
      </c>
    </row>
    <row r="71" spans="1:13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region_summary__39[[#This Row],[APPROVED BY Pengawas]]+region_summary__39[[#This Row],[EDITED BY Admin Kabupaten]]</f>
        <v>0</v>
      </c>
    </row>
    <row r="72" spans="1:13" x14ac:dyDescent="0.25">
      <c r="A72" s="4" t="s">
        <v>22</v>
      </c>
      <c r="B72">
        <v>7172010015002200</v>
      </c>
      <c r="C72">
        <v>81</v>
      </c>
      <c r="D72">
        <v>7</v>
      </c>
      <c r="E72">
        <v>5</v>
      </c>
      <c r="F72">
        <v>0</v>
      </c>
      <c r="G72">
        <v>69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region_summary__39[[#This Row],[APPROVED BY Pengawas]]+region_summary__39[[#This Row],[EDITED BY Admin Kabupaten]]</f>
        <v>7</v>
      </c>
    </row>
    <row r="73" spans="1:13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region_summary__39[[#This Row],[APPROVED BY Pengawas]]+region_summary__39[[#This Row],[EDITED BY Admin Kabupaten]]</f>
        <v>0</v>
      </c>
    </row>
    <row r="74" spans="1:13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region_summary__39[[#This Row],[APPROVED BY Pengawas]]+region_summary__39[[#This Row],[EDITED BY Admin Kabupaten]]</f>
        <v>0</v>
      </c>
    </row>
    <row r="75" spans="1:13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region_summary__39[[#This Row],[APPROVED BY Pengawas]]+region_summary__39[[#This Row],[EDITED BY Admin Kabupaten]]</f>
        <v>0</v>
      </c>
    </row>
    <row r="76" spans="1:13" x14ac:dyDescent="0.25">
      <c r="A76" s="4" t="s">
        <v>24</v>
      </c>
      <c r="B76">
        <v>7172010016001300</v>
      </c>
      <c r="C76">
        <v>102</v>
      </c>
      <c r="D76">
        <v>99</v>
      </c>
      <c r="E76">
        <v>0</v>
      </c>
      <c r="F76">
        <v>0</v>
      </c>
      <c r="G76">
        <v>3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region_summary__39[[#This Row],[APPROVED BY Pengawas]]+region_summary__39[[#This Row],[EDITED BY Admin Kabupaten]]</f>
        <v>99</v>
      </c>
    </row>
    <row r="77" spans="1:13" x14ac:dyDescent="0.25">
      <c r="A77" s="4" t="s">
        <v>24</v>
      </c>
      <c r="B77">
        <v>7172010016000700</v>
      </c>
      <c r="C77">
        <v>73</v>
      </c>
      <c r="D77">
        <v>69</v>
      </c>
      <c r="E77">
        <v>0</v>
      </c>
      <c r="F77">
        <v>0</v>
      </c>
      <c r="G77">
        <v>4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region_summary__39[[#This Row],[APPROVED BY Pengawas]]+region_summary__39[[#This Row],[EDITED BY Admin Kabupaten]]</f>
        <v>69</v>
      </c>
    </row>
    <row r="78" spans="1:13" x14ac:dyDescent="0.25">
      <c r="A78" s="4" t="s">
        <v>24</v>
      </c>
      <c r="B78">
        <v>7172010016000500</v>
      </c>
      <c r="C78">
        <v>71</v>
      </c>
      <c r="D78">
        <v>0</v>
      </c>
      <c r="E78">
        <v>0</v>
      </c>
      <c r="F78">
        <v>0</v>
      </c>
      <c r="G78">
        <v>71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region_summary__39[[#This Row],[APPROVED BY Pengawas]]+region_summary__39[[#This Row],[EDITED BY Admin Kabupaten]]</f>
        <v>0</v>
      </c>
    </row>
    <row r="79" spans="1:13" x14ac:dyDescent="0.25">
      <c r="A79" s="4" t="s">
        <v>24</v>
      </c>
      <c r="B79">
        <v>7172010016000800</v>
      </c>
      <c r="C79">
        <v>65</v>
      </c>
      <c r="D79">
        <v>60</v>
      </c>
      <c r="E79">
        <v>0</v>
      </c>
      <c r="F79">
        <v>0</v>
      </c>
      <c r="G79">
        <v>5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region_summary__39[[#This Row],[APPROVED BY Pengawas]]+region_summary__39[[#This Row],[EDITED BY Admin Kabupaten]]</f>
        <v>60</v>
      </c>
    </row>
    <row r="80" spans="1:13" x14ac:dyDescent="0.25">
      <c r="A80" s="4" t="s">
        <v>24</v>
      </c>
      <c r="B80">
        <v>7172010016001200</v>
      </c>
      <c r="C80">
        <v>56</v>
      </c>
      <c r="D80">
        <v>0</v>
      </c>
      <c r="E80">
        <v>2</v>
      </c>
      <c r="F80">
        <v>0</v>
      </c>
      <c r="G80">
        <v>54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region_summary__39[[#This Row],[APPROVED BY Pengawas]]+region_summary__39[[#This Row],[EDITED BY Admin Kabupaten]]</f>
        <v>0</v>
      </c>
    </row>
    <row r="81" spans="1:13" x14ac:dyDescent="0.25">
      <c r="A81" s="4" t="s">
        <v>24</v>
      </c>
      <c r="B81">
        <v>7172010016001000</v>
      </c>
      <c r="C81">
        <v>55</v>
      </c>
      <c r="D81">
        <v>47</v>
      </c>
      <c r="E81">
        <v>0</v>
      </c>
      <c r="F81">
        <v>0</v>
      </c>
      <c r="G81">
        <v>8</v>
      </c>
      <c r="H81">
        <v>0</v>
      </c>
      <c r="I81">
        <v>0</v>
      </c>
      <c r="J81">
        <v>0</v>
      </c>
      <c r="K81">
        <v>0</v>
      </c>
      <c r="L81">
        <v>0</v>
      </c>
      <c r="M81">
        <f>region_summary__39[[#This Row],[APPROVED BY Pengawas]]+region_summary__39[[#This Row],[EDITED BY Admin Kabupaten]]</f>
        <v>47</v>
      </c>
    </row>
    <row r="82" spans="1:13" x14ac:dyDescent="0.25">
      <c r="A82" s="4" t="s">
        <v>24</v>
      </c>
      <c r="B82">
        <v>7172010016000600</v>
      </c>
      <c r="C82">
        <v>54</v>
      </c>
      <c r="D82">
        <v>0</v>
      </c>
      <c r="E82">
        <v>0</v>
      </c>
      <c r="F82">
        <v>0</v>
      </c>
      <c r="G82">
        <v>54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region_summary__39[[#This Row],[APPROVED BY Pengawas]]+region_summary__39[[#This Row],[EDITED BY Admin Kabupaten]]</f>
        <v>0</v>
      </c>
    </row>
    <row r="83" spans="1:13" x14ac:dyDescent="0.25">
      <c r="A83" s="4" t="s">
        <v>24</v>
      </c>
      <c r="B83">
        <v>7172010016000300</v>
      </c>
      <c r="C83">
        <v>48</v>
      </c>
      <c r="D83">
        <v>0</v>
      </c>
      <c r="E83">
        <v>0</v>
      </c>
      <c r="F83">
        <v>0</v>
      </c>
      <c r="G83">
        <v>48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region_summary__39[[#This Row],[APPROVED BY Pengawas]]+region_summary__39[[#This Row],[EDITED BY Admin Kabupaten]]</f>
        <v>0</v>
      </c>
    </row>
    <row r="84" spans="1:13" x14ac:dyDescent="0.25">
      <c r="A84" s="4" t="s">
        <v>24</v>
      </c>
      <c r="B84">
        <v>7172010016000400</v>
      </c>
      <c r="C84">
        <v>48</v>
      </c>
      <c r="D84">
        <v>1</v>
      </c>
      <c r="E84">
        <v>0</v>
      </c>
      <c r="F84">
        <v>0</v>
      </c>
      <c r="G84">
        <v>47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region_summary__39[[#This Row],[APPROVED BY Pengawas]]+region_summary__39[[#This Row],[EDITED BY Admin Kabupaten]]</f>
        <v>1</v>
      </c>
    </row>
    <row r="85" spans="1:13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region_summary__39[[#This Row],[APPROVED BY Pengawas]]+region_summary__39[[#This Row],[EDITED BY Admin Kabupaten]]</f>
        <v>0</v>
      </c>
    </row>
    <row r="86" spans="1:13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region_summary__39[[#This Row],[APPROVED BY Pengawas]]+region_summary__39[[#This Row],[EDITED BY Admin Kabupaten]]</f>
        <v>0</v>
      </c>
    </row>
    <row r="87" spans="1:13" x14ac:dyDescent="0.25">
      <c r="A87" s="4" t="s">
        <v>26</v>
      </c>
      <c r="B87">
        <v>7172011001000100</v>
      </c>
      <c r="C87">
        <v>154</v>
      </c>
      <c r="D87">
        <v>97</v>
      </c>
      <c r="E87">
        <v>23</v>
      </c>
      <c r="F87">
        <v>5</v>
      </c>
      <c r="G87">
        <v>19</v>
      </c>
      <c r="H87">
        <v>0</v>
      </c>
      <c r="I87">
        <v>2</v>
      </c>
      <c r="J87">
        <v>0</v>
      </c>
      <c r="K87">
        <v>8</v>
      </c>
      <c r="L87">
        <v>0</v>
      </c>
      <c r="M87">
        <f>region_summary__39[[#This Row],[APPROVED BY Pengawas]]+region_summary__39[[#This Row],[EDITED BY Admin Kabupaten]]</f>
        <v>102</v>
      </c>
    </row>
    <row r="88" spans="1:13" x14ac:dyDescent="0.25">
      <c r="A88" s="4" t="s">
        <v>26</v>
      </c>
      <c r="B88">
        <v>7172011004002000</v>
      </c>
      <c r="C88">
        <v>108</v>
      </c>
      <c r="D88">
        <v>0</v>
      </c>
      <c r="E88">
        <v>5</v>
      </c>
      <c r="F88">
        <v>0</v>
      </c>
      <c r="G88">
        <v>98</v>
      </c>
      <c r="H88">
        <v>0</v>
      </c>
      <c r="I88">
        <v>0</v>
      </c>
      <c r="J88">
        <v>0</v>
      </c>
      <c r="K88">
        <v>5</v>
      </c>
      <c r="L88">
        <v>0</v>
      </c>
      <c r="M88">
        <f>region_summary__39[[#This Row],[APPROVED BY Pengawas]]+region_summary__39[[#This Row],[EDITED BY Admin Kabupaten]]</f>
        <v>0</v>
      </c>
    </row>
    <row r="89" spans="1:13" x14ac:dyDescent="0.25">
      <c r="A89" s="4" t="s">
        <v>26</v>
      </c>
      <c r="B89">
        <v>7172011001000600</v>
      </c>
      <c r="C89">
        <v>96</v>
      </c>
      <c r="D89">
        <v>25</v>
      </c>
      <c r="E89">
        <v>42</v>
      </c>
      <c r="F89">
        <v>0</v>
      </c>
      <c r="G89">
        <v>19</v>
      </c>
      <c r="H89">
        <v>0</v>
      </c>
      <c r="I89">
        <v>0</v>
      </c>
      <c r="J89">
        <v>0</v>
      </c>
      <c r="K89">
        <v>10</v>
      </c>
      <c r="L89">
        <v>0</v>
      </c>
      <c r="M89">
        <f>region_summary__39[[#This Row],[APPROVED BY Pengawas]]+region_summary__39[[#This Row],[EDITED BY Admin Kabupaten]]</f>
        <v>25</v>
      </c>
    </row>
    <row r="90" spans="1:13" x14ac:dyDescent="0.25">
      <c r="A90" s="4" t="s">
        <v>26</v>
      </c>
      <c r="B90">
        <v>7172011001000300</v>
      </c>
      <c r="C90">
        <v>79</v>
      </c>
      <c r="D90">
        <v>12</v>
      </c>
      <c r="E90">
        <v>5</v>
      </c>
      <c r="F90">
        <v>0</v>
      </c>
      <c r="G90">
        <v>55</v>
      </c>
      <c r="H90">
        <v>0</v>
      </c>
      <c r="I90">
        <v>0</v>
      </c>
      <c r="J90">
        <v>0</v>
      </c>
      <c r="K90">
        <v>7</v>
      </c>
      <c r="L90">
        <v>0</v>
      </c>
      <c r="M90">
        <f>region_summary__39[[#This Row],[APPROVED BY Pengawas]]+region_summary__39[[#This Row],[EDITED BY Admin Kabupaten]]</f>
        <v>12</v>
      </c>
    </row>
    <row r="91" spans="1:13" x14ac:dyDescent="0.25">
      <c r="A91" s="4" t="s">
        <v>26</v>
      </c>
      <c r="B91">
        <v>7172011004002100</v>
      </c>
      <c r="C91">
        <v>76</v>
      </c>
      <c r="D91">
        <v>0</v>
      </c>
      <c r="E91">
        <v>4</v>
      </c>
      <c r="F91">
        <v>0</v>
      </c>
      <c r="G91">
        <v>55</v>
      </c>
      <c r="H91">
        <v>0</v>
      </c>
      <c r="I91">
        <v>0</v>
      </c>
      <c r="J91">
        <v>0</v>
      </c>
      <c r="K91">
        <v>17</v>
      </c>
      <c r="L91">
        <v>0</v>
      </c>
      <c r="M91">
        <f>region_summary__39[[#This Row],[APPROVED BY Pengawas]]+region_summary__39[[#This Row],[EDITED BY Admin Kabupaten]]</f>
        <v>0</v>
      </c>
    </row>
    <row r="92" spans="1:13" x14ac:dyDescent="0.25">
      <c r="A92" s="4" t="s">
        <v>26</v>
      </c>
      <c r="B92">
        <v>7172011001000200</v>
      </c>
      <c r="C92">
        <v>74</v>
      </c>
      <c r="D92">
        <v>22</v>
      </c>
      <c r="E92">
        <v>10</v>
      </c>
      <c r="F92">
        <v>0</v>
      </c>
      <c r="G92">
        <v>42</v>
      </c>
      <c r="H92">
        <v>0</v>
      </c>
      <c r="I92">
        <v>0</v>
      </c>
      <c r="J92">
        <v>0</v>
      </c>
      <c r="K92">
        <v>0</v>
      </c>
      <c r="L92">
        <v>0</v>
      </c>
      <c r="M92">
        <f>region_summary__39[[#This Row],[APPROVED BY Pengawas]]+region_summary__39[[#This Row],[EDITED BY Admin Kabupaten]]</f>
        <v>22</v>
      </c>
    </row>
    <row r="93" spans="1:13" x14ac:dyDescent="0.25">
      <c r="A93" s="4" t="s">
        <v>26</v>
      </c>
      <c r="B93">
        <v>7172011001000500</v>
      </c>
      <c r="C93">
        <v>70</v>
      </c>
      <c r="D93">
        <v>52</v>
      </c>
      <c r="E93">
        <v>9</v>
      </c>
      <c r="F93">
        <v>0</v>
      </c>
      <c r="G93">
        <v>8</v>
      </c>
      <c r="H93">
        <v>0</v>
      </c>
      <c r="I93">
        <v>1</v>
      </c>
      <c r="J93">
        <v>0</v>
      </c>
      <c r="K93">
        <v>0</v>
      </c>
      <c r="L93">
        <v>0</v>
      </c>
      <c r="M93">
        <f>region_summary__39[[#This Row],[APPROVED BY Pengawas]]+region_summary__39[[#This Row],[EDITED BY Admin Kabupaten]]</f>
        <v>52</v>
      </c>
    </row>
    <row r="94" spans="1:13" x14ac:dyDescent="0.25">
      <c r="A94" s="4" t="s">
        <v>26</v>
      </c>
      <c r="B94">
        <v>7172011001000400</v>
      </c>
      <c r="C94">
        <v>58</v>
      </c>
      <c r="D94">
        <v>7</v>
      </c>
      <c r="E94">
        <v>2</v>
      </c>
      <c r="F94">
        <v>0</v>
      </c>
      <c r="G94">
        <v>47</v>
      </c>
      <c r="H94">
        <v>0</v>
      </c>
      <c r="I94">
        <v>0</v>
      </c>
      <c r="J94">
        <v>0</v>
      </c>
      <c r="K94">
        <v>2</v>
      </c>
      <c r="L94">
        <v>0</v>
      </c>
      <c r="M94">
        <f>region_summary__39[[#This Row],[APPROVED BY Pengawas]]+region_summary__39[[#This Row],[EDITED BY Admin Kabupaten]]</f>
        <v>7</v>
      </c>
    </row>
    <row r="95" spans="1:13" x14ac:dyDescent="0.25">
      <c r="A95" s="4" t="s">
        <v>19</v>
      </c>
      <c r="B95">
        <v>7172010016002300</v>
      </c>
      <c r="C95">
        <v>149</v>
      </c>
      <c r="D95">
        <v>20</v>
      </c>
      <c r="E95">
        <v>0</v>
      </c>
      <c r="F95">
        <v>0</v>
      </c>
      <c r="G95">
        <v>129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region_summary__39[[#This Row],[APPROVED BY Pengawas]]+region_summary__39[[#This Row],[EDITED BY Admin Kabupaten]]</f>
        <v>20</v>
      </c>
    </row>
    <row r="96" spans="1:13" x14ac:dyDescent="0.25">
      <c r="A96" s="4" t="s">
        <v>19</v>
      </c>
      <c r="B96">
        <v>7172010016002400</v>
      </c>
      <c r="C96">
        <v>107</v>
      </c>
      <c r="D96">
        <v>99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8</v>
      </c>
      <c r="L96">
        <v>0</v>
      </c>
      <c r="M96">
        <f>region_summary__39[[#This Row],[APPROVED BY Pengawas]]+region_summary__39[[#This Row],[EDITED BY Admin Kabupaten]]</f>
        <v>99</v>
      </c>
    </row>
    <row r="97" spans="1:13" x14ac:dyDescent="0.25">
      <c r="A97" s="4" t="s">
        <v>19</v>
      </c>
      <c r="B97">
        <v>7172010017000400</v>
      </c>
      <c r="C97">
        <v>90</v>
      </c>
      <c r="D97">
        <v>16</v>
      </c>
      <c r="E97">
        <v>0</v>
      </c>
      <c r="F97">
        <v>0</v>
      </c>
      <c r="G97">
        <v>74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region_summary__39[[#This Row],[APPROVED BY Pengawas]]+region_summary__39[[#This Row],[EDITED BY Admin Kabupaten]]</f>
        <v>16</v>
      </c>
    </row>
    <row r="98" spans="1:13" x14ac:dyDescent="0.25">
      <c r="A98" s="4" t="s">
        <v>19</v>
      </c>
      <c r="B98">
        <v>7172010016002500</v>
      </c>
      <c r="C98">
        <v>83</v>
      </c>
      <c r="D98">
        <v>19</v>
      </c>
      <c r="E98">
        <v>0</v>
      </c>
      <c r="F98">
        <v>0</v>
      </c>
      <c r="G98">
        <v>63</v>
      </c>
      <c r="H98">
        <v>0</v>
      </c>
      <c r="I98">
        <v>0</v>
      </c>
      <c r="J98">
        <v>0</v>
      </c>
      <c r="K98">
        <v>0</v>
      </c>
      <c r="L98">
        <v>1</v>
      </c>
      <c r="M98">
        <f>region_summary__39[[#This Row],[APPROVED BY Pengawas]]+region_summary__39[[#This Row],[EDITED BY Admin Kabupaten]]</f>
        <v>19</v>
      </c>
    </row>
    <row r="99" spans="1:13" x14ac:dyDescent="0.25">
      <c r="A99" s="4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region_summary__39[[#This Row],[APPROVED BY Pengawas]]+region_summary__39[[#This Row],[EDITED BY Admin Kabupaten]]</f>
        <v>61</v>
      </c>
    </row>
    <row r="100" spans="1:13" x14ac:dyDescent="0.25">
      <c r="A100" s="4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region_summary__39[[#This Row],[APPROVED BY Pengawas]]+region_summary__39[[#This Row],[EDITED BY Admin Kabupaten]]</f>
        <v>53</v>
      </c>
    </row>
    <row r="101" spans="1:13" x14ac:dyDescent="0.25">
      <c r="A101" s="4" t="s">
        <v>19</v>
      </c>
      <c r="B101">
        <v>7172010015000700</v>
      </c>
      <c r="C101">
        <v>46</v>
      </c>
      <c r="D101">
        <v>2</v>
      </c>
      <c r="E101">
        <v>0</v>
      </c>
      <c r="F101">
        <v>0</v>
      </c>
      <c r="G101">
        <v>44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region_summary__39[[#This Row],[APPROVED BY Pengawas]]+region_summary__39[[#This Row],[EDITED BY Admin Kabupaten]]</f>
        <v>2</v>
      </c>
    </row>
    <row r="102" spans="1:13" x14ac:dyDescent="0.25">
      <c r="A102" s="4" t="s">
        <v>19</v>
      </c>
      <c r="B102">
        <v>7172010016002600</v>
      </c>
      <c r="C102">
        <v>43</v>
      </c>
      <c r="D102">
        <v>20</v>
      </c>
      <c r="E102">
        <v>0</v>
      </c>
      <c r="F102">
        <v>0</v>
      </c>
      <c r="G102">
        <v>23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region_summary__39[[#This Row],[APPROVED BY Pengawas]]+region_summary__39[[#This Row],[EDITED BY Admin Kabupaten]]</f>
        <v>20</v>
      </c>
    </row>
    <row r="103" spans="1:13" x14ac:dyDescent="0.25">
      <c r="A103" s="4" t="s">
        <v>19</v>
      </c>
      <c r="B103">
        <v>7172010017000300</v>
      </c>
      <c r="C103">
        <v>43</v>
      </c>
      <c r="D103">
        <v>0</v>
      </c>
      <c r="E103">
        <v>0</v>
      </c>
      <c r="F103">
        <v>0</v>
      </c>
      <c r="G103">
        <v>43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region_summary__39[[#This Row],[APPROVED BY Pengawas]]+region_summary__39[[#This Row],[EDITED BY Admin Kabupaten]]</f>
        <v>0</v>
      </c>
    </row>
    <row r="104" spans="1:13" x14ac:dyDescent="0.25">
      <c r="A104" s="4" t="s">
        <v>28</v>
      </c>
      <c r="B104">
        <v>7172011002000100</v>
      </c>
      <c r="C104">
        <v>166</v>
      </c>
      <c r="D104">
        <v>23</v>
      </c>
      <c r="E104">
        <v>2</v>
      </c>
      <c r="F104">
        <v>2</v>
      </c>
      <c r="G104">
        <v>139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region_summary__39[[#This Row],[APPROVED BY Pengawas]]+region_summary__39[[#This Row],[EDITED BY Admin Kabupaten]]</f>
        <v>25</v>
      </c>
    </row>
    <row r="105" spans="1:13" x14ac:dyDescent="0.25">
      <c r="A105" s="4" t="s">
        <v>28</v>
      </c>
      <c r="B105">
        <v>7172011002000700</v>
      </c>
      <c r="C105">
        <v>116</v>
      </c>
      <c r="D105">
        <v>102</v>
      </c>
      <c r="E105">
        <v>2</v>
      </c>
      <c r="F105">
        <v>1</v>
      </c>
      <c r="G105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region_summary__39[[#This Row],[APPROVED BY Pengawas]]+region_summary__39[[#This Row],[EDITED BY Admin Kabupaten]]</f>
        <v>103</v>
      </c>
    </row>
    <row r="106" spans="1:13" x14ac:dyDescent="0.25">
      <c r="A106" s="4" t="s">
        <v>28</v>
      </c>
      <c r="B106">
        <v>7172011002000500</v>
      </c>
      <c r="C106">
        <v>109</v>
      </c>
      <c r="D106">
        <v>91</v>
      </c>
      <c r="E106">
        <v>4</v>
      </c>
      <c r="F106">
        <v>6</v>
      </c>
      <c r="G106">
        <v>8</v>
      </c>
      <c r="H106">
        <v>0</v>
      </c>
      <c r="I106">
        <v>0</v>
      </c>
      <c r="J106">
        <v>0</v>
      </c>
      <c r="K106">
        <v>0</v>
      </c>
      <c r="L106">
        <v>0</v>
      </c>
      <c r="M106">
        <f>region_summary__39[[#This Row],[APPROVED BY Pengawas]]+region_summary__39[[#This Row],[EDITED BY Admin Kabupaten]]</f>
        <v>97</v>
      </c>
    </row>
    <row r="107" spans="1:13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86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region_summary__39[[#This Row],[APPROVED BY Pengawas]]+region_summary__39[[#This Row],[EDITED BY Admin Kabupaten]]</f>
        <v>0</v>
      </c>
    </row>
    <row r="108" spans="1:13" x14ac:dyDescent="0.25">
      <c r="A108" s="4" t="s">
        <v>28</v>
      </c>
      <c r="B108">
        <v>7172011002000200</v>
      </c>
      <c r="C108">
        <v>85</v>
      </c>
      <c r="D108">
        <v>19</v>
      </c>
      <c r="E108">
        <v>0</v>
      </c>
      <c r="F108">
        <v>0</v>
      </c>
      <c r="G108">
        <v>66</v>
      </c>
      <c r="H108">
        <v>0</v>
      </c>
      <c r="I108">
        <v>0</v>
      </c>
      <c r="J108">
        <v>0</v>
      </c>
      <c r="K108">
        <v>0</v>
      </c>
      <c r="L108">
        <v>0</v>
      </c>
      <c r="M108">
        <f>region_summary__39[[#This Row],[APPROVED BY Pengawas]]+region_summary__39[[#This Row],[EDITED BY Admin Kabupaten]]</f>
        <v>19</v>
      </c>
    </row>
    <row r="109" spans="1:13" x14ac:dyDescent="0.25">
      <c r="A109" s="4" t="s">
        <v>28</v>
      </c>
      <c r="B109">
        <v>7172011002000300</v>
      </c>
      <c r="C109">
        <v>85</v>
      </c>
      <c r="D109">
        <v>47</v>
      </c>
      <c r="E109">
        <v>3</v>
      </c>
      <c r="F109">
        <v>0</v>
      </c>
      <c r="G109">
        <v>35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region_summary__39[[#This Row],[APPROVED BY Pengawas]]+region_summary__39[[#This Row],[EDITED BY Admin Kabupaten]]</f>
        <v>47</v>
      </c>
    </row>
    <row r="110" spans="1:13" x14ac:dyDescent="0.25">
      <c r="A110" s="4" t="s">
        <v>28</v>
      </c>
      <c r="B110">
        <v>7172011002000800</v>
      </c>
      <c r="C110">
        <v>35</v>
      </c>
      <c r="D110">
        <v>8</v>
      </c>
      <c r="E110">
        <v>0</v>
      </c>
      <c r="F110">
        <v>0</v>
      </c>
      <c r="G110">
        <v>27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region_summary__39[[#This Row],[APPROVED BY Pengawas]]+region_summary__39[[#This Row],[EDITED BY Admin Kabupaten]]</f>
        <v>8</v>
      </c>
    </row>
    <row r="111" spans="1:13" x14ac:dyDescent="0.25">
      <c r="A111" s="4" t="s">
        <v>42</v>
      </c>
      <c r="B111">
        <v>7172011014001300</v>
      </c>
      <c r="C111">
        <v>175</v>
      </c>
      <c r="D111">
        <v>12</v>
      </c>
      <c r="E111">
        <v>0</v>
      </c>
      <c r="F111">
        <v>0</v>
      </c>
      <c r="G111">
        <v>159</v>
      </c>
      <c r="H111">
        <v>0</v>
      </c>
      <c r="I111">
        <v>0</v>
      </c>
      <c r="J111">
        <v>0</v>
      </c>
      <c r="K111">
        <v>4</v>
      </c>
      <c r="L111">
        <v>0</v>
      </c>
      <c r="M111">
        <f>region_summary__39[[#This Row],[APPROVED BY Pengawas]]+region_summary__39[[#This Row],[EDITED BY Admin Kabupaten]]</f>
        <v>12</v>
      </c>
    </row>
    <row r="112" spans="1:13" x14ac:dyDescent="0.25">
      <c r="A112" s="4" t="s">
        <v>42</v>
      </c>
      <c r="B112">
        <v>7172011014001600</v>
      </c>
      <c r="C112">
        <v>127</v>
      </c>
      <c r="D112">
        <v>85</v>
      </c>
      <c r="E112">
        <v>39</v>
      </c>
      <c r="F112">
        <v>1</v>
      </c>
      <c r="G112">
        <v>0</v>
      </c>
      <c r="H112">
        <v>0</v>
      </c>
      <c r="I112">
        <v>0</v>
      </c>
      <c r="J112">
        <v>0</v>
      </c>
      <c r="K112">
        <v>2</v>
      </c>
      <c r="L112">
        <v>0</v>
      </c>
      <c r="M112">
        <f>region_summary__39[[#This Row],[APPROVED BY Pengawas]]+region_summary__39[[#This Row],[EDITED BY Admin Kabupaten]]</f>
        <v>86</v>
      </c>
    </row>
    <row r="113" spans="1:13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89</v>
      </c>
      <c r="H113">
        <v>0</v>
      </c>
      <c r="I113">
        <v>0</v>
      </c>
      <c r="J113">
        <v>0</v>
      </c>
      <c r="K113">
        <v>1</v>
      </c>
      <c r="L113">
        <v>0</v>
      </c>
      <c r="M113">
        <f>region_summary__39[[#This Row],[APPROVED BY Pengawas]]+region_summary__39[[#This Row],[EDITED BY Admin Kabupaten]]</f>
        <v>0</v>
      </c>
    </row>
    <row r="114" spans="1:13" x14ac:dyDescent="0.25">
      <c r="A114" s="4" t="s">
        <v>42</v>
      </c>
      <c r="B114">
        <v>7172011014001703</v>
      </c>
      <c r="C114">
        <v>84</v>
      </c>
      <c r="D114">
        <v>67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16</v>
      </c>
      <c r="L114">
        <v>0</v>
      </c>
      <c r="M114">
        <f>region_summary__39[[#This Row],[APPROVED BY Pengawas]]+region_summary__39[[#This Row],[EDITED BY Admin Kabupaten]]</f>
        <v>67</v>
      </c>
    </row>
    <row r="115" spans="1:13" x14ac:dyDescent="0.25">
      <c r="A115" s="4" t="s">
        <v>42</v>
      </c>
      <c r="B115">
        <v>7172011014001500</v>
      </c>
      <c r="C115">
        <v>78</v>
      </c>
      <c r="D115">
        <v>9</v>
      </c>
      <c r="E115">
        <v>24</v>
      </c>
      <c r="F115">
        <v>0</v>
      </c>
      <c r="G115">
        <v>20</v>
      </c>
      <c r="H115">
        <v>0</v>
      </c>
      <c r="I115">
        <v>0</v>
      </c>
      <c r="J115">
        <v>0</v>
      </c>
      <c r="K115">
        <v>25</v>
      </c>
      <c r="L115">
        <v>0</v>
      </c>
      <c r="M115">
        <f>region_summary__39[[#This Row],[APPROVED BY Pengawas]]+region_summary__39[[#This Row],[EDITED BY Admin Kabupaten]]</f>
        <v>9</v>
      </c>
    </row>
    <row r="116" spans="1:13" x14ac:dyDescent="0.25">
      <c r="A116" s="4" t="s">
        <v>42</v>
      </c>
      <c r="B116">
        <v>7172011014001701</v>
      </c>
      <c r="C116">
        <v>64</v>
      </c>
      <c r="D116">
        <v>11</v>
      </c>
      <c r="E116">
        <v>2</v>
      </c>
      <c r="F116">
        <v>0</v>
      </c>
      <c r="G116">
        <v>51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region_summary__39[[#This Row],[APPROVED BY Pengawas]]+region_summary__39[[#This Row],[EDITED BY Admin Kabupaten]]</f>
        <v>11</v>
      </c>
    </row>
    <row r="117" spans="1:13" x14ac:dyDescent="0.25">
      <c r="A117" s="4" t="s">
        <v>42</v>
      </c>
      <c r="B117">
        <v>7172011004001400</v>
      </c>
      <c r="C117">
        <v>45</v>
      </c>
      <c r="D117">
        <v>7</v>
      </c>
      <c r="E117">
        <v>0</v>
      </c>
      <c r="F117">
        <v>0</v>
      </c>
      <c r="G117">
        <v>6</v>
      </c>
      <c r="H117">
        <v>0</v>
      </c>
      <c r="I117">
        <v>0</v>
      </c>
      <c r="J117">
        <v>0</v>
      </c>
      <c r="K117">
        <v>32</v>
      </c>
      <c r="L117">
        <v>0</v>
      </c>
      <c r="M117">
        <f>region_summary__39[[#This Row],[APPROVED BY Pengawas]]+region_summary__39[[#This Row],[EDITED BY Admin Kabupaten]]</f>
        <v>7</v>
      </c>
    </row>
    <row r="118" spans="1:13" x14ac:dyDescent="0.25">
      <c r="A118" s="4" t="s">
        <v>45</v>
      </c>
      <c r="B118">
        <v>7172011012001100</v>
      </c>
      <c r="C118">
        <v>176</v>
      </c>
      <c r="D118">
        <v>29</v>
      </c>
      <c r="E118">
        <v>0</v>
      </c>
      <c r="F118">
        <v>0</v>
      </c>
      <c r="G118">
        <v>147</v>
      </c>
      <c r="H118">
        <v>0</v>
      </c>
      <c r="I118">
        <v>0</v>
      </c>
      <c r="J118">
        <v>0</v>
      </c>
      <c r="K118">
        <v>0</v>
      </c>
      <c r="L118">
        <v>0</v>
      </c>
      <c r="M118">
        <f>region_summary__39[[#This Row],[APPROVED BY Pengawas]]+region_summary__39[[#This Row],[EDITED BY Admin Kabupaten]]</f>
        <v>29</v>
      </c>
    </row>
    <row r="119" spans="1:13" x14ac:dyDescent="0.25">
      <c r="A119" s="4" t="s">
        <v>45</v>
      </c>
      <c r="B119">
        <v>7172011012001200</v>
      </c>
      <c r="C119">
        <v>130</v>
      </c>
      <c r="D119">
        <v>32</v>
      </c>
      <c r="E119">
        <v>7</v>
      </c>
      <c r="F119">
        <v>1</v>
      </c>
      <c r="G119">
        <v>88</v>
      </c>
      <c r="H119">
        <v>0</v>
      </c>
      <c r="I119">
        <v>0</v>
      </c>
      <c r="J119">
        <v>0</v>
      </c>
      <c r="K119">
        <v>2</v>
      </c>
      <c r="L119">
        <v>0</v>
      </c>
      <c r="M119">
        <f>region_summary__39[[#This Row],[APPROVED BY Pengawas]]+region_summary__39[[#This Row],[EDITED BY Admin Kabupaten]]</f>
        <v>33</v>
      </c>
    </row>
    <row r="120" spans="1:13" x14ac:dyDescent="0.25">
      <c r="A120" s="4" t="s">
        <v>45</v>
      </c>
      <c r="B120">
        <v>7172011012001300</v>
      </c>
      <c r="C120">
        <v>125</v>
      </c>
      <c r="D120">
        <v>92</v>
      </c>
      <c r="E120">
        <v>3</v>
      </c>
      <c r="F120">
        <v>2</v>
      </c>
      <c r="G120">
        <v>28</v>
      </c>
      <c r="H120">
        <v>0</v>
      </c>
      <c r="I120">
        <v>0</v>
      </c>
      <c r="J120">
        <v>0</v>
      </c>
      <c r="K120">
        <v>0</v>
      </c>
      <c r="L120">
        <v>0</v>
      </c>
      <c r="M120">
        <f>region_summary__39[[#This Row],[APPROVED BY Pengawas]]+region_summary__39[[#This Row],[EDITED BY Admin Kabupaten]]</f>
        <v>94</v>
      </c>
    </row>
    <row r="121" spans="1:13" x14ac:dyDescent="0.25">
      <c r="A121" s="4" t="s">
        <v>45</v>
      </c>
      <c r="B121">
        <v>7172011012001000</v>
      </c>
      <c r="C121">
        <v>112</v>
      </c>
      <c r="D121">
        <v>0</v>
      </c>
      <c r="E121">
        <v>0</v>
      </c>
      <c r="F121">
        <v>0</v>
      </c>
      <c r="G121">
        <v>112</v>
      </c>
      <c r="H121">
        <v>0</v>
      </c>
      <c r="I121">
        <v>0</v>
      </c>
      <c r="J121">
        <v>0</v>
      </c>
      <c r="K121">
        <v>0</v>
      </c>
      <c r="L121">
        <v>0</v>
      </c>
      <c r="M121">
        <f>region_summary__39[[#This Row],[APPROVED BY Pengawas]]+region_summary__39[[#This Row],[EDITED BY Admin Kabupaten]]</f>
        <v>0</v>
      </c>
    </row>
    <row r="122" spans="1:13" x14ac:dyDescent="0.25">
      <c r="A122" s="4" t="s">
        <v>45</v>
      </c>
      <c r="B122">
        <v>7172011013000200</v>
      </c>
      <c r="C122">
        <v>60</v>
      </c>
      <c r="D122">
        <v>53</v>
      </c>
      <c r="E122">
        <v>2</v>
      </c>
      <c r="F122">
        <v>3</v>
      </c>
      <c r="G122">
        <v>2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region_summary__39[[#This Row],[APPROVED BY Pengawas]]+region_summary__39[[#This Row],[EDITED BY Admin Kabupaten]]</f>
        <v>56</v>
      </c>
    </row>
    <row r="123" spans="1:13" x14ac:dyDescent="0.25">
      <c r="A123" s="4" t="s">
        <v>45</v>
      </c>
      <c r="B123">
        <v>7172011013000100</v>
      </c>
      <c r="C123">
        <v>59</v>
      </c>
      <c r="D123">
        <v>54</v>
      </c>
      <c r="E123">
        <v>0</v>
      </c>
      <c r="F123">
        <v>3</v>
      </c>
      <c r="G123">
        <v>2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region_summary__39[[#This Row],[APPROVED BY Pengawas]]+region_summary__39[[#This Row],[EDITED BY Admin Kabupaten]]</f>
        <v>57</v>
      </c>
    </row>
    <row r="124" spans="1:13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region_summary__39[[#This Row],[APPROVED BY Pengawas]]+region_summary__39[[#This Row],[EDITED BY Admin Kabupaten]]</f>
        <v>0</v>
      </c>
    </row>
    <row r="125" spans="1:13" x14ac:dyDescent="0.25">
      <c r="A125" s="4" t="s">
        <v>35</v>
      </c>
      <c r="B125">
        <v>7172011003001801</v>
      </c>
      <c r="C125">
        <v>245</v>
      </c>
      <c r="D125">
        <v>25</v>
      </c>
      <c r="E125">
        <v>5</v>
      </c>
      <c r="F125">
        <v>0</v>
      </c>
      <c r="G125">
        <v>204</v>
      </c>
      <c r="H125">
        <v>0</v>
      </c>
      <c r="I125">
        <v>0</v>
      </c>
      <c r="J125">
        <v>0</v>
      </c>
      <c r="K125">
        <v>11</v>
      </c>
      <c r="L125">
        <v>0</v>
      </c>
      <c r="M125">
        <f>region_summary__39[[#This Row],[APPROVED BY Pengawas]]+region_summary__39[[#This Row],[EDITED BY Admin Kabupaten]]</f>
        <v>25</v>
      </c>
    </row>
    <row r="126" spans="1:13" x14ac:dyDescent="0.25">
      <c r="A126" s="4" t="s">
        <v>35</v>
      </c>
      <c r="B126">
        <v>7172011003001900</v>
      </c>
      <c r="C126">
        <v>132</v>
      </c>
      <c r="D126">
        <v>76</v>
      </c>
      <c r="E126">
        <v>16</v>
      </c>
      <c r="F126">
        <v>0</v>
      </c>
      <c r="G126">
        <v>1</v>
      </c>
      <c r="H126">
        <v>0</v>
      </c>
      <c r="I126">
        <v>0</v>
      </c>
      <c r="J126">
        <v>0</v>
      </c>
      <c r="K126">
        <v>39</v>
      </c>
      <c r="L126">
        <v>0</v>
      </c>
      <c r="M126">
        <f>region_summary__39[[#This Row],[APPROVED BY Pengawas]]+region_summary__39[[#This Row],[EDITED BY Admin Kabupaten]]</f>
        <v>76</v>
      </c>
    </row>
    <row r="127" spans="1:13" x14ac:dyDescent="0.25">
      <c r="A127" s="4" t="s">
        <v>35</v>
      </c>
      <c r="B127">
        <v>7172011003001700</v>
      </c>
      <c r="C127">
        <v>70</v>
      </c>
      <c r="D127">
        <v>28</v>
      </c>
      <c r="E127">
        <v>0</v>
      </c>
      <c r="F127">
        <v>0</v>
      </c>
      <c r="G127">
        <v>42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region_summary__39[[#This Row],[APPROVED BY Pengawas]]+region_summary__39[[#This Row],[EDITED BY Admin Kabupaten]]</f>
        <v>28</v>
      </c>
    </row>
    <row r="128" spans="1:13" x14ac:dyDescent="0.25">
      <c r="A128" s="4" t="s">
        <v>35</v>
      </c>
      <c r="B128">
        <v>7172011003001802</v>
      </c>
      <c r="C128">
        <v>70</v>
      </c>
      <c r="D128">
        <v>8</v>
      </c>
      <c r="E128">
        <v>2</v>
      </c>
      <c r="F128">
        <v>0</v>
      </c>
      <c r="G128">
        <v>54</v>
      </c>
      <c r="H128">
        <v>0</v>
      </c>
      <c r="I128">
        <v>0</v>
      </c>
      <c r="J128">
        <v>0</v>
      </c>
      <c r="K128">
        <v>6</v>
      </c>
      <c r="L128">
        <v>0</v>
      </c>
      <c r="M128">
        <f>region_summary__39[[#This Row],[APPROVED BY Pengawas]]+region_summary__39[[#This Row],[EDITED BY Admin Kabupaten]]</f>
        <v>8</v>
      </c>
    </row>
    <row r="129" spans="1:13" x14ac:dyDescent="0.25">
      <c r="A129" s="4" t="s">
        <v>35</v>
      </c>
      <c r="B129">
        <v>7172011003001300</v>
      </c>
      <c r="C129">
        <v>66</v>
      </c>
      <c r="D129">
        <v>64</v>
      </c>
      <c r="E129">
        <v>2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f>region_summary__39[[#This Row],[APPROVED BY Pengawas]]+region_summary__39[[#This Row],[EDITED BY Admin Kabupaten]]</f>
        <v>64</v>
      </c>
    </row>
    <row r="130" spans="1:13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47</v>
      </c>
      <c r="H130">
        <v>0</v>
      </c>
      <c r="I130">
        <v>0</v>
      </c>
      <c r="J130">
        <v>0</v>
      </c>
      <c r="K130">
        <v>5</v>
      </c>
      <c r="L130">
        <v>0</v>
      </c>
      <c r="M130">
        <f>region_summary__39[[#This Row],[APPROVED BY Pengawas]]+region_summary__39[[#This Row],[EDITED BY Admin Kabupaten]]</f>
        <v>0</v>
      </c>
    </row>
    <row r="131" spans="1:13" x14ac:dyDescent="0.25">
      <c r="A131" s="4" t="s">
        <v>37</v>
      </c>
      <c r="B131">
        <v>7172011003002602</v>
      </c>
      <c r="C131">
        <v>224</v>
      </c>
      <c r="D131">
        <v>138</v>
      </c>
      <c r="E131">
        <v>4</v>
      </c>
      <c r="F131">
        <v>0</v>
      </c>
      <c r="G131">
        <v>16</v>
      </c>
      <c r="H131">
        <v>0</v>
      </c>
      <c r="I131">
        <v>0</v>
      </c>
      <c r="J131">
        <v>0</v>
      </c>
      <c r="K131">
        <v>66</v>
      </c>
      <c r="L131">
        <v>0</v>
      </c>
      <c r="M131">
        <f>region_summary__39[[#This Row],[APPROVED BY Pengawas]]+region_summary__39[[#This Row],[EDITED BY Admin Kabupaten]]</f>
        <v>138</v>
      </c>
    </row>
    <row r="132" spans="1:13" x14ac:dyDescent="0.25">
      <c r="A132" s="4" t="s">
        <v>37</v>
      </c>
      <c r="B132">
        <v>7172011003002500</v>
      </c>
      <c r="C132">
        <v>186</v>
      </c>
      <c r="D132">
        <v>62</v>
      </c>
      <c r="E132">
        <v>3</v>
      </c>
      <c r="F132">
        <v>0</v>
      </c>
      <c r="G132">
        <v>85</v>
      </c>
      <c r="H132">
        <v>0</v>
      </c>
      <c r="I132">
        <v>0</v>
      </c>
      <c r="J132">
        <v>0</v>
      </c>
      <c r="K132">
        <v>36</v>
      </c>
      <c r="L132">
        <v>0</v>
      </c>
      <c r="M132">
        <f>region_summary__39[[#This Row],[APPROVED BY Pengawas]]+region_summary__39[[#This Row],[EDITED BY Admin Kabupaten]]</f>
        <v>62</v>
      </c>
    </row>
    <row r="133" spans="1:13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region_summary__39[[#This Row],[APPROVED BY Pengawas]]+region_summary__39[[#This Row],[EDITED BY Admin Kabupaten]]</f>
        <v>0</v>
      </c>
    </row>
    <row r="134" spans="1:13" x14ac:dyDescent="0.25">
      <c r="A134" s="4" t="s">
        <v>37</v>
      </c>
      <c r="B134">
        <v>7172011003002601</v>
      </c>
      <c r="C134">
        <v>121</v>
      </c>
      <c r="D134">
        <v>6</v>
      </c>
      <c r="E134">
        <v>4</v>
      </c>
      <c r="F134">
        <v>0</v>
      </c>
      <c r="G134">
        <v>101</v>
      </c>
      <c r="H134">
        <v>0</v>
      </c>
      <c r="I134">
        <v>1</v>
      </c>
      <c r="J134">
        <v>0</v>
      </c>
      <c r="K134">
        <v>9</v>
      </c>
      <c r="L134">
        <v>0</v>
      </c>
      <c r="M134">
        <f>region_summary__39[[#This Row],[APPROVED BY Pengawas]]+region_summary__39[[#This Row],[EDITED BY Admin Kabupaten]]</f>
        <v>6</v>
      </c>
    </row>
    <row r="135" spans="1:13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37</v>
      </c>
      <c r="H135">
        <v>0</v>
      </c>
      <c r="I135">
        <v>0</v>
      </c>
      <c r="J135">
        <v>0</v>
      </c>
      <c r="K135">
        <v>2</v>
      </c>
      <c r="L135">
        <v>0</v>
      </c>
      <c r="M135">
        <f>region_summary__39[[#This Row],[APPROVED BY Pengawas]]+region_summary__39[[#This Row],[EDITED BY Admin Kabupaten]]</f>
        <v>0</v>
      </c>
    </row>
    <row r="136" spans="1:13" x14ac:dyDescent="0.25">
      <c r="A136" s="4" t="s">
        <v>31</v>
      </c>
      <c r="B136">
        <v>7172011003001100</v>
      </c>
      <c r="C136">
        <v>264</v>
      </c>
      <c r="D136">
        <v>179</v>
      </c>
      <c r="E136">
        <v>1</v>
      </c>
      <c r="F136">
        <v>0</v>
      </c>
      <c r="G136">
        <v>84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region_summary__39[[#This Row],[APPROVED BY Pengawas]]+region_summary__39[[#This Row],[EDITED BY Admin Kabupaten]]</f>
        <v>179</v>
      </c>
    </row>
    <row r="137" spans="1:13" x14ac:dyDescent="0.25">
      <c r="A137" s="4" t="s">
        <v>31</v>
      </c>
      <c r="B137">
        <v>7172011003003600</v>
      </c>
      <c r="C137">
        <v>250</v>
      </c>
      <c r="D137">
        <v>98</v>
      </c>
      <c r="E137">
        <v>1</v>
      </c>
      <c r="F137">
        <v>0</v>
      </c>
      <c r="G137">
        <v>93</v>
      </c>
      <c r="H137">
        <v>0</v>
      </c>
      <c r="I137">
        <v>1</v>
      </c>
      <c r="J137">
        <v>0</v>
      </c>
      <c r="K137">
        <v>57</v>
      </c>
      <c r="L137">
        <v>0</v>
      </c>
      <c r="M137">
        <f>region_summary__39[[#This Row],[APPROVED BY Pengawas]]+region_summary__39[[#This Row],[EDITED BY Admin Kabupaten]]</f>
        <v>98</v>
      </c>
    </row>
    <row r="138" spans="1:13" x14ac:dyDescent="0.25">
      <c r="A138" s="4" t="s">
        <v>31</v>
      </c>
      <c r="B138">
        <v>7172011003000201</v>
      </c>
      <c r="C138">
        <v>126</v>
      </c>
      <c r="D138">
        <v>0</v>
      </c>
      <c r="E138">
        <v>0</v>
      </c>
      <c r="F138">
        <v>0</v>
      </c>
      <c r="G138">
        <v>118</v>
      </c>
      <c r="H138">
        <v>0</v>
      </c>
      <c r="I138">
        <v>0</v>
      </c>
      <c r="J138">
        <v>0</v>
      </c>
      <c r="K138">
        <v>8</v>
      </c>
      <c r="L138">
        <v>0</v>
      </c>
      <c r="M138">
        <f>region_summary__39[[#This Row],[APPROVED BY Pengawas]]+region_summary__39[[#This Row],[EDITED BY Admin Kabupaten]]</f>
        <v>0</v>
      </c>
    </row>
    <row r="139" spans="1:13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0</v>
      </c>
      <c r="K139">
        <v>6</v>
      </c>
      <c r="L139">
        <v>0</v>
      </c>
      <c r="M139">
        <f>region_summary__39[[#This Row],[APPROVED BY Pengawas]]+region_summary__39[[#This Row],[EDITED BY Admin Kabupaten]]</f>
        <v>0</v>
      </c>
    </row>
    <row r="140" spans="1:13" x14ac:dyDescent="0.25">
      <c r="A140" s="4" t="s">
        <v>41</v>
      </c>
      <c r="B140">
        <v>7172011004001800</v>
      </c>
      <c r="C140">
        <v>273</v>
      </c>
      <c r="D140">
        <v>122</v>
      </c>
      <c r="E140">
        <v>6</v>
      </c>
      <c r="F140">
        <v>0</v>
      </c>
      <c r="G140">
        <v>22</v>
      </c>
      <c r="H140">
        <v>0</v>
      </c>
      <c r="I140">
        <v>2</v>
      </c>
      <c r="J140">
        <v>3</v>
      </c>
      <c r="K140">
        <v>118</v>
      </c>
      <c r="L140">
        <v>0</v>
      </c>
      <c r="M140">
        <f>region_summary__39[[#This Row],[APPROVED BY Pengawas]]+region_summary__39[[#This Row],[EDITED BY Admin Kabupaten]]</f>
        <v>122</v>
      </c>
    </row>
    <row r="141" spans="1:13" x14ac:dyDescent="0.25">
      <c r="A141" s="4" t="s">
        <v>41</v>
      </c>
      <c r="B141">
        <v>7172011004001500</v>
      </c>
      <c r="C141">
        <v>153</v>
      </c>
      <c r="D141">
        <v>105</v>
      </c>
      <c r="E141">
        <v>13</v>
      </c>
      <c r="F141">
        <v>1</v>
      </c>
      <c r="G141">
        <v>20</v>
      </c>
      <c r="H141">
        <v>0</v>
      </c>
      <c r="I141">
        <v>0</v>
      </c>
      <c r="J141">
        <v>0</v>
      </c>
      <c r="K141">
        <v>14</v>
      </c>
      <c r="L141">
        <v>0</v>
      </c>
      <c r="M141">
        <f>region_summary__39[[#This Row],[APPROVED BY Pengawas]]+region_summary__39[[#This Row],[EDITED BY Admin Kabupaten]]</f>
        <v>106</v>
      </c>
    </row>
    <row r="142" spans="1:13" x14ac:dyDescent="0.25">
      <c r="A142" s="4" t="s">
        <v>41</v>
      </c>
      <c r="B142">
        <v>7172011004001900</v>
      </c>
      <c r="C142">
        <v>103</v>
      </c>
      <c r="D142">
        <v>27</v>
      </c>
      <c r="E142">
        <v>10</v>
      </c>
      <c r="F142">
        <v>1</v>
      </c>
      <c r="G142">
        <v>25</v>
      </c>
      <c r="H142">
        <v>0</v>
      </c>
      <c r="I142">
        <v>0</v>
      </c>
      <c r="J142">
        <v>0</v>
      </c>
      <c r="K142">
        <v>40</v>
      </c>
      <c r="L142">
        <v>0</v>
      </c>
      <c r="M142">
        <f>region_summary__39[[#This Row],[APPROVED BY Pengawas]]+region_summary__39[[#This Row],[EDITED BY Admin Kabupaten]]</f>
        <v>28</v>
      </c>
    </row>
    <row r="143" spans="1:13" x14ac:dyDescent="0.25">
      <c r="A143" s="4" t="s">
        <v>41</v>
      </c>
      <c r="B143">
        <v>7172011004001300</v>
      </c>
      <c r="C143">
        <v>90</v>
      </c>
      <c r="D143">
        <v>0</v>
      </c>
      <c r="E143">
        <v>0</v>
      </c>
      <c r="F143">
        <v>0</v>
      </c>
      <c r="G143">
        <v>90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region_summary__39[[#This Row],[APPROVED BY Pengawas]]+region_summary__39[[#This Row],[EDITED BY Admin Kabupaten]]</f>
        <v>0</v>
      </c>
    </row>
    <row r="144" spans="1:13" x14ac:dyDescent="0.25">
      <c r="A144" s="4" t="s">
        <v>41</v>
      </c>
      <c r="B144">
        <v>7172011004001600</v>
      </c>
      <c r="C144">
        <v>79</v>
      </c>
      <c r="D144">
        <v>0</v>
      </c>
      <c r="E144">
        <v>0</v>
      </c>
      <c r="F144">
        <v>0</v>
      </c>
      <c r="G144">
        <v>79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region_summary__39[[#This Row],[APPROVED BY Pengawas]]+region_summary__39[[#This Row],[EDITED BY Admin Kabupaten]]</f>
        <v>0</v>
      </c>
    </row>
    <row r="145" spans="1:13" x14ac:dyDescent="0.25">
      <c r="A145" s="4" t="s">
        <v>41</v>
      </c>
      <c r="B145">
        <v>7172011004001700</v>
      </c>
      <c r="C145">
        <v>73</v>
      </c>
      <c r="D145">
        <v>0</v>
      </c>
      <c r="E145">
        <v>0</v>
      </c>
      <c r="F145">
        <v>0</v>
      </c>
      <c r="G145">
        <v>73</v>
      </c>
      <c r="H145">
        <v>0</v>
      </c>
      <c r="I145">
        <v>0</v>
      </c>
      <c r="J145">
        <v>0</v>
      </c>
      <c r="K145">
        <v>0</v>
      </c>
      <c r="L145">
        <v>0</v>
      </c>
      <c r="M145">
        <f>region_summary__39[[#This Row],[APPROVED BY Pengawas]]+region_summary__39[[#This Row],[EDITED BY Admin Kabupaten]]</f>
        <v>0</v>
      </c>
    </row>
    <row r="146" spans="1:13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66</v>
      </c>
      <c r="H146">
        <v>0</v>
      </c>
      <c r="I146">
        <v>0</v>
      </c>
      <c r="J146">
        <v>0</v>
      </c>
      <c r="K146">
        <v>0</v>
      </c>
      <c r="L146">
        <v>0</v>
      </c>
      <c r="M146">
        <f>region_summary__39[[#This Row],[APPROVED BY Pengawas]]+region_summary__39[[#This Row],[EDITED BY Admin Kabupaten]]</f>
        <v>0</v>
      </c>
    </row>
    <row r="147" spans="1:13" x14ac:dyDescent="0.25">
      <c r="A147" s="4" t="s">
        <v>46</v>
      </c>
      <c r="B147">
        <v>7172011013000800</v>
      </c>
      <c r="C147">
        <v>92</v>
      </c>
      <c r="D147">
        <v>9</v>
      </c>
      <c r="E147">
        <v>12</v>
      </c>
      <c r="F147">
        <v>0</v>
      </c>
      <c r="G147">
        <v>23</v>
      </c>
      <c r="H147">
        <v>0</v>
      </c>
      <c r="I147">
        <v>25</v>
      </c>
      <c r="J147">
        <v>0</v>
      </c>
      <c r="K147">
        <v>23</v>
      </c>
      <c r="L147">
        <v>0</v>
      </c>
      <c r="M147">
        <f>region_summary__39[[#This Row],[APPROVED BY Pengawas]]+region_summary__39[[#This Row],[EDITED BY Admin Kabupaten]]</f>
        <v>9</v>
      </c>
    </row>
    <row r="148" spans="1:13" x14ac:dyDescent="0.25">
      <c r="A148" s="4" t="s">
        <v>46</v>
      </c>
      <c r="B148">
        <v>7172011013000900</v>
      </c>
      <c r="C148">
        <v>81</v>
      </c>
      <c r="D148">
        <v>0</v>
      </c>
      <c r="E148">
        <v>9</v>
      </c>
      <c r="F148">
        <v>0</v>
      </c>
      <c r="G148">
        <v>12</v>
      </c>
      <c r="H148">
        <v>0</v>
      </c>
      <c r="I148">
        <v>38</v>
      </c>
      <c r="J148">
        <v>0</v>
      </c>
      <c r="K148">
        <v>22</v>
      </c>
      <c r="L148">
        <v>0</v>
      </c>
      <c r="M148">
        <f>region_summary__39[[#This Row],[APPROVED BY Pengawas]]+region_summary__39[[#This Row],[EDITED BY Admin Kabupaten]]</f>
        <v>0</v>
      </c>
    </row>
    <row r="149" spans="1:13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region_summary__39[[#This Row],[APPROVED BY Pengawas]]+region_summary__39[[#This Row],[EDITED BY Admin Kabupaten]]</f>
        <v>0</v>
      </c>
    </row>
    <row r="150" spans="1:13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region_summary__39[[#This Row],[APPROVED BY Pengawas]]+region_summary__39[[#This Row],[EDITED BY Admin Kabupaten]]</f>
        <v>0</v>
      </c>
    </row>
    <row r="151" spans="1:13" x14ac:dyDescent="0.25">
      <c r="A151" s="4" t="s">
        <v>46</v>
      </c>
      <c r="B151">
        <v>7172011013000600</v>
      </c>
      <c r="C151">
        <v>51</v>
      </c>
      <c r="D151">
        <v>10</v>
      </c>
      <c r="E151">
        <v>1</v>
      </c>
      <c r="F151">
        <v>0</v>
      </c>
      <c r="G151">
        <v>36</v>
      </c>
      <c r="H151">
        <v>0</v>
      </c>
      <c r="I151">
        <v>0</v>
      </c>
      <c r="J151">
        <v>0</v>
      </c>
      <c r="K151">
        <v>4</v>
      </c>
      <c r="L151">
        <v>0</v>
      </c>
      <c r="M151">
        <f>region_summary__39[[#This Row],[APPROVED BY Pengawas]]+region_summary__39[[#This Row],[EDITED BY Admin Kabupaten]]</f>
        <v>10</v>
      </c>
    </row>
    <row r="152" spans="1:13" x14ac:dyDescent="0.25">
      <c r="A152" s="4" t="s">
        <v>46</v>
      </c>
      <c r="B152">
        <v>7172011013000500</v>
      </c>
      <c r="C152">
        <v>50</v>
      </c>
      <c r="D152">
        <v>0</v>
      </c>
      <c r="E152">
        <v>0</v>
      </c>
      <c r="F152">
        <v>0</v>
      </c>
      <c r="G152">
        <v>50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region_summary__39[[#This Row],[APPROVED BY Pengawas]]+region_summary__39[[#This Row],[EDITED BY Admin Kabupaten]]</f>
        <v>0</v>
      </c>
    </row>
    <row r="153" spans="1:13" x14ac:dyDescent="0.25">
      <c r="A153" s="4" t="s">
        <v>46</v>
      </c>
      <c r="B153">
        <v>7172011013001100</v>
      </c>
      <c r="C153">
        <v>48</v>
      </c>
      <c r="D153">
        <v>0</v>
      </c>
      <c r="E153">
        <v>0</v>
      </c>
      <c r="F153">
        <v>0</v>
      </c>
      <c r="G153">
        <v>48</v>
      </c>
      <c r="H153">
        <v>0</v>
      </c>
      <c r="I153">
        <v>0</v>
      </c>
      <c r="J153">
        <v>0</v>
      </c>
      <c r="K153">
        <v>0</v>
      </c>
      <c r="L153">
        <v>0</v>
      </c>
      <c r="M153">
        <f>region_summary__39[[#This Row],[APPROVED BY Pengawas]]+region_summary__39[[#This Row],[EDITED BY Admin Kabupaten]]</f>
        <v>0</v>
      </c>
    </row>
    <row r="154" spans="1:13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38</v>
      </c>
      <c r="H154">
        <v>0</v>
      </c>
      <c r="I154">
        <v>0</v>
      </c>
      <c r="J154">
        <v>0</v>
      </c>
      <c r="K154">
        <v>1</v>
      </c>
      <c r="L154">
        <v>0</v>
      </c>
      <c r="M154">
        <f>region_summary__39[[#This Row],[APPROVED BY Pengawas]]+region_summary__39[[#This Row],[EDITED BY Admin Kabupaten]]</f>
        <v>0</v>
      </c>
    </row>
    <row r="155" spans="1:13" x14ac:dyDescent="0.25">
      <c r="A155" s="4" t="s">
        <v>46</v>
      </c>
      <c r="B155">
        <v>7172011013000400</v>
      </c>
      <c r="C155">
        <v>36</v>
      </c>
      <c r="D155">
        <v>0</v>
      </c>
      <c r="E155">
        <v>1</v>
      </c>
      <c r="F155">
        <v>0</v>
      </c>
      <c r="G155">
        <v>18</v>
      </c>
      <c r="H155">
        <v>0</v>
      </c>
      <c r="I155">
        <v>1</v>
      </c>
      <c r="J155">
        <v>0</v>
      </c>
      <c r="K155">
        <v>16</v>
      </c>
      <c r="L155">
        <v>0</v>
      </c>
      <c r="M155">
        <f>region_summary__39[[#This Row],[APPROVED BY Pengawas]]+region_summary__39[[#This Row],[EDITED BY Admin Kabupaten]]</f>
        <v>0</v>
      </c>
    </row>
    <row r="156" spans="1:13" x14ac:dyDescent="0.25">
      <c r="A156" s="4" t="s">
        <v>46</v>
      </c>
      <c r="B156">
        <v>7172011013001000</v>
      </c>
      <c r="C156">
        <v>36</v>
      </c>
      <c r="D156">
        <v>0</v>
      </c>
      <c r="E156">
        <v>0</v>
      </c>
      <c r="F156">
        <v>0</v>
      </c>
      <c r="G156">
        <v>36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region_summary__39[[#This Row],[APPROVED BY Pengawas]]+region_summary__39[[#This Row],[EDITED BY Admin Kabupaten]]</f>
        <v>0</v>
      </c>
    </row>
    <row r="157" spans="1:13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region_summary__39[[#This Row],[APPROVED BY Pengawas]]+region_summary__39[[#This Row],[EDITED BY Admin Kabupaten]]</f>
        <v>0</v>
      </c>
    </row>
    <row r="158" spans="1:13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region_summary__39[[#This Row],[APPROVED BY Pengawas]]+region_summary__39[[#This Row],[EDITED BY Admin Kabupaten]]</f>
        <v>0</v>
      </c>
    </row>
    <row r="159" spans="1:13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region_summary__39[[#This Row],[APPROVED BY Pengawas]]+region_summary__39[[#This Row],[EDITED BY Admin Kabupaten]]</f>
        <v>0</v>
      </c>
    </row>
    <row r="160" spans="1:13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region_summary__39[[#This Row],[APPROVED BY Pengawas]]+region_summary__39[[#This Row],[EDITED BY Admin Kabupaten]]</f>
        <v>0</v>
      </c>
    </row>
    <row r="161" spans="1:13" x14ac:dyDescent="0.25">
      <c r="A161" s="4" t="s">
        <v>39</v>
      </c>
      <c r="B161">
        <v>7172011004000100</v>
      </c>
      <c r="C161">
        <v>157</v>
      </c>
      <c r="D161">
        <v>56</v>
      </c>
      <c r="E161">
        <v>55</v>
      </c>
      <c r="F161">
        <v>0</v>
      </c>
      <c r="G161">
        <v>44</v>
      </c>
      <c r="H161">
        <v>0</v>
      </c>
      <c r="I161">
        <v>2</v>
      </c>
      <c r="J161">
        <v>0</v>
      </c>
      <c r="K161">
        <v>0</v>
      </c>
      <c r="L161">
        <v>0</v>
      </c>
      <c r="M161">
        <f>region_summary__39[[#This Row],[APPROVED BY Pengawas]]+region_summary__39[[#This Row],[EDITED BY Admin Kabupaten]]</f>
        <v>56</v>
      </c>
    </row>
    <row r="162" spans="1:13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region_summary__39[[#This Row],[APPROVED BY Pengawas]]+region_summary__39[[#This Row],[EDITED BY Admin Kabupaten]]</f>
        <v>0</v>
      </c>
    </row>
    <row r="163" spans="1:13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  <c r="L163">
        <v>0</v>
      </c>
      <c r="M163">
        <f>region_summary__39[[#This Row],[APPROVED BY Pengawas]]+region_summary__39[[#This Row],[EDITED BY Admin Kabupaten]]</f>
        <v>0</v>
      </c>
    </row>
    <row r="164" spans="1:13" x14ac:dyDescent="0.25">
      <c r="A164" s="4" t="s">
        <v>39</v>
      </c>
      <c r="B164">
        <v>7172011004000400</v>
      </c>
      <c r="C164">
        <v>99</v>
      </c>
      <c r="D164">
        <v>82</v>
      </c>
      <c r="E164">
        <v>6</v>
      </c>
      <c r="F164">
        <v>0</v>
      </c>
      <c r="G164">
        <v>1</v>
      </c>
      <c r="H164">
        <v>0</v>
      </c>
      <c r="I164">
        <v>9</v>
      </c>
      <c r="J164">
        <v>0</v>
      </c>
      <c r="K164">
        <v>1</v>
      </c>
      <c r="L164">
        <v>0</v>
      </c>
      <c r="M164">
        <f>region_summary__39[[#This Row],[APPROVED BY Pengawas]]+region_summary__39[[#This Row],[EDITED BY Admin Kabupaten]]</f>
        <v>82</v>
      </c>
    </row>
    <row r="165" spans="1:13" x14ac:dyDescent="0.25">
      <c r="A165" s="4" t="s">
        <v>39</v>
      </c>
      <c r="B165">
        <v>7172011004000200</v>
      </c>
      <c r="C165">
        <v>98</v>
      </c>
      <c r="D165">
        <v>4</v>
      </c>
      <c r="E165">
        <v>9</v>
      </c>
      <c r="F165">
        <v>0</v>
      </c>
      <c r="G165">
        <v>85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region_summary__39[[#This Row],[APPROVED BY Pengawas]]+region_summary__39[[#This Row],[EDITED BY Admin Kabupaten]]</f>
        <v>4</v>
      </c>
    </row>
    <row r="166" spans="1:13" x14ac:dyDescent="0.25">
      <c r="A166" s="4" t="s">
        <v>39</v>
      </c>
      <c r="B166">
        <v>7172011004000300</v>
      </c>
      <c r="C166">
        <v>75</v>
      </c>
      <c r="D166">
        <v>26</v>
      </c>
      <c r="E166">
        <v>21</v>
      </c>
      <c r="F166">
        <v>0</v>
      </c>
      <c r="G166">
        <v>28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region_summary__39[[#This Row],[APPROVED BY Pengawas]]+region_summary__39[[#This Row],[EDITED BY Admin Kabupaten]]</f>
        <v>26</v>
      </c>
    </row>
    <row r="167" spans="1:13" x14ac:dyDescent="0.25">
      <c r="A167" s="4" t="s">
        <v>50</v>
      </c>
      <c r="B167">
        <v>7172012001000200</v>
      </c>
      <c r="C167">
        <v>152</v>
      </c>
      <c r="D167">
        <v>16</v>
      </c>
      <c r="E167">
        <v>8</v>
      </c>
      <c r="F167">
        <v>0</v>
      </c>
      <c r="G167">
        <v>106</v>
      </c>
      <c r="H167">
        <v>0</v>
      </c>
      <c r="I167">
        <v>0</v>
      </c>
      <c r="J167">
        <v>0</v>
      </c>
      <c r="K167">
        <v>22</v>
      </c>
      <c r="L167">
        <v>0</v>
      </c>
      <c r="M167">
        <f>region_summary__39[[#This Row],[APPROVED BY Pengawas]]+region_summary__39[[#This Row],[EDITED BY Admin Kabupaten]]</f>
        <v>16</v>
      </c>
    </row>
    <row r="168" spans="1:13" x14ac:dyDescent="0.25">
      <c r="A168" s="4" t="s">
        <v>50</v>
      </c>
      <c r="B168">
        <v>7172012001000900</v>
      </c>
      <c r="C168">
        <v>143</v>
      </c>
      <c r="D168">
        <v>47</v>
      </c>
      <c r="E168">
        <v>6</v>
      </c>
      <c r="F168">
        <v>0</v>
      </c>
      <c r="G168">
        <v>11</v>
      </c>
      <c r="H168">
        <v>0</v>
      </c>
      <c r="I168">
        <v>0</v>
      </c>
      <c r="J168">
        <v>0</v>
      </c>
      <c r="K168">
        <v>79</v>
      </c>
      <c r="L168">
        <v>0</v>
      </c>
      <c r="M168">
        <f>region_summary__39[[#This Row],[APPROVED BY Pengawas]]+region_summary__39[[#This Row],[EDITED BY Admin Kabupaten]]</f>
        <v>47</v>
      </c>
    </row>
    <row r="169" spans="1:13" x14ac:dyDescent="0.25">
      <c r="A169" s="4" t="s">
        <v>50</v>
      </c>
      <c r="B169">
        <v>7172012001000300</v>
      </c>
      <c r="C169">
        <v>135</v>
      </c>
      <c r="D169">
        <v>0</v>
      </c>
      <c r="E169">
        <v>0</v>
      </c>
      <c r="F169">
        <v>0</v>
      </c>
      <c r="G169">
        <v>135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region_summary__39[[#This Row],[APPROVED BY Pengawas]]+region_summary__39[[#This Row],[EDITED BY Admin Kabupaten]]</f>
        <v>0</v>
      </c>
    </row>
    <row r="170" spans="1:13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124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region_summary__39[[#This Row],[APPROVED BY Pengawas]]+region_summary__39[[#This Row],[EDITED BY Admin Kabupaten]]</f>
        <v>0</v>
      </c>
    </row>
    <row r="171" spans="1:13" x14ac:dyDescent="0.25">
      <c r="A171" s="4" t="s">
        <v>50</v>
      </c>
      <c r="B171">
        <v>7172012001000800</v>
      </c>
      <c r="C171">
        <v>122</v>
      </c>
      <c r="D171">
        <v>89</v>
      </c>
      <c r="E171">
        <v>6</v>
      </c>
      <c r="F171">
        <v>0</v>
      </c>
      <c r="G171">
        <v>2</v>
      </c>
      <c r="H171">
        <v>0</v>
      </c>
      <c r="I171">
        <v>0</v>
      </c>
      <c r="J171">
        <v>0</v>
      </c>
      <c r="K171">
        <v>25</v>
      </c>
      <c r="L171">
        <v>0</v>
      </c>
      <c r="M171">
        <f>region_summary__39[[#This Row],[APPROVED BY Pengawas]]+region_summary__39[[#This Row],[EDITED BY Admin Kabupaten]]</f>
        <v>89</v>
      </c>
    </row>
    <row r="172" spans="1:13" x14ac:dyDescent="0.25">
      <c r="A172" s="4" t="s">
        <v>44</v>
      </c>
      <c r="B172">
        <v>7172011012000700</v>
      </c>
      <c r="C172">
        <v>168</v>
      </c>
      <c r="D172">
        <v>125</v>
      </c>
      <c r="E172">
        <v>7</v>
      </c>
      <c r="F172">
        <v>1</v>
      </c>
      <c r="G172">
        <v>34</v>
      </c>
      <c r="H172">
        <v>0</v>
      </c>
      <c r="I172">
        <v>1</v>
      </c>
      <c r="J172">
        <v>0</v>
      </c>
      <c r="K172">
        <v>0</v>
      </c>
      <c r="L172">
        <v>0</v>
      </c>
      <c r="M172">
        <f>region_summary__39[[#This Row],[APPROVED BY Pengawas]]+region_summary__39[[#This Row],[EDITED BY Admin Kabupaten]]</f>
        <v>126</v>
      </c>
    </row>
    <row r="173" spans="1:13" x14ac:dyDescent="0.25">
      <c r="A173" s="4" t="s">
        <v>44</v>
      </c>
      <c r="B173">
        <v>7172011012000200</v>
      </c>
      <c r="C173">
        <v>125</v>
      </c>
      <c r="D173">
        <v>77</v>
      </c>
      <c r="E173">
        <v>3</v>
      </c>
      <c r="F173">
        <v>3</v>
      </c>
      <c r="G173">
        <v>42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region_summary__39[[#This Row],[APPROVED BY Pengawas]]+region_summary__39[[#This Row],[EDITED BY Admin Kabupaten]]</f>
        <v>80</v>
      </c>
    </row>
    <row r="174" spans="1:13" x14ac:dyDescent="0.25">
      <c r="A174" s="4" t="s">
        <v>44</v>
      </c>
      <c r="B174">
        <v>7172011012000400</v>
      </c>
      <c r="C174">
        <v>86</v>
      </c>
      <c r="D174">
        <v>36</v>
      </c>
      <c r="E174">
        <v>0</v>
      </c>
      <c r="F174">
        <v>0</v>
      </c>
      <c r="G174">
        <v>50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region_summary__39[[#This Row],[APPROVED BY Pengawas]]+region_summary__39[[#This Row],[EDITED BY Admin Kabupaten]]</f>
        <v>36</v>
      </c>
    </row>
    <row r="175" spans="1:13" x14ac:dyDescent="0.25">
      <c r="A175" s="4" t="s">
        <v>44</v>
      </c>
      <c r="B175">
        <v>7172011012000300</v>
      </c>
      <c r="C175">
        <v>71</v>
      </c>
      <c r="D175">
        <v>42</v>
      </c>
      <c r="E175">
        <v>0</v>
      </c>
      <c r="F175">
        <v>0</v>
      </c>
      <c r="G175">
        <v>29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region_summary__39[[#This Row],[APPROVED BY Pengawas]]+region_summary__39[[#This Row],[EDITED BY Admin Kabupaten]]</f>
        <v>42</v>
      </c>
    </row>
    <row r="176" spans="1:13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  <c r="L176">
        <v>0</v>
      </c>
      <c r="M176">
        <f>region_summary__39[[#This Row],[APPROVED BY Pengawas]]+region_summary__39[[#This Row],[EDITED BY Admin Kabupaten]]</f>
        <v>0</v>
      </c>
    </row>
    <row r="177" spans="1:13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region_summary__39[[#This Row],[APPROVED BY Pengawas]]+region_summary__39[[#This Row],[EDITED BY Admin Kabupaten]]</f>
        <v>0</v>
      </c>
    </row>
    <row r="178" spans="1:13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region_summary__39[[#This Row],[APPROVED BY Pengawas]]+region_summary__39[[#This Row],[EDITED BY Admin Kabupaten]]</f>
        <v>0</v>
      </c>
    </row>
    <row r="179" spans="1:13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  <c r="L179">
        <v>0</v>
      </c>
      <c r="M179">
        <f>region_summary__39[[#This Row],[APPROVED BY Pengawas]]+region_summary__39[[#This Row],[EDITED BY Admin Kabupaten]]</f>
        <v>0</v>
      </c>
    </row>
    <row r="180" spans="1:13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  <c r="L180">
        <v>0</v>
      </c>
      <c r="M180">
        <f>region_summary__39[[#This Row],[APPROVED BY Pengawas]]+region_summary__39[[#This Row],[EDITED BY Admin Kabupaten]]</f>
        <v>0</v>
      </c>
    </row>
    <row r="181" spans="1:13" x14ac:dyDescent="0.25">
      <c r="A181" s="4" t="s">
        <v>54</v>
      </c>
      <c r="B181">
        <v>7172012002000600</v>
      </c>
      <c r="C181">
        <v>130</v>
      </c>
      <c r="D181">
        <v>126</v>
      </c>
      <c r="E181">
        <v>3</v>
      </c>
      <c r="F181">
        <v>0</v>
      </c>
      <c r="G181">
        <v>1</v>
      </c>
      <c r="H181">
        <v>0</v>
      </c>
      <c r="I181">
        <v>0</v>
      </c>
      <c r="J181">
        <v>0</v>
      </c>
      <c r="K181">
        <v>0</v>
      </c>
      <c r="L181">
        <v>0</v>
      </c>
      <c r="M181">
        <f>region_summary__39[[#This Row],[APPROVED BY Pengawas]]+region_summary__39[[#This Row],[EDITED BY Admin Kabupaten]]</f>
        <v>126</v>
      </c>
    </row>
    <row r="182" spans="1:13" x14ac:dyDescent="0.25">
      <c r="A182" s="4" t="s">
        <v>54</v>
      </c>
      <c r="B182">
        <v>7172012002000401</v>
      </c>
      <c r="C182">
        <v>119</v>
      </c>
      <c r="D182">
        <v>1</v>
      </c>
      <c r="E182">
        <v>0</v>
      </c>
      <c r="F182">
        <v>0</v>
      </c>
      <c r="G182">
        <v>118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region_summary__39[[#This Row],[APPROVED BY Pengawas]]+region_summary__39[[#This Row],[EDITED BY Admin Kabupaten]]</f>
        <v>1</v>
      </c>
    </row>
    <row r="183" spans="1:13" x14ac:dyDescent="0.25">
      <c r="A183" s="4" t="s">
        <v>54</v>
      </c>
      <c r="B183">
        <v>7172012002000300</v>
      </c>
      <c r="C183">
        <v>107</v>
      </c>
      <c r="D183">
        <v>86</v>
      </c>
      <c r="E183">
        <v>2</v>
      </c>
      <c r="F183">
        <v>0</v>
      </c>
      <c r="G183">
        <v>19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region_summary__39[[#This Row],[APPROVED BY Pengawas]]+region_summary__39[[#This Row],[EDITED BY Admin Kabupaten]]</f>
        <v>86</v>
      </c>
    </row>
    <row r="184" spans="1:13" x14ac:dyDescent="0.25">
      <c r="A184" s="4" t="s">
        <v>54</v>
      </c>
      <c r="B184">
        <v>7172012002000800</v>
      </c>
      <c r="C184">
        <v>100</v>
      </c>
      <c r="D184">
        <v>17</v>
      </c>
      <c r="E184">
        <v>2</v>
      </c>
      <c r="F184">
        <v>0</v>
      </c>
      <c r="G184">
        <v>81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region_summary__39[[#This Row],[APPROVED BY Pengawas]]+region_summary__39[[#This Row],[EDITED BY Admin Kabupaten]]</f>
        <v>17</v>
      </c>
    </row>
    <row r="185" spans="1:13" x14ac:dyDescent="0.25">
      <c r="A185" s="4" t="s">
        <v>54</v>
      </c>
      <c r="B185">
        <v>7172012002000700</v>
      </c>
      <c r="C185">
        <v>93</v>
      </c>
      <c r="D185">
        <v>31</v>
      </c>
      <c r="E185">
        <v>4</v>
      </c>
      <c r="F185">
        <v>0</v>
      </c>
      <c r="G185">
        <v>58</v>
      </c>
      <c r="H185">
        <v>0</v>
      </c>
      <c r="I185">
        <v>0</v>
      </c>
      <c r="J185">
        <v>0</v>
      </c>
      <c r="K185">
        <v>0</v>
      </c>
      <c r="L185">
        <v>0</v>
      </c>
      <c r="M185">
        <f>region_summary__39[[#This Row],[APPROVED BY Pengawas]]+region_summary__39[[#This Row],[EDITED BY Admin Kabupaten]]</f>
        <v>31</v>
      </c>
    </row>
    <row r="186" spans="1:13" x14ac:dyDescent="0.25">
      <c r="A186" s="4" t="s">
        <v>54</v>
      </c>
      <c r="B186">
        <v>7172012002000402</v>
      </c>
      <c r="C186">
        <v>88</v>
      </c>
      <c r="D186">
        <v>3</v>
      </c>
      <c r="E186">
        <v>0</v>
      </c>
      <c r="F186">
        <v>0</v>
      </c>
      <c r="G186">
        <v>85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region_summary__39[[#This Row],[APPROVED BY Pengawas]]+region_summary__39[[#This Row],[EDITED BY Admin Kabupaten]]</f>
        <v>3</v>
      </c>
    </row>
    <row r="187" spans="1:13" x14ac:dyDescent="0.25">
      <c r="A187" s="4" t="s">
        <v>229</v>
      </c>
      <c r="B187">
        <v>7172012002001301</v>
      </c>
      <c r="C187">
        <v>154</v>
      </c>
      <c r="D187">
        <v>99</v>
      </c>
      <c r="E187">
        <v>8</v>
      </c>
      <c r="F187">
        <v>0</v>
      </c>
      <c r="G187">
        <v>45</v>
      </c>
      <c r="H187">
        <v>0</v>
      </c>
      <c r="I187">
        <v>0</v>
      </c>
      <c r="J187">
        <v>0</v>
      </c>
      <c r="K187">
        <v>2</v>
      </c>
      <c r="L187">
        <v>0</v>
      </c>
      <c r="M187">
        <f>region_summary__39[[#This Row],[APPROVED BY Pengawas]]+region_summary__39[[#This Row],[EDITED BY Admin Kabupaten]]</f>
        <v>99</v>
      </c>
    </row>
    <row r="188" spans="1:13" x14ac:dyDescent="0.25">
      <c r="A188" s="4" t="s">
        <v>229</v>
      </c>
      <c r="B188">
        <v>7172012002001302</v>
      </c>
      <c r="C188">
        <v>154</v>
      </c>
      <c r="D188">
        <v>138</v>
      </c>
      <c r="E188">
        <v>5</v>
      </c>
      <c r="F188">
        <v>0</v>
      </c>
      <c r="G188">
        <v>11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region_summary__39[[#This Row],[APPROVED BY Pengawas]]+region_summary__39[[#This Row],[EDITED BY Admin Kabupaten]]</f>
        <v>138</v>
      </c>
    </row>
    <row r="189" spans="1:13" x14ac:dyDescent="0.25">
      <c r="A189" s="4" t="s">
        <v>229</v>
      </c>
      <c r="B189">
        <v>7172012002001500</v>
      </c>
      <c r="C189">
        <v>111</v>
      </c>
      <c r="D189">
        <v>5</v>
      </c>
      <c r="E189">
        <v>0</v>
      </c>
      <c r="F189">
        <v>0</v>
      </c>
      <c r="G189">
        <v>106</v>
      </c>
      <c r="H189">
        <v>0</v>
      </c>
      <c r="I189">
        <v>0</v>
      </c>
      <c r="J189">
        <v>0</v>
      </c>
      <c r="K189">
        <v>0</v>
      </c>
      <c r="L189">
        <v>0</v>
      </c>
      <c r="M189">
        <f>region_summary__39[[#This Row],[APPROVED BY Pengawas]]+region_summary__39[[#This Row],[EDITED BY Admin Kabupaten]]</f>
        <v>5</v>
      </c>
    </row>
    <row r="190" spans="1:13" x14ac:dyDescent="0.25">
      <c r="A190" s="4" t="s">
        <v>229</v>
      </c>
      <c r="B190">
        <v>7172012002001400</v>
      </c>
      <c r="C190">
        <v>95</v>
      </c>
      <c r="D190">
        <v>12</v>
      </c>
      <c r="E190">
        <v>0</v>
      </c>
      <c r="F190">
        <v>0</v>
      </c>
      <c r="G190">
        <v>83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region_summary__39[[#This Row],[APPROVED BY Pengawas]]+region_summary__39[[#This Row],[EDITED BY Admin Kabupaten]]</f>
        <v>12</v>
      </c>
    </row>
    <row r="191" spans="1:13" x14ac:dyDescent="0.25">
      <c r="A191" s="4" t="s">
        <v>229</v>
      </c>
      <c r="B191">
        <v>7172012002001700</v>
      </c>
      <c r="C191">
        <v>90</v>
      </c>
      <c r="D191">
        <v>8</v>
      </c>
      <c r="E191">
        <v>0</v>
      </c>
      <c r="F191">
        <v>0</v>
      </c>
      <c r="G191">
        <v>82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region_summary__39[[#This Row],[APPROVED BY Pengawas]]+region_summary__39[[#This Row],[EDITED BY Admin Kabupaten]]</f>
        <v>8</v>
      </c>
    </row>
    <row r="192" spans="1:13" x14ac:dyDescent="0.25">
      <c r="A192" s="4" t="s">
        <v>229</v>
      </c>
      <c r="B192">
        <v>7172012002001800</v>
      </c>
      <c r="C192">
        <v>75</v>
      </c>
      <c r="D192">
        <v>10</v>
      </c>
      <c r="E192">
        <v>1</v>
      </c>
      <c r="F192">
        <v>0</v>
      </c>
      <c r="G192">
        <v>64</v>
      </c>
      <c r="H192">
        <v>0</v>
      </c>
      <c r="I192">
        <v>0</v>
      </c>
      <c r="J192">
        <v>0</v>
      </c>
      <c r="K192">
        <v>0</v>
      </c>
      <c r="L192">
        <v>0</v>
      </c>
      <c r="M192">
        <f>region_summary__39[[#This Row],[APPROVED BY Pengawas]]+region_summary__39[[#This Row],[EDITED BY Admin Kabupaten]]</f>
        <v>10</v>
      </c>
    </row>
    <row r="193" spans="1:13" x14ac:dyDescent="0.25">
      <c r="A193" s="4" t="s">
        <v>38</v>
      </c>
      <c r="B193">
        <v>7172011003003100</v>
      </c>
      <c r="C193">
        <v>211</v>
      </c>
      <c r="D193">
        <v>95</v>
      </c>
      <c r="E193">
        <v>9</v>
      </c>
      <c r="F193">
        <v>0</v>
      </c>
      <c r="G193">
        <v>2</v>
      </c>
      <c r="H193">
        <v>0</v>
      </c>
      <c r="I193">
        <v>0</v>
      </c>
      <c r="J193">
        <v>0</v>
      </c>
      <c r="K193">
        <v>105</v>
      </c>
      <c r="L193">
        <v>0</v>
      </c>
      <c r="M193">
        <f>region_summary__39[[#This Row],[APPROVED BY Pengawas]]+region_summary__39[[#This Row],[EDITED BY Admin Kabupaten]]</f>
        <v>95</v>
      </c>
    </row>
    <row r="194" spans="1:13" x14ac:dyDescent="0.25">
      <c r="A194" s="4" t="s">
        <v>38</v>
      </c>
      <c r="B194">
        <v>7172011003003000</v>
      </c>
      <c r="C194">
        <v>135</v>
      </c>
      <c r="D194">
        <v>83</v>
      </c>
      <c r="E194">
        <v>4</v>
      </c>
      <c r="F194">
        <v>0</v>
      </c>
      <c r="G194">
        <v>8</v>
      </c>
      <c r="H194">
        <v>0</v>
      </c>
      <c r="I194">
        <v>0</v>
      </c>
      <c r="J194">
        <v>0</v>
      </c>
      <c r="K194">
        <v>40</v>
      </c>
      <c r="L194">
        <v>0</v>
      </c>
      <c r="M194">
        <f>region_summary__39[[#This Row],[APPROVED BY Pengawas]]+region_summary__39[[#This Row],[EDITED BY Admin Kabupaten]]</f>
        <v>83</v>
      </c>
    </row>
    <row r="195" spans="1:13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102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region_summary__39[[#This Row],[APPROVED BY Pengawas]]+region_summary__39[[#This Row],[EDITED BY Admin Kabupaten]]</f>
        <v>0</v>
      </c>
    </row>
    <row r="196" spans="1:13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region_summary__39[[#This Row],[APPROVED BY Pengawas]]+region_summary__39[[#This Row],[EDITED BY Admin Kabupaten]]</f>
        <v>0</v>
      </c>
    </row>
    <row r="197" spans="1:13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region_summary__39[[#This Row],[APPROVED BY Pengawas]]+region_summary__39[[#This Row],[EDITED BY Admin Kabupaten]]</f>
        <v>0</v>
      </c>
    </row>
    <row r="198" spans="1:13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region_summary__39[[#This Row],[APPROVED BY Pengawas]]+region_summary__39[[#This Row],[EDITED BY Admin Kabupaten]]</f>
        <v>0</v>
      </c>
    </row>
    <row r="199" spans="1:13" x14ac:dyDescent="0.25">
      <c r="A199" s="4" t="s">
        <v>60</v>
      </c>
      <c r="B199">
        <v>7172012004001900</v>
      </c>
      <c r="C199">
        <v>180</v>
      </c>
      <c r="D199">
        <v>176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region_summary__39[[#This Row],[APPROVED BY Pengawas]]+region_summary__39[[#This Row],[EDITED BY Admin Kabupaten]]</f>
        <v>176</v>
      </c>
    </row>
    <row r="200" spans="1:13" x14ac:dyDescent="0.25">
      <c r="A200" s="4" t="s">
        <v>60</v>
      </c>
      <c r="B200">
        <v>7172012004000900</v>
      </c>
      <c r="C200">
        <v>136</v>
      </c>
      <c r="D200">
        <v>1</v>
      </c>
      <c r="E200">
        <v>0</v>
      </c>
      <c r="F200">
        <v>0</v>
      </c>
      <c r="G200">
        <v>135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region_summary__39[[#This Row],[APPROVED BY Pengawas]]+region_summary__39[[#This Row],[EDITED BY Admin Kabupaten]]</f>
        <v>1</v>
      </c>
    </row>
    <row r="201" spans="1:13" x14ac:dyDescent="0.25">
      <c r="A201" s="4" t="s">
        <v>60</v>
      </c>
      <c r="B201">
        <v>7172012004001802</v>
      </c>
      <c r="C201">
        <v>107</v>
      </c>
      <c r="D201">
        <v>8</v>
      </c>
      <c r="E201">
        <v>0</v>
      </c>
      <c r="F201">
        <v>0</v>
      </c>
      <c r="G201">
        <v>99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region_summary__39[[#This Row],[APPROVED BY Pengawas]]+region_summary__39[[#This Row],[EDITED BY Admin Kabupaten]]</f>
        <v>8</v>
      </c>
    </row>
    <row r="202" spans="1:13" x14ac:dyDescent="0.25">
      <c r="A202" s="4" t="s">
        <v>60</v>
      </c>
      <c r="B202">
        <v>7172012004002101</v>
      </c>
      <c r="C202">
        <v>104</v>
      </c>
      <c r="D202">
        <v>13</v>
      </c>
      <c r="E202">
        <v>0</v>
      </c>
      <c r="F202">
        <v>0</v>
      </c>
      <c r="G202">
        <v>91</v>
      </c>
      <c r="H202">
        <v>0</v>
      </c>
      <c r="I202">
        <v>0</v>
      </c>
      <c r="J202">
        <v>0</v>
      </c>
      <c r="K202">
        <v>0</v>
      </c>
      <c r="L202">
        <v>0</v>
      </c>
      <c r="M202">
        <f>region_summary__39[[#This Row],[APPROVED BY Pengawas]]+region_summary__39[[#This Row],[EDITED BY Admin Kabupaten]]</f>
        <v>13</v>
      </c>
    </row>
    <row r="203" spans="1:13" x14ac:dyDescent="0.25">
      <c r="A203" s="4" t="s">
        <v>60</v>
      </c>
      <c r="B203">
        <v>7172012004001400</v>
      </c>
      <c r="C203">
        <v>88</v>
      </c>
      <c r="D203">
        <v>49</v>
      </c>
      <c r="E203">
        <v>18</v>
      </c>
      <c r="F203">
        <v>0</v>
      </c>
      <c r="G203">
        <v>21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f>region_summary__39[[#This Row],[APPROVED BY Pengawas]]+region_summary__39[[#This Row],[EDITED BY Admin Kabupaten]]</f>
        <v>49</v>
      </c>
    </row>
    <row r="204" spans="1:13" x14ac:dyDescent="0.25">
      <c r="A204" s="4" t="s">
        <v>63</v>
      </c>
      <c r="B204">
        <v>7172012004001701</v>
      </c>
      <c r="C204">
        <v>342</v>
      </c>
      <c r="D204">
        <v>190</v>
      </c>
      <c r="E204">
        <v>25</v>
      </c>
      <c r="F204">
        <v>0</v>
      </c>
      <c r="G204">
        <v>127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region_summary__39[[#This Row],[APPROVED BY Pengawas]]+region_summary__39[[#This Row],[EDITED BY Admin Kabupaten]]</f>
        <v>190</v>
      </c>
    </row>
    <row r="205" spans="1:13" x14ac:dyDescent="0.25">
      <c r="A205" s="4" t="s">
        <v>63</v>
      </c>
      <c r="B205">
        <v>7172012004002000</v>
      </c>
      <c r="C205">
        <v>170</v>
      </c>
      <c r="D205">
        <v>17</v>
      </c>
      <c r="E205">
        <v>1</v>
      </c>
      <c r="F205">
        <v>0</v>
      </c>
      <c r="G205">
        <v>152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region_summary__39[[#This Row],[APPROVED BY Pengawas]]+region_summary__39[[#This Row],[EDITED BY Admin Kabupaten]]</f>
        <v>17</v>
      </c>
    </row>
    <row r="206" spans="1:13" x14ac:dyDescent="0.25">
      <c r="A206" s="4" t="s">
        <v>63</v>
      </c>
      <c r="B206">
        <v>7172012004002102</v>
      </c>
      <c r="C206">
        <v>66</v>
      </c>
      <c r="D206">
        <v>14</v>
      </c>
      <c r="E206">
        <v>0</v>
      </c>
      <c r="F206">
        <v>0</v>
      </c>
      <c r="G206">
        <v>52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region_summary__39[[#This Row],[APPROVED BY Pengawas]]+region_summary__39[[#This Row],[EDITED BY Admin Kabupaten]]</f>
        <v>14</v>
      </c>
    </row>
    <row r="207" spans="1:13" x14ac:dyDescent="0.25">
      <c r="A207" s="4" t="s">
        <v>63</v>
      </c>
      <c r="B207">
        <v>7172012004002402</v>
      </c>
      <c r="C207">
        <v>34</v>
      </c>
      <c r="D207">
        <v>32</v>
      </c>
      <c r="E207">
        <v>1</v>
      </c>
      <c r="F207">
        <v>0</v>
      </c>
      <c r="G207">
        <v>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region_summary__39[[#This Row],[APPROVED BY Pengawas]]+region_summary__39[[#This Row],[EDITED BY Admin Kabupaten]]</f>
        <v>32</v>
      </c>
    </row>
    <row r="208" spans="1:13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region_summary__39[[#This Row],[APPROVED BY Pengawas]]+region_summary__39[[#This Row],[EDITED BY Admin Kabupaten]]</f>
        <v>0</v>
      </c>
    </row>
    <row r="209" spans="1:13" x14ac:dyDescent="0.25">
      <c r="A209" s="4" t="s">
        <v>64</v>
      </c>
      <c r="B209">
        <v>7172012004002200</v>
      </c>
      <c r="C209">
        <v>171</v>
      </c>
      <c r="D209">
        <v>119</v>
      </c>
      <c r="E209">
        <v>2</v>
      </c>
      <c r="F209">
        <v>0</v>
      </c>
      <c r="G209">
        <v>14</v>
      </c>
      <c r="H209">
        <v>0</v>
      </c>
      <c r="I209">
        <v>3</v>
      </c>
      <c r="J209">
        <v>0</v>
      </c>
      <c r="K209">
        <v>33</v>
      </c>
      <c r="L209">
        <v>0</v>
      </c>
      <c r="M209">
        <f>region_summary__39[[#This Row],[APPROVED BY Pengawas]]+region_summary__39[[#This Row],[EDITED BY Admin Kabupaten]]</f>
        <v>119</v>
      </c>
    </row>
    <row r="210" spans="1:13" x14ac:dyDescent="0.25">
      <c r="A210" s="4" t="s">
        <v>64</v>
      </c>
      <c r="B210">
        <v>7172012004002500</v>
      </c>
      <c r="C210">
        <v>157</v>
      </c>
      <c r="D210">
        <v>32</v>
      </c>
      <c r="E210">
        <v>9</v>
      </c>
      <c r="F210">
        <v>0</v>
      </c>
      <c r="G210">
        <v>91</v>
      </c>
      <c r="H210">
        <v>0</v>
      </c>
      <c r="I210">
        <v>0</v>
      </c>
      <c r="J210">
        <v>0</v>
      </c>
      <c r="K210">
        <v>25</v>
      </c>
      <c r="L210">
        <v>0</v>
      </c>
      <c r="M210">
        <f>region_summary__39[[#This Row],[APPROVED BY Pengawas]]+region_summary__39[[#This Row],[EDITED BY Admin Kabupaten]]</f>
        <v>32</v>
      </c>
    </row>
    <row r="211" spans="1:13" x14ac:dyDescent="0.25">
      <c r="A211" s="4" t="s">
        <v>64</v>
      </c>
      <c r="B211">
        <v>7172012004002401</v>
      </c>
      <c r="C211">
        <v>144</v>
      </c>
      <c r="D211">
        <v>115</v>
      </c>
      <c r="E211">
        <v>4</v>
      </c>
      <c r="F211">
        <v>0</v>
      </c>
      <c r="G211">
        <v>20</v>
      </c>
      <c r="H211">
        <v>0</v>
      </c>
      <c r="I211">
        <v>0</v>
      </c>
      <c r="J211">
        <v>0</v>
      </c>
      <c r="K211">
        <v>5</v>
      </c>
      <c r="L211">
        <v>0</v>
      </c>
      <c r="M211">
        <f>region_summary__39[[#This Row],[APPROVED BY Pengawas]]+region_summary__39[[#This Row],[EDITED BY Admin Kabupaten]]</f>
        <v>115</v>
      </c>
    </row>
    <row r="212" spans="1:13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region_summary__39[[#This Row],[APPROVED BY Pengawas]]+region_summary__39[[#This Row],[EDITED BY Admin Kabupaten]]</f>
        <v>0</v>
      </c>
    </row>
    <row r="213" spans="1:13" x14ac:dyDescent="0.25">
      <c r="A213" s="4" t="s">
        <v>65</v>
      </c>
      <c r="B213">
        <v>7172012004002600</v>
      </c>
      <c r="C213">
        <v>131</v>
      </c>
      <c r="D213">
        <v>75</v>
      </c>
      <c r="E213">
        <v>1</v>
      </c>
      <c r="F213">
        <v>0</v>
      </c>
      <c r="G213">
        <v>5</v>
      </c>
      <c r="H213">
        <v>0</v>
      </c>
      <c r="I213">
        <v>0</v>
      </c>
      <c r="J213">
        <v>0</v>
      </c>
      <c r="K213">
        <v>50</v>
      </c>
      <c r="L213">
        <v>0</v>
      </c>
      <c r="M213">
        <f>region_summary__39[[#This Row],[APPROVED BY Pengawas]]+region_summary__39[[#This Row],[EDITED BY Admin Kabupaten]]</f>
        <v>75</v>
      </c>
    </row>
    <row r="214" spans="1:13" x14ac:dyDescent="0.25">
      <c r="A214" s="4" t="s">
        <v>65</v>
      </c>
      <c r="B214">
        <v>7172012004002403</v>
      </c>
      <c r="C214">
        <v>92</v>
      </c>
      <c r="D214">
        <v>87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region_summary__39[[#This Row],[APPROVED BY Pengawas]]+region_summary__39[[#This Row],[EDITED BY Admin Kabupaten]]</f>
        <v>87</v>
      </c>
    </row>
    <row r="215" spans="1:13" x14ac:dyDescent="0.25">
      <c r="A215" s="4" t="s">
        <v>65</v>
      </c>
      <c r="B215">
        <v>7172012005000100</v>
      </c>
      <c r="C215">
        <v>88</v>
      </c>
      <c r="D215">
        <v>0</v>
      </c>
      <c r="E215">
        <v>0</v>
      </c>
      <c r="F215">
        <v>0</v>
      </c>
      <c r="G215">
        <v>88</v>
      </c>
      <c r="H215">
        <v>0</v>
      </c>
      <c r="I215">
        <v>0</v>
      </c>
      <c r="J215">
        <v>0</v>
      </c>
      <c r="K215">
        <v>0</v>
      </c>
      <c r="L215">
        <v>0</v>
      </c>
      <c r="M215">
        <f>region_summary__39[[#This Row],[APPROVED BY Pengawas]]+region_summary__39[[#This Row],[EDITED BY Admin Kabupaten]]</f>
        <v>0</v>
      </c>
    </row>
    <row r="216" spans="1:13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region_summary__39[[#This Row],[APPROVED BY Pengawas]]+region_summary__39[[#This Row],[EDITED BY Admin Kabupaten]]</f>
        <v>0</v>
      </c>
    </row>
    <row r="217" spans="1:13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region_summary__39[[#This Row],[APPROVED BY Pengawas]]+region_summary__39[[#This Row],[EDITED BY Admin Kabupaten]]</f>
        <v>0</v>
      </c>
    </row>
    <row r="218" spans="1:13" x14ac:dyDescent="0.25">
      <c r="A218" s="4" t="s">
        <v>65</v>
      </c>
      <c r="B218">
        <v>7172012005000200</v>
      </c>
      <c r="C218">
        <v>53</v>
      </c>
      <c r="D218">
        <v>47</v>
      </c>
      <c r="E218">
        <v>1</v>
      </c>
      <c r="F218">
        <v>0</v>
      </c>
      <c r="G218">
        <v>5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region_summary__39[[#This Row],[APPROVED BY Pengawas]]+region_summary__39[[#This Row],[EDITED BY Admin Kabupaten]]</f>
        <v>47</v>
      </c>
    </row>
    <row r="219" spans="1:13" x14ac:dyDescent="0.25">
      <c r="A219" s="4" t="s">
        <v>70</v>
      </c>
      <c r="B219">
        <v>7172012006001600</v>
      </c>
      <c r="C219">
        <v>117</v>
      </c>
      <c r="D219">
        <v>64</v>
      </c>
      <c r="E219">
        <v>4</v>
      </c>
      <c r="F219">
        <v>0</v>
      </c>
      <c r="G219">
        <v>35</v>
      </c>
      <c r="H219">
        <v>0</v>
      </c>
      <c r="I219">
        <v>0</v>
      </c>
      <c r="J219">
        <v>0</v>
      </c>
      <c r="K219">
        <v>14</v>
      </c>
      <c r="L219">
        <v>0</v>
      </c>
      <c r="M219">
        <f>region_summary__39[[#This Row],[APPROVED BY Pengawas]]+region_summary__39[[#This Row],[EDITED BY Admin Kabupaten]]</f>
        <v>64</v>
      </c>
    </row>
    <row r="220" spans="1:13" x14ac:dyDescent="0.25">
      <c r="A220" s="4" t="s">
        <v>70</v>
      </c>
      <c r="B220">
        <v>7172012006000902</v>
      </c>
      <c r="C220">
        <v>102</v>
      </c>
      <c r="D220">
        <v>16</v>
      </c>
      <c r="E220">
        <v>7</v>
      </c>
      <c r="F220">
        <v>0</v>
      </c>
      <c r="G220">
        <v>73</v>
      </c>
      <c r="H220">
        <v>0</v>
      </c>
      <c r="I220">
        <v>0</v>
      </c>
      <c r="J220">
        <v>0</v>
      </c>
      <c r="K220">
        <v>6</v>
      </c>
      <c r="L220">
        <v>0</v>
      </c>
      <c r="M220">
        <f>region_summary__39[[#This Row],[APPROVED BY Pengawas]]+region_summary__39[[#This Row],[EDITED BY Admin Kabupaten]]</f>
        <v>16</v>
      </c>
    </row>
    <row r="221" spans="1:13" x14ac:dyDescent="0.25">
      <c r="A221" s="4" t="s">
        <v>70</v>
      </c>
      <c r="B221">
        <v>7172012006001500</v>
      </c>
      <c r="C221">
        <v>99</v>
      </c>
      <c r="D221">
        <v>37</v>
      </c>
      <c r="E221">
        <v>13</v>
      </c>
      <c r="F221">
        <v>0</v>
      </c>
      <c r="G221">
        <v>49</v>
      </c>
      <c r="H221">
        <v>0</v>
      </c>
      <c r="I221">
        <v>0</v>
      </c>
      <c r="J221">
        <v>0</v>
      </c>
      <c r="K221">
        <v>0</v>
      </c>
      <c r="L221">
        <v>0</v>
      </c>
      <c r="M221">
        <f>region_summary__39[[#This Row],[APPROVED BY Pengawas]]+region_summary__39[[#This Row],[EDITED BY Admin Kabupaten]]</f>
        <v>37</v>
      </c>
    </row>
    <row r="222" spans="1:13" x14ac:dyDescent="0.25">
      <c r="A222" s="4" t="s">
        <v>70</v>
      </c>
      <c r="B222">
        <v>7172012006001200</v>
      </c>
      <c r="C222">
        <v>84</v>
      </c>
      <c r="D222">
        <v>0</v>
      </c>
      <c r="E222">
        <v>19</v>
      </c>
      <c r="F222">
        <v>0</v>
      </c>
      <c r="G222">
        <v>48</v>
      </c>
      <c r="H222">
        <v>0</v>
      </c>
      <c r="I222">
        <v>0</v>
      </c>
      <c r="J222">
        <v>0</v>
      </c>
      <c r="K222">
        <v>17</v>
      </c>
      <c r="L222">
        <v>0</v>
      </c>
      <c r="M222">
        <f>region_summary__39[[#This Row],[APPROVED BY Pengawas]]+region_summary__39[[#This Row],[EDITED BY Admin Kabupaten]]</f>
        <v>0</v>
      </c>
    </row>
    <row r="223" spans="1:13" x14ac:dyDescent="0.25">
      <c r="A223" s="4" t="s">
        <v>70</v>
      </c>
      <c r="B223">
        <v>7172012006001300</v>
      </c>
      <c r="C223">
        <v>80</v>
      </c>
      <c r="D223">
        <v>0</v>
      </c>
      <c r="E223">
        <v>3</v>
      </c>
      <c r="F223">
        <v>0</v>
      </c>
      <c r="G223">
        <v>76</v>
      </c>
      <c r="H223">
        <v>0</v>
      </c>
      <c r="I223">
        <v>0</v>
      </c>
      <c r="J223">
        <v>0</v>
      </c>
      <c r="K223">
        <v>1</v>
      </c>
      <c r="L223">
        <v>0</v>
      </c>
      <c r="M223">
        <f>region_summary__39[[#This Row],[APPROVED BY Pengawas]]+region_summary__39[[#This Row],[EDITED BY Admin Kabupaten]]</f>
        <v>0</v>
      </c>
    </row>
    <row r="224" spans="1:13" x14ac:dyDescent="0.25">
      <c r="A224" s="4" t="s">
        <v>70</v>
      </c>
      <c r="B224">
        <v>7172012006000903</v>
      </c>
      <c r="C224">
        <v>74</v>
      </c>
      <c r="D224">
        <v>0</v>
      </c>
      <c r="E224">
        <v>8</v>
      </c>
      <c r="F224">
        <v>0</v>
      </c>
      <c r="G224">
        <v>65</v>
      </c>
      <c r="H224">
        <v>0</v>
      </c>
      <c r="I224">
        <v>0</v>
      </c>
      <c r="J224">
        <v>0</v>
      </c>
      <c r="K224">
        <v>1</v>
      </c>
      <c r="L224">
        <v>0</v>
      </c>
      <c r="M224">
        <f>region_summary__39[[#This Row],[APPROVED BY Pengawas]]+region_summary__39[[#This Row],[EDITED BY Admin Kabupaten]]</f>
        <v>0</v>
      </c>
    </row>
    <row r="225" spans="1:13" x14ac:dyDescent="0.25">
      <c r="A225" s="4" t="s">
        <v>70</v>
      </c>
      <c r="B225">
        <v>7172012006001000</v>
      </c>
      <c r="C225">
        <v>71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5</v>
      </c>
      <c r="L225">
        <v>0</v>
      </c>
      <c r="M225">
        <f>region_summary__39[[#This Row],[APPROVED BY Pengawas]]+region_summary__39[[#This Row],[EDITED BY Admin Kabupaten]]</f>
        <v>0</v>
      </c>
    </row>
    <row r="226" spans="1:13" x14ac:dyDescent="0.25">
      <c r="A226" s="4" t="s">
        <v>70</v>
      </c>
      <c r="B226">
        <v>7172012006001100</v>
      </c>
      <c r="C226">
        <v>50</v>
      </c>
      <c r="D226">
        <v>49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1</v>
      </c>
      <c r="L226">
        <v>0</v>
      </c>
      <c r="M226">
        <f>region_summary__39[[#This Row],[APPROVED BY Pengawas]]+region_summary__39[[#This Row],[EDITED BY Admin Kabupaten]]</f>
        <v>49</v>
      </c>
    </row>
    <row r="227" spans="1:13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region_summary__39[[#This Row],[APPROVED BY Pengawas]]+region_summary__39[[#This Row],[EDITED BY Admin Kabupaten]]</f>
        <v>0</v>
      </c>
    </row>
    <row r="228" spans="1:13" x14ac:dyDescent="0.25">
      <c r="A228" s="4" t="s">
        <v>67</v>
      </c>
      <c r="B228">
        <v>7172012005001500</v>
      </c>
      <c r="C228">
        <v>105</v>
      </c>
      <c r="D228">
        <v>0</v>
      </c>
      <c r="E228">
        <v>10</v>
      </c>
      <c r="F228">
        <v>0</v>
      </c>
      <c r="G228">
        <v>95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region_summary__39[[#This Row],[APPROVED BY Pengawas]]+region_summary__39[[#This Row],[EDITED BY Admin Kabupaten]]</f>
        <v>0</v>
      </c>
    </row>
    <row r="229" spans="1:13" x14ac:dyDescent="0.25">
      <c r="A229" s="4" t="s">
        <v>67</v>
      </c>
      <c r="B229">
        <v>7172012005001700</v>
      </c>
      <c r="C229">
        <v>102</v>
      </c>
      <c r="D229">
        <v>77</v>
      </c>
      <c r="E229">
        <v>2</v>
      </c>
      <c r="F229">
        <v>0</v>
      </c>
      <c r="G229">
        <v>19</v>
      </c>
      <c r="H229">
        <v>0</v>
      </c>
      <c r="I229">
        <v>2</v>
      </c>
      <c r="J229">
        <v>0</v>
      </c>
      <c r="K229">
        <v>2</v>
      </c>
      <c r="L229">
        <v>0</v>
      </c>
      <c r="M229">
        <f>region_summary__39[[#This Row],[APPROVED BY Pengawas]]+region_summary__39[[#This Row],[EDITED BY Admin Kabupaten]]</f>
        <v>77</v>
      </c>
    </row>
    <row r="230" spans="1:13" x14ac:dyDescent="0.25">
      <c r="A230" s="4" t="s">
        <v>67</v>
      </c>
      <c r="B230">
        <v>7172012005001800</v>
      </c>
      <c r="C230">
        <v>70</v>
      </c>
      <c r="D230">
        <v>26</v>
      </c>
      <c r="E230">
        <v>1</v>
      </c>
      <c r="F230">
        <v>0</v>
      </c>
      <c r="G230">
        <v>43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region_summary__39[[#This Row],[APPROVED BY Pengawas]]+region_summary__39[[#This Row],[EDITED BY Admin Kabupaten]]</f>
        <v>26</v>
      </c>
    </row>
    <row r="231" spans="1:13" x14ac:dyDescent="0.25">
      <c r="A231" s="4" t="s">
        <v>67</v>
      </c>
      <c r="B231">
        <v>7172012005001200</v>
      </c>
      <c r="C231">
        <v>58</v>
      </c>
      <c r="D231">
        <v>7</v>
      </c>
      <c r="E231">
        <v>2</v>
      </c>
      <c r="F231">
        <v>0</v>
      </c>
      <c r="G231">
        <v>39</v>
      </c>
      <c r="H231">
        <v>0</v>
      </c>
      <c r="I231">
        <v>0</v>
      </c>
      <c r="J231">
        <v>0</v>
      </c>
      <c r="K231">
        <v>10</v>
      </c>
      <c r="L231">
        <v>0</v>
      </c>
      <c r="M231">
        <f>region_summary__39[[#This Row],[APPROVED BY Pengawas]]+region_summary__39[[#This Row],[EDITED BY Admin Kabupaten]]</f>
        <v>7</v>
      </c>
    </row>
    <row r="232" spans="1:13" x14ac:dyDescent="0.25">
      <c r="A232" s="4" t="s">
        <v>67</v>
      </c>
      <c r="B232">
        <v>7172012005001600</v>
      </c>
      <c r="C232">
        <v>58</v>
      </c>
      <c r="D232">
        <v>46</v>
      </c>
      <c r="E232">
        <v>5</v>
      </c>
      <c r="F232">
        <v>0</v>
      </c>
      <c r="G232">
        <v>6</v>
      </c>
      <c r="H232">
        <v>0</v>
      </c>
      <c r="I232">
        <v>0</v>
      </c>
      <c r="J232">
        <v>0</v>
      </c>
      <c r="K232">
        <v>1</v>
      </c>
      <c r="L232">
        <v>0</v>
      </c>
      <c r="M232">
        <f>region_summary__39[[#This Row],[APPROVED BY Pengawas]]+region_summary__39[[#This Row],[EDITED BY Admin Kabupaten]]</f>
        <v>46</v>
      </c>
    </row>
    <row r="233" spans="1:13" x14ac:dyDescent="0.25">
      <c r="A233" s="4" t="s">
        <v>67</v>
      </c>
      <c r="B233">
        <v>7172012005001300</v>
      </c>
      <c r="C233">
        <v>54</v>
      </c>
      <c r="D233">
        <v>47</v>
      </c>
      <c r="E233">
        <v>4</v>
      </c>
      <c r="F233">
        <v>0</v>
      </c>
      <c r="G233">
        <v>2</v>
      </c>
      <c r="H233">
        <v>0</v>
      </c>
      <c r="I233">
        <v>0</v>
      </c>
      <c r="J233">
        <v>1</v>
      </c>
      <c r="K233">
        <v>0</v>
      </c>
      <c r="L233">
        <v>0</v>
      </c>
      <c r="M233">
        <f>region_summary__39[[#This Row],[APPROVED BY Pengawas]]+region_summary__39[[#This Row],[EDITED BY Admin Kabupaten]]</f>
        <v>47</v>
      </c>
    </row>
    <row r="234" spans="1:13" x14ac:dyDescent="0.25">
      <c r="A234" s="4" t="s">
        <v>67</v>
      </c>
      <c r="B234">
        <v>7172012005000800</v>
      </c>
      <c r="C234">
        <v>39</v>
      </c>
      <c r="D234">
        <v>30</v>
      </c>
      <c r="E234">
        <v>1</v>
      </c>
      <c r="F234">
        <v>0</v>
      </c>
      <c r="G234">
        <v>8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region_summary__39[[#This Row],[APPROVED BY Pengawas]]+region_summary__39[[#This Row],[EDITED BY Admin Kabupaten]]</f>
        <v>30</v>
      </c>
    </row>
    <row r="235" spans="1:13" x14ac:dyDescent="0.25">
      <c r="A235" s="4" t="s">
        <v>67</v>
      </c>
      <c r="B235">
        <v>7172012005000700</v>
      </c>
      <c r="C235">
        <v>38</v>
      </c>
      <c r="D235">
        <v>37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region_summary__39[[#This Row],[APPROVED BY Pengawas]]+region_summary__39[[#This Row],[EDITED BY Admin Kabupaten]]</f>
        <v>37</v>
      </c>
    </row>
    <row r="236" spans="1:13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region_summary__39[[#This Row],[APPROVED BY Pengawas]]+region_summary__39[[#This Row],[EDITED BY Admin Kabupaten]]</f>
        <v>0</v>
      </c>
    </row>
    <row r="237" spans="1:13" x14ac:dyDescent="0.25">
      <c r="A237" s="4" t="s">
        <v>230</v>
      </c>
      <c r="B237">
        <v>7172012007000600</v>
      </c>
      <c r="C237">
        <v>166</v>
      </c>
      <c r="D237">
        <v>0</v>
      </c>
      <c r="E237">
        <v>0</v>
      </c>
      <c r="F237">
        <v>0</v>
      </c>
      <c r="G237">
        <v>161</v>
      </c>
      <c r="H237">
        <v>0</v>
      </c>
      <c r="I237">
        <v>0</v>
      </c>
      <c r="J237">
        <v>0</v>
      </c>
      <c r="K237">
        <v>5</v>
      </c>
      <c r="L237">
        <v>0</v>
      </c>
      <c r="M237">
        <f>region_summary__39[[#This Row],[APPROVED BY Pengawas]]+region_summary__39[[#This Row],[EDITED BY Admin Kabupaten]]</f>
        <v>0</v>
      </c>
    </row>
    <row r="238" spans="1:13" x14ac:dyDescent="0.25">
      <c r="A238" s="4" t="s">
        <v>230</v>
      </c>
      <c r="B238">
        <v>7172012007000300</v>
      </c>
      <c r="C238">
        <v>134</v>
      </c>
      <c r="D238">
        <v>106</v>
      </c>
      <c r="E238">
        <v>9</v>
      </c>
      <c r="F238">
        <v>0</v>
      </c>
      <c r="G238">
        <v>19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region_summary__39[[#This Row],[APPROVED BY Pengawas]]+region_summary__39[[#This Row],[EDITED BY Admin Kabupaten]]</f>
        <v>106</v>
      </c>
    </row>
    <row r="239" spans="1:13" x14ac:dyDescent="0.25">
      <c r="A239" s="4" t="s">
        <v>230</v>
      </c>
      <c r="B239">
        <v>7172012007000200</v>
      </c>
      <c r="C239">
        <v>125</v>
      </c>
      <c r="D239">
        <v>97</v>
      </c>
      <c r="E239">
        <v>3</v>
      </c>
      <c r="F239">
        <v>0</v>
      </c>
      <c r="G239">
        <v>25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region_summary__39[[#This Row],[APPROVED BY Pengawas]]+region_summary__39[[#This Row],[EDITED BY Admin Kabupaten]]</f>
        <v>97</v>
      </c>
    </row>
    <row r="240" spans="1:13" x14ac:dyDescent="0.25">
      <c r="A240" s="4" t="s">
        <v>230</v>
      </c>
      <c r="B240">
        <v>7172012007000400</v>
      </c>
      <c r="C240">
        <v>114</v>
      </c>
      <c r="D240">
        <v>77</v>
      </c>
      <c r="E240">
        <v>2</v>
      </c>
      <c r="F240">
        <v>0</v>
      </c>
      <c r="G240">
        <v>35</v>
      </c>
      <c r="H240">
        <v>0</v>
      </c>
      <c r="I240">
        <v>0</v>
      </c>
      <c r="J240">
        <v>0</v>
      </c>
      <c r="K240">
        <v>0</v>
      </c>
      <c r="L240">
        <v>0</v>
      </c>
      <c r="M240">
        <f>region_summary__39[[#This Row],[APPROVED BY Pengawas]]+region_summary__39[[#This Row],[EDITED BY Admin Kabupaten]]</f>
        <v>77</v>
      </c>
    </row>
    <row r="241" spans="1:13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region_summary__39[[#This Row],[APPROVED BY Pengawas]]+region_summary__39[[#This Row],[EDITED BY Admin Kabupaten]]</f>
        <v>0</v>
      </c>
    </row>
    <row r="242" spans="1:13" x14ac:dyDescent="0.25">
      <c r="A242" s="4" t="s">
        <v>72</v>
      </c>
      <c r="B242">
        <v>7172012007000800</v>
      </c>
      <c r="C242">
        <v>161</v>
      </c>
      <c r="D242">
        <v>57</v>
      </c>
      <c r="E242">
        <v>24</v>
      </c>
      <c r="F242">
        <v>0</v>
      </c>
      <c r="G242">
        <v>74</v>
      </c>
      <c r="H242">
        <v>0</v>
      </c>
      <c r="I242">
        <v>1</v>
      </c>
      <c r="J242">
        <v>0</v>
      </c>
      <c r="K242">
        <v>5</v>
      </c>
      <c r="L242">
        <v>0</v>
      </c>
      <c r="M242">
        <f>region_summary__39[[#This Row],[APPROVED BY Pengawas]]+region_summary__39[[#This Row],[EDITED BY Admin Kabupaten]]</f>
        <v>57</v>
      </c>
    </row>
    <row r="243" spans="1:13" x14ac:dyDescent="0.25">
      <c r="A243" s="4" t="s">
        <v>72</v>
      </c>
      <c r="B243">
        <v>7172012007000900</v>
      </c>
      <c r="C243">
        <v>125</v>
      </c>
      <c r="D243">
        <v>115</v>
      </c>
      <c r="E243">
        <v>6</v>
      </c>
      <c r="F243">
        <v>0</v>
      </c>
      <c r="G243">
        <v>1</v>
      </c>
      <c r="H243">
        <v>0</v>
      </c>
      <c r="I243">
        <v>0</v>
      </c>
      <c r="J243">
        <v>0</v>
      </c>
      <c r="K243">
        <v>3</v>
      </c>
      <c r="L243">
        <v>0</v>
      </c>
      <c r="M243">
        <f>region_summary__39[[#This Row],[APPROVED BY Pengawas]]+region_summary__39[[#This Row],[EDITED BY Admin Kabupaten]]</f>
        <v>115</v>
      </c>
    </row>
    <row r="244" spans="1:13" x14ac:dyDescent="0.25">
      <c r="A244" s="4" t="s">
        <v>72</v>
      </c>
      <c r="B244">
        <v>7172012007000500</v>
      </c>
      <c r="C244">
        <v>92</v>
      </c>
      <c r="D244">
        <v>25</v>
      </c>
      <c r="E244">
        <v>9</v>
      </c>
      <c r="F244">
        <v>0</v>
      </c>
      <c r="G244">
        <v>48</v>
      </c>
      <c r="H244">
        <v>0</v>
      </c>
      <c r="I244">
        <v>0</v>
      </c>
      <c r="J244">
        <v>0</v>
      </c>
      <c r="K244">
        <v>10</v>
      </c>
      <c r="L244">
        <v>0</v>
      </c>
      <c r="M244">
        <f>region_summary__39[[#This Row],[APPROVED BY Pengawas]]+region_summary__39[[#This Row],[EDITED BY Admin Kabupaten]]</f>
        <v>25</v>
      </c>
    </row>
    <row r="245" spans="1:13" x14ac:dyDescent="0.25">
      <c r="A245" s="4" t="s">
        <v>72</v>
      </c>
      <c r="B245">
        <v>7172012007001000</v>
      </c>
      <c r="C245">
        <v>90</v>
      </c>
      <c r="D245">
        <v>37</v>
      </c>
      <c r="E245">
        <v>0</v>
      </c>
      <c r="F245">
        <v>0</v>
      </c>
      <c r="G245">
        <v>52</v>
      </c>
      <c r="H245">
        <v>0</v>
      </c>
      <c r="I245">
        <v>0</v>
      </c>
      <c r="J245">
        <v>0</v>
      </c>
      <c r="K245">
        <v>1</v>
      </c>
      <c r="L245">
        <v>0</v>
      </c>
      <c r="M245">
        <f>region_summary__39[[#This Row],[APPROVED BY Pengawas]]+region_summary__39[[#This Row],[EDITED BY Admin Kabupaten]]</f>
        <v>37</v>
      </c>
    </row>
    <row r="246" spans="1:13" x14ac:dyDescent="0.25">
      <c r="A246" s="4" t="s">
        <v>75</v>
      </c>
      <c r="B246">
        <v>7172021003000800</v>
      </c>
      <c r="C246">
        <v>106</v>
      </c>
      <c r="D246">
        <v>44</v>
      </c>
      <c r="E246">
        <v>9</v>
      </c>
      <c r="F246">
        <v>0</v>
      </c>
      <c r="G246">
        <v>49</v>
      </c>
      <c r="H246">
        <v>0</v>
      </c>
      <c r="I246">
        <v>0</v>
      </c>
      <c r="J246">
        <v>4</v>
      </c>
      <c r="K246">
        <v>0</v>
      </c>
      <c r="L246">
        <v>0</v>
      </c>
      <c r="M246">
        <f>region_summary__39[[#This Row],[APPROVED BY Pengawas]]+region_summary__39[[#This Row],[EDITED BY Admin Kabupaten]]</f>
        <v>44</v>
      </c>
    </row>
    <row r="247" spans="1:13" x14ac:dyDescent="0.25">
      <c r="A247" s="4" t="s">
        <v>75</v>
      </c>
      <c r="B247">
        <v>7172021003001100</v>
      </c>
      <c r="C247">
        <v>91</v>
      </c>
      <c r="D247">
        <v>22</v>
      </c>
      <c r="E247">
        <v>0</v>
      </c>
      <c r="F247">
        <v>0</v>
      </c>
      <c r="G247">
        <v>69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region_summary__39[[#This Row],[APPROVED BY Pengawas]]+region_summary__39[[#This Row],[EDITED BY Admin Kabupaten]]</f>
        <v>22</v>
      </c>
    </row>
    <row r="248" spans="1:13" x14ac:dyDescent="0.25">
      <c r="A248" s="4" t="s">
        <v>75</v>
      </c>
      <c r="B248">
        <v>7172021006000100</v>
      </c>
      <c r="C248">
        <v>90</v>
      </c>
      <c r="D248">
        <v>22</v>
      </c>
      <c r="E248">
        <v>0</v>
      </c>
      <c r="F248">
        <v>0</v>
      </c>
      <c r="G248">
        <v>68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region_summary__39[[#This Row],[APPROVED BY Pengawas]]+region_summary__39[[#This Row],[EDITED BY Admin Kabupaten]]</f>
        <v>22</v>
      </c>
    </row>
    <row r="249" spans="1:13" x14ac:dyDescent="0.25">
      <c r="A249" s="4" t="s">
        <v>75</v>
      </c>
      <c r="B249">
        <v>7172021003001000</v>
      </c>
      <c r="C249">
        <v>62</v>
      </c>
      <c r="D249">
        <v>52</v>
      </c>
      <c r="E249">
        <v>10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region_summary__39[[#This Row],[APPROVED BY Pengawas]]+region_summary__39[[#This Row],[EDITED BY Admin Kabupaten]]</f>
        <v>52</v>
      </c>
    </row>
    <row r="250" spans="1:13" x14ac:dyDescent="0.25">
      <c r="A250" s="4" t="s">
        <v>75</v>
      </c>
      <c r="B250">
        <v>7172021003000900</v>
      </c>
      <c r="C250">
        <v>57</v>
      </c>
      <c r="D250">
        <v>15</v>
      </c>
      <c r="E250">
        <v>0</v>
      </c>
      <c r="F250">
        <v>0</v>
      </c>
      <c r="G250">
        <v>42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region_summary__39[[#This Row],[APPROVED BY Pengawas]]+region_summary__39[[#This Row],[EDITED BY Admin Kabupaten]]</f>
        <v>15</v>
      </c>
    </row>
    <row r="251" spans="1:13" x14ac:dyDescent="0.25">
      <c r="A251" s="4" t="s">
        <v>75</v>
      </c>
      <c r="B251">
        <v>7172021002000400</v>
      </c>
      <c r="C251">
        <v>38</v>
      </c>
      <c r="D251">
        <v>28</v>
      </c>
      <c r="E251">
        <v>9</v>
      </c>
      <c r="F251">
        <v>0</v>
      </c>
      <c r="G251">
        <v>1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region_summary__39[[#This Row],[APPROVED BY Pengawas]]+region_summary__39[[#This Row],[EDITED BY Admin Kabupaten]]</f>
        <v>28</v>
      </c>
    </row>
    <row r="252" spans="1:13" x14ac:dyDescent="0.25">
      <c r="A252" s="4" t="s">
        <v>75</v>
      </c>
      <c r="B252">
        <v>7172021006000700</v>
      </c>
      <c r="C252">
        <v>25</v>
      </c>
      <c r="D252">
        <v>3</v>
      </c>
      <c r="E252">
        <v>0</v>
      </c>
      <c r="F252">
        <v>0</v>
      </c>
      <c r="G252">
        <v>22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region_summary__39[[#This Row],[APPROVED BY Pengawas]]+region_summary__39[[#This Row],[EDITED BY Admin Kabupaten]]</f>
        <v>3</v>
      </c>
    </row>
    <row r="253" spans="1:13" x14ac:dyDescent="0.25">
      <c r="A253" s="4" t="s">
        <v>231</v>
      </c>
      <c r="B253">
        <v>7172021003000100</v>
      </c>
      <c r="C253">
        <v>107</v>
      </c>
      <c r="D253">
        <v>38</v>
      </c>
      <c r="E253">
        <v>1</v>
      </c>
      <c r="F253">
        <v>0</v>
      </c>
      <c r="G253">
        <v>68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region_summary__39[[#This Row],[APPROVED BY Pengawas]]+region_summary__39[[#This Row],[EDITED BY Admin Kabupaten]]</f>
        <v>38</v>
      </c>
    </row>
    <row r="254" spans="1:13" x14ac:dyDescent="0.25">
      <c r="A254" s="4" t="s">
        <v>231</v>
      </c>
      <c r="B254">
        <v>7172021002000600</v>
      </c>
      <c r="C254">
        <v>70</v>
      </c>
      <c r="D254">
        <v>63</v>
      </c>
      <c r="E254">
        <v>5</v>
      </c>
      <c r="F254">
        <v>0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region_summary__39[[#This Row],[APPROVED BY Pengawas]]+region_summary__39[[#This Row],[EDITED BY Admin Kabupaten]]</f>
        <v>63</v>
      </c>
    </row>
    <row r="255" spans="1:13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region_summary__39[[#This Row],[APPROVED BY Pengawas]]+region_summary__39[[#This Row],[EDITED BY Admin Kabupaten]]</f>
        <v>12</v>
      </c>
    </row>
    <row r="256" spans="1:13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region_summary__39[[#This Row],[APPROVED BY Pengawas]]+region_summary__39[[#This Row],[EDITED BY Admin Kabupaten]]</f>
        <v>6</v>
      </c>
    </row>
    <row r="257" spans="1:13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region_summary__39[[#This Row],[APPROVED BY Pengawas]]+region_summary__39[[#This Row],[EDITED BY Admin Kabupaten]]</f>
        <v>10</v>
      </c>
    </row>
    <row r="258" spans="1:13" x14ac:dyDescent="0.25">
      <c r="A258" s="4" t="s">
        <v>231</v>
      </c>
      <c r="B258">
        <v>7172021006002000</v>
      </c>
      <c r="C258">
        <v>61</v>
      </c>
      <c r="D258">
        <v>61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region_summary__39[[#This Row],[APPROVED BY Pengawas]]+region_summary__39[[#This Row],[EDITED BY Admin Kabupaten]]</f>
        <v>61</v>
      </c>
    </row>
    <row r="259" spans="1:13" x14ac:dyDescent="0.25">
      <c r="A259" s="4" t="s">
        <v>231</v>
      </c>
      <c r="B259">
        <v>7172021006002100</v>
      </c>
      <c r="C259">
        <v>52</v>
      </c>
      <c r="D259">
        <v>10</v>
      </c>
      <c r="E259">
        <v>0</v>
      </c>
      <c r="F259">
        <v>0</v>
      </c>
      <c r="G259">
        <v>42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region_summary__39[[#This Row],[APPROVED BY Pengawas]]+region_summary__39[[#This Row],[EDITED BY Admin Kabupaten]]</f>
        <v>10</v>
      </c>
    </row>
    <row r="260" spans="1:13" x14ac:dyDescent="0.25">
      <c r="A260" s="4" t="s">
        <v>74</v>
      </c>
      <c r="B260">
        <v>7172021002000500</v>
      </c>
      <c r="C260">
        <v>100</v>
      </c>
      <c r="D260">
        <v>36</v>
      </c>
      <c r="E260">
        <v>5</v>
      </c>
      <c r="F260">
        <v>0</v>
      </c>
      <c r="G260">
        <v>57</v>
      </c>
      <c r="H260">
        <v>0</v>
      </c>
      <c r="I260">
        <v>0</v>
      </c>
      <c r="J260">
        <v>2</v>
      </c>
      <c r="K260">
        <v>0</v>
      </c>
      <c r="L260">
        <v>0</v>
      </c>
      <c r="M260">
        <f>region_summary__39[[#This Row],[APPROVED BY Pengawas]]+region_summary__39[[#This Row],[EDITED BY Admin Kabupaten]]</f>
        <v>36</v>
      </c>
    </row>
    <row r="261" spans="1:13" x14ac:dyDescent="0.25">
      <c r="A261" s="4" t="s">
        <v>74</v>
      </c>
      <c r="B261">
        <v>7172021002000200</v>
      </c>
      <c r="C261">
        <v>85</v>
      </c>
      <c r="D261">
        <v>55</v>
      </c>
      <c r="E261">
        <v>2</v>
      </c>
      <c r="F261">
        <v>0</v>
      </c>
      <c r="G261">
        <v>27</v>
      </c>
      <c r="H261">
        <v>0</v>
      </c>
      <c r="I261">
        <v>0</v>
      </c>
      <c r="J261">
        <v>1</v>
      </c>
      <c r="K261">
        <v>0</v>
      </c>
      <c r="L261">
        <v>0</v>
      </c>
      <c r="M261">
        <f>region_summary__39[[#This Row],[APPROVED BY Pengawas]]+region_summary__39[[#This Row],[EDITED BY Admin Kabupaten]]</f>
        <v>55</v>
      </c>
    </row>
    <row r="262" spans="1:13" x14ac:dyDescent="0.25">
      <c r="A262" s="4" t="s">
        <v>74</v>
      </c>
      <c r="B262">
        <v>7172021002000300</v>
      </c>
      <c r="C262">
        <v>76</v>
      </c>
      <c r="D262">
        <v>18</v>
      </c>
      <c r="E262">
        <v>0</v>
      </c>
      <c r="F262">
        <v>0</v>
      </c>
      <c r="G262">
        <v>58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region_summary__39[[#This Row],[APPROVED BY Pengawas]]+region_summary__39[[#This Row],[EDITED BY Admin Kabupaten]]</f>
        <v>18</v>
      </c>
    </row>
    <row r="263" spans="1:13" x14ac:dyDescent="0.25">
      <c r="A263" s="4" t="s">
        <v>74</v>
      </c>
      <c r="B263">
        <v>7172021001000300</v>
      </c>
      <c r="C263">
        <v>63</v>
      </c>
      <c r="D263">
        <v>14</v>
      </c>
      <c r="E263">
        <v>0</v>
      </c>
      <c r="F263">
        <v>0</v>
      </c>
      <c r="G263">
        <v>49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region_summary__39[[#This Row],[APPROVED BY Pengawas]]+region_summary__39[[#This Row],[EDITED BY Admin Kabupaten]]</f>
        <v>14</v>
      </c>
    </row>
    <row r="264" spans="1:13" x14ac:dyDescent="0.25">
      <c r="A264" s="4" t="s">
        <v>74</v>
      </c>
      <c r="B264">
        <v>7172021002000100</v>
      </c>
      <c r="C264">
        <v>55</v>
      </c>
      <c r="D264">
        <v>14</v>
      </c>
      <c r="E264">
        <v>0</v>
      </c>
      <c r="F264">
        <v>0</v>
      </c>
      <c r="G264">
        <v>41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region_summary__39[[#This Row],[APPROVED BY Pengawas]]+region_summary__39[[#This Row],[EDITED BY Admin Kabupaten]]</f>
        <v>14</v>
      </c>
    </row>
    <row r="265" spans="1:13" x14ac:dyDescent="0.25">
      <c r="A265" s="4" t="s">
        <v>74</v>
      </c>
      <c r="B265">
        <v>7172021001000400</v>
      </c>
      <c r="C265">
        <v>41</v>
      </c>
      <c r="D265">
        <v>37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region_summary__39[[#This Row],[APPROVED BY Pengawas]]+region_summary__39[[#This Row],[EDITED BY Admin Kabupaten]]</f>
        <v>37</v>
      </c>
    </row>
    <row r="266" spans="1:13" x14ac:dyDescent="0.25">
      <c r="A266" s="4" t="s">
        <v>74</v>
      </c>
      <c r="B266">
        <v>7172021001000200</v>
      </c>
      <c r="C266">
        <v>36</v>
      </c>
      <c r="D266">
        <v>8</v>
      </c>
      <c r="E266">
        <v>0</v>
      </c>
      <c r="F266">
        <v>0</v>
      </c>
      <c r="G266">
        <v>28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region_summary__39[[#This Row],[APPROVED BY Pengawas]]+region_summary__39[[#This Row],[EDITED BY Admin Kabupaten]]</f>
        <v>8</v>
      </c>
    </row>
    <row r="267" spans="1:13" x14ac:dyDescent="0.25">
      <c r="A267" s="4" t="s">
        <v>74</v>
      </c>
      <c r="B267">
        <v>7172021001000100</v>
      </c>
      <c r="C267">
        <v>32</v>
      </c>
      <c r="D267">
        <v>15</v>
      </c>
      <c r="E267">
        <v>4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region_summary__39[[#This Row],[APPROVED BY Pengawas]]+region_summary__39[[#This Row],[EDITED BY Admin Kabupaten]]</f>
        <v>15</v>
      </c>
    </row>
    <row r="268" spans="1:13" x14ac:dyDescent="0.25">
      <c r="A268" s="4" t="s">
        <v>78</v>
      </c>
      <c r="B268">
        <v>7172021005000100</v>
      </c>
      <c r="C268">
        <v>100</v>
      </c>
      <c r="D268">
        <v>88</v>
      </c>
      <c r="E268">
        <v>3</v>
      </c>
      <c r="F268">
        <v>0</v>
      </c>
      <c r="G268">
        <v>9</v>
      </c>
      <c r="H268">
        <v>0</v>
      </c>
      <c r="I268">
        <v>0</v>
      </c>
      <c r="J268">
        <v>0</v>
      </c>
      <c r="K268">
        <v>0</v>
      </c>
      <c r="L268">
        <v>0</v>
      </c>
      <c r="M268">
        <f>region_summary__39[[#This Row],[APPROVED BY Pengawas]]+region_summary__39[[#This Row],[EDITED BY Admin Kabupaten]]</f>
        <v>88</v>
      </c>
    </row>
    <row r="269" spans="1:13" x14ac:dyDescent="0.25">
      <c r="A269" s="4" t="s">
        <v>78</v>
      </c>
      <c r="B269">
        <v>7172021004000500</v>
      </c>
      <c r="C269">
        <v>97</v>
      </c>
      <c r="D269">
        <v>16</v>
      </c>
      <c r="E269">
        <v>0</v>
      </c>
      <c r="F269">
        <v>0</v>
      </c>
      <c r="G269">
        <v>81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region_summary__39[[#This Row],[APPROVED BY Pengawas]]+region_summary__39[[#This Row],[EDITED BY Admin Kabupaten]]</f>
        <v>16</v>
      </c>
    </row>
    <row r="270" spans="1:13" x14ac:dyDescent="0.25">
      <c r="A270" s="4" t="s">
        <v>78</v>
      </c>
      <c r="B270">
        <v>7172021004000200</v>
      </c>
      <c r="C270">
        <v>80</v>
      </c>
      <c r="D270">
        <v>26</v>
      </c>
      <c r="E270">
        <v>0</v>
      </c>
      <c r="F270">
        <v>0</v>
      </c>
      <c r="G270">
        <v>53</v>
      </c>
      <c r="H270">
        <v>0</v>
      </c>
      <c r="I270">
        <v>0</v>
      </c>
      <c r="J270">
        <v>1</v>
      </c>
      <c r="K270">
        <v>0</v>
      </c>
      <c r="L270">
        <v>0</v>
      </c>
      <c r="M270">
        <f>region_summary__39[[#This Row],[APPROVED BY Pengawas]]+region_summary__39[[#This Row],[EDITED BY Admin Kabupaten]]</f>
        <v>26</v>
      </c>
    </row>
    <row r="271" spans="1:13" x14ac:dyDescent="0.25">
      <c r="A271" s="4" t="s">
        <v>78</v>
      </c>
      <c r="B271">
        <v>7172021004000600</v>
      </c>
      <c r="C271">
        <v>78</v>
      </c>
      <c r="D271">
        <v>17</v>
      </c>
      <c r="E271">
        <v>0</v>
      </c>
      <c r="F271">
        <v>0</v>
      </c>
      <c r="G271">
        <v>61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region_summary__39[[#This Row],[APPROVED BY Pengawas]]+region_summary__39[[#This Row],[EDITED BY Admin Kabupaten]]</f>
        <v>17</v>
      </c>
    </row>
    <row r="272" spans="1:13" x14ac:dyDescent="0.25">
      <c r="A272" s="4" t="s">
        <v>78</v>
      </c>
      <c r="B272">
        <v>7172021004000400</v>
      </c>
      <c r="C272">
        <v>73</v>
      </c>
      <c r="D272">
        <v>8</v>
      </c>
      <c r="E272">
        <v>0</v>
      </c>
      <c r="F272">
        <v>0</v>
      </c>
      <c r="G272">
        <v>65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region_summary__39[[#This Row],[APPROVED BY Pengawas]]+region_summary__39[[#This Row],[EDITED BY Admin Kabupaten]]</f>
        <v>8</v>
      </c>
    </row>
    <row r="273" spans="1:13" x14ac:dyDescent="0.25">
      <c r="A273" s="4" t="s">
        <v>78</v>
      </c>
      <c r="B273">
        <v>7172021004000100</v>
      </c>
      <c r="C273">
        <v>69</v>
      </c>
      <c r="D273">
        <v>65</v>
      </c>
      <c r="E273">
        <v>2</v>
      </c>
      <c r="F273">
        <v>0</v>
      </c>
      <c r="G273">
        <v>2</v>
      </c>
      <c r="H273">
        <v>0</v>
      </c>
      <c r="I273">
        <v>0</v>
      </c>
      <c r="J273">
        <v>0</v>
      </c>
      <c r="K273">
        <v>0</v>
      </c>
      <c r="L273">
        <v>0</v>
      </c>
      <c r="M273">
        <f>region_summary__39[[#This Row],[APPROVED BY Pengawas]]+region_summary__39[[#This Row],[EDITED BY Admin Kabupaten]]</f>
        <v>65</v>
      </c>
    </row>
    <row r="274" spans="1:13" x14ac:dyDescent="0.25">
      <c r="A274" s="4" t="s">
        <v>78</v>
      </c>
      <c r="B274">
        <v>7172021004000300</v>
      </c>
      <c r="C274">
        <v>51</v>
      </c>
      <c r="D274">
        <v>12</v>
      </c>
      <c r="E274">
        <v>0</v>
      </c>
      <c r="F274">
        <v>0</v>
      </c>
      <c r="G274">
        <v>39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region_summary__39[[#This Row],[APPROVED BY Pengawas]]+region_summary__39[[#This Row],[EDITED BY Admin Kabupaten]]</f>
        <v>12</v>
      </c>
    </row>
    <row r="275" spans="1:13" x14ac:dyDescent="0.25">
      <c r="A275" s="4" t="s">
        <v>79</v>
      </c>
      <c r="B275">
        <v>7172021006000400</v>
      </c>
      <c r="C275">
        <v>89</v>
      </c>
      <c r="D275">
        <v>65</v>
      </c>
      <c r="E275">
        <v>9</v>
      </c>
      <c r="F275">
        <v>0</v>
      </c>
      <c r="G275">
        <v>15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region_summary__39[[#This Row],[APPROVED BY Pengawas]]+region_summary__39[[#This Row],[EDITED BY Admin Kabupaten]]</f>
        <v>65</v>
      </c>
    </row>
    <row r="276" spans="1:13" x14ac:dyDescent="0.25">
      <c r="A276" s="4" t="s">
        <v>79</v>
      </c>
      <c r="B276">
        <v>7172021006000200</v>
      </c>
      <c r="C276">
        <v>83</v>
      </c>
      <c r="D276">
        <v>56</v>
      </c>
      <c r="E276">
        <v>3</v>
      </c>
      <c r="F276">
        <v>0</v>
      </c>
      <c r="G276">
        <v>24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region_summary__39[[#This Row],[APPROVED BY Pengawas]]+region_summary__39[[#This Row],[EDITED BY Admin Kabupaten]]</f>
        <v>56</v>
      </c>
    </row>
    <row r="277" spans="1:13" x14ac:dyDescent="0.25">
      <c r="A277" s="4" t="s">
        <v>79</v>
      </c>
      <c r="B277">
        <v>7172021006000300</v>
      </c>
      <c r="C277">
        <v>83</v>
      </c>
      <c r="D277">
        <v>25</v>
      </c>
      <c r="E277">
        <v>2</v>
      </c>
      <c r="F277">
        <v>0</v>
      </c>
      <c r="G277">
        <v>56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region_summary__39[[#This Row],[APPROVED BY Pengawas]]+region_summary__39[[#This Row],[EDITED BY Admin Kabupaten]]</f>
        <v>25</v>
      </c>
    </row>
    <row r="278" spans="1:13" x14ac:dyDescent="0.25">
      <c r="A278" s="4" t="s">
        <v>79</v>
      </c>
      <c r="B278">
        <v>7172021005000200</v>
      </c>
      <c r="C278">
        <v>79</v>
      </c>
      <c r="D278">
        <v>31</v>
      </c>
      <c r="E278">
        <v>5</v>
      </c>
      <c r="F278">
        <v>0</v>
      </c>
      <c r="G278">
        <v>43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region_summary__39[[#This Row],[APPROVED BY Pengawas]]+region_summary__39[[#This Row],[EDITED BY Admin Kabupaten]]</f>
        <v>31</v>
      </c>
    </row>
    <row r="279" spans="1:13" x14ac:dyDescent="0.25">
      <c r="A279" s="4" t="s">
        <v>79</v>
      </c>
      <c r="B279">
        <v>7172021005000300</v>
      </c>
      <c r="C279">
        <v>56</v>
      </c>
      <c r="D279">
        <v>9</v>
      </c>
      <c r="E279">
        <v>0</v>
      </c>
      <c r="F279">
        <v>0</v>
      </c>
      <c r="G279">
        <v>47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region_summary__39[[#This Row],[APPROVED BY Pengawas]]+region_summary__39[[#This Row],[EDITED BY Admin Kabupaten]]</f>
        <v>9</v>
      </c>
    </row>
    <row r="280" spans="1:13" x14ac:dyDescent="0.25">
      <c r="A280" s="4" t="s">
        <v>79</v>
      </c>
      <c r="B280">
        <v>7172021006000500</v>
      </c>
      <c r="C280">
        <v>48</v>
      </c>
      <c r="D280">
        <v>10</v>
      </c>
      <c r="E280">
        <v>0</v>
      </c>
      <c r="F280">
        <v>0</v>
      </c>
      <c r="G280">
        <v>38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region_summary__39[[#This Row],[APPROVED BY Pengawas]]+region_summary__39[[#This Row],[EDITED BY Admin Kabupaten]]</f>
        <v>10</v>
      </c>
    </row>
    <row r="281" spans="1:13" x14ac:dyDescent="0.25">
      <c r="A281" s="4" t="s">
        <v>79</v>
      </c>
      <c r="B281">
        <v>7172021006000600</v>
      </c>
      <c r="C281">
        <v>41</v>
      </c>
      <c r="D281">
        <v>9</v>
      </c>
      <c r="E281">
        <v>0</v>
      </c>
      <c r="F281">
        <v>0</v>
      </c>
      <c r="G281">
        <v>32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region_summary__39[[#This Row],[APPROVED BY Pengawas]]+region_summary__39[[#This Row],[EDITED BY Admin Kabupaten]]</f>
        <v>9</v>
      </c>
    </row>
    <row r="282" spans="1:13" x14ac:dyDescent="0.25">
      <c r="A282" s="4" t="s">
        <v>79</v>
      </c>
      <c r="B282">
        <v>7172021005000400</v>
      </c>
      <c r="C282">
        <v>19</v>
      </c>
      <c r="D282">
        <v>4</v>
      </c>
      <c r="E282">
        <v>0</v>
      </c>
      <c r="F282">
        <v>0</v>
      </c>
      <c r="G282">
        <v>15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region_summary__39[[#This Row],[APPROVED BY Pengawas]]+region_summary__39[[#This Row],[EDITED BY Admin Kabupaten]]</f>
        <v>4</v>
      </c>
    </row>
    <row r="283" spans="1:13" x14ac:dyDescent="0.25">
      <c r="A283" s="4" t="s">
        <v>232</v>
      </c>
      <c r="B283">
        <v>7172022001000800</v>
      </c>
      <c r="C283">
        <v>75</v>
      </c>
      <c r="D283">
        <v>12</v>
      </c>
      <c r="E283">
        <v>20</v>
      </c>
      <c r="F283">
        <v>0</v>
      </c>
      <c r="G283">
        <v>34</v>
      </c>
      <c r="H283">
        <v>0</v>
      </c>
      <c r="I283">
        <v>9</v>
      </c>
      <c r="J283">
        <v>0</v>
      </c>
      <c r="K283">
        <v>0</v>
      </c>
      <c r="L283">
        <v>0</v>
      </c>
      <c r="M283">
        <f>region_summary__39[[#This Row],[APPROVED BY Pengawas]]+region_summary__39[[#This Row],[EDITED BY Admin Kabupaten]]</f>
        <v>12</v>
      </c>
    </row>
    <row r="284" spans="1:13" x14ac:dyDescent="0.25">
      <c r="A284" s="4" t="s">
        <v>232</v>
      </c>
      <c r="B284">
        <v>7172022001000900</v>
      </c>
      <c r="C284">
        <v>64</v>
      </c>
      <c r="D284">
        <v>6</v>
      </c>
      <c r="E284">
        <v>3</v>
      </c>
      <c r="F284">
        <v>0</v>
      </c>
      <c r="G284">
        <v>55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f>region_summary__39[[#This Row],[APPROVED BY Pengawas]]+region_summary__39[[#This Row],[EDITED BY Admin Kabupaten]]</f>
        <v>6</v>
      </c>
    </row>
    <row r="285" spans="1:13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region_summary__39[[#This Row],[APPROVED BY Pengawas]]+region_summary__39[[#This Row],[EDITED BY Admin Kabupaten]]</f>
        <v>5</v>
      </c>
    </row>
    <row r="286" spans="1:13" x14ac:dyDescent="0.25">
      <c r="A286" s="4" t="s">
        <v>232</v>
      </c>
      <c r="B286">
        <v>7172022001001100</v>
      </c>
      <c r="C286">
        <v>62</v>
      </c>
      <c r="D286">
        <v>50</v>
      </c>
      <c r="E286">
        <v>1</v>
      </c>
      <c r="F286">
        <v>0</v>
      </c>
      <c r="G286">
        <v>2</v>
      </c>
      <c r="H286">
        <v>0</v>
      </c>
      <c r="I286">
        <v>9</v>
      </c>
      <c r="J286">
        <v>0</v>
      </c>
      <c r="K286">
        <v>0</v>
      </c>
      <c r="L286">
        <v>0</v>
      </c>
      <c r="M286">
        <f>region_summary__39[[#This Row],[APPROVED BY Pengawas]]+region_summary__39[[#This Row],[EDITED BY Admin Kabupaten]]</f>
        <v>50</v>
      </c>
    </row>
    <row r="287" spans="1:13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region_summary__39[[#This Row],[APPROVED BY Pengawas]]+region_summary__39[[#This Row],[EDITED BY Admin Kabupaten]]</f>
        <v>0</v>
      </c>
    </row>
    <row r="288" spans="1:13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region_summary__39[[#This Row],[APPROVED BY Pengawas]]+region_summary__39[[#This Row],[EDITED BY Admin Kabupaten]]</f>
        <v>1</v>
      </c>
    </row>
    <row r="289" spans="1:13" x14ac:dyDescent="0.25">
      <c r="A289" s="4" t="s">
        <v>232</v>
      </c>
      <c r="B289">
        <v>7172022001001200</v>
      </c>
      <c r="C289">
        <v>48</v>
      </c>
      <c r="D289">
        <v>1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region_summary__39[[#This Row],[APPROVED BY Pengawas]]+region_summary__39[[#This Row],[EDITED BY Admin Kabupaten]]</f>
        <v>1</v>
      </c>
    </row>
    <row r="290" spans="1:13" x14ac:dyDescent="0.25">
      <c r="A290" s="4" t="s">
        <v>89</v>
      </c>
      <c r="B290">
        <v>7172022009000100</v>
      </c>
      <c r="C290">
        <v>106</v>
      </c>
      <c r="D290">
        <v>6</v>
      </c>
      <c r="E290">
        <v>0</v>
      </c>
      <c r="F290">
        <v>0</v>
      </c>
      <c r="G290">
        <v>100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region_summary__39[[#This Row],[APPROVED BY Pengawas]]+region_summary__39[[#This Row],[EDITED BY Admin Kabupaten]]</f>
        <v>6</v>
      </c>
    </row>
    <row r="291" spans="1:13" x14ac:dyDescent="0.25">
      <c r="A291" s="4" t="s">
        <v>89</v>
      </c>
      <c r="B291">
        <v>7172022008000400</v>
      </c>
      <c r="C291">
        <v>98</v>
      </c>
      <c r="D291">
        <v>89</v>
      </c>
      <c r="E291">
        <v>3</v>
      </c>
      <c r="F291">
        <v>0</v>
      </c>
      <c r="G291">
        <v>6</v>
      </c>
      <c r="H291">
        <v>0</v>
      </c>
      <c r="I291">
        <v>0</v>
      </c>
      <c r="J291">
        <v>0</v>
      </c>
      <c r="K291">
        <v>0</v>
      </c>
      <c r="L291">
        <v>0</v>
      </c>
      <c r="M291">
        <f>region_summary__39[[#This Row],[APPROVED BY Pengawas]]+region_summary__39[[#This Row],[EDITED BY Admin Kabupaten]]</f>
        <v>89</v>
      </c>
    </row>
    <row r="292" spans="1:13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region_summary__39[[#This Row],[APPROVED BY Pengawas]]+region_summary__39[[#This Row],[EDITED BY Admin Kabupaten]]</f>
        <v>0</v>
      </c>
    </row>
    <row r="293" spans="1:13" x14ac:dyDescent="0.25">
      <c r="A293" s="4" t="s">
        <v>89</v>
      </c>
      <c r="B293">
        <v>7172022009000400</v>
      </c>
      <c r="C293">
        <v>61</v>
      </c>
      <c r="D293">
        <v>39</v>
      </c>
      <c r="E293">
        <v>2</v>
      </c>
      <c r="F293">
        <v>0</v>
      </c>
      <c r="G293">
        <v>16</v>
      </c>
      <c r="H293">
        <v>0</v>
      </c>
      <c r="I293">
        <v>0</v>
      </c>
      <c r="J293">
        <v>0</v>
      </c>
      <c r="K293">
        <v>4</v>
      </c>
      <c r="L293">
        <v>0</v>
      </c>
      <c r="M293">
        <f>region_summary__39[[#This Row],[APPROVED BY Pengawas]]+region_summary__39[[#This Row],[EDITED BY Admin Kabupaten]]</f>
        <v>39</v>
      </c>
    </row>
    <row r="294" spans="1:13" x14ac:dyDescent="0.25">
      <c r="A294" s="4" t="s">
        <v>89</v>
      </c>
      <c r="B294">
        <v>7172022009000300</v>
      </c>
      <c r="C294">
        <v>47</v>
      </c>
      <c r="D294">
        <v>40</v>
      </c>
      <c r="E294">
        <v>3</v>
      </c>
      <c r="F294">
        <v>1</v>
      </c>
      <c r="G294">
        <v>3</v>
      </c>
      <c r="H294">
        <v>0</v>
      </c>
      <c r="I294">
        <v>0</v>
      </c>
      <c r="J294">
        <v>0</v>
      </c>
      <c r="K294">
        <v>0</v>
      </c>
      <c r="L294">
        <v>0</v>
      </c>
      <c r="M294">
        <f>region_summary__39[[#This Row],[APPROVED BY Pengawas]]+region_summary__39[[#This Row],[EDITED BY Admin Kabupaten]]</f>
        <v>41</v>
      </c>
    </row>
    <row r="295" spans="1:13" x14ac:dyDescent="0.25">
      <c r="A295" s="4" t="s">
        <v>89</v>
      </c>
      <c r="B295">
        <v>7172022008000500</v>
      </c>
      <c r="C295">
        <v>44</v>
      </c>
      <c r="D295">
        <v>11</v>
      </c>
      <c r="E295">
        <v>2</v>
      </c>
      <c r="F295">
        <v>0</v>
      </c>
      <c r="G295">
        <v>31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>region_summary__39[[#This Row],[APPROVED BY Pengawas]]+region_summary__39[[#This Row],[EDITED BY Admin Kabupaten]]</f>
        <v>11</v>
      </c>
    </row>
    <row r="296" spans="1:13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region_summary__39[[#This Row],[APPROVED BY Pengawas]]+region_summary__39[[#This Row],[EDITED BY Admin Kabupaten]]</f>
        <v>0</v>
      </c>
    </row>
    <row r="297" spans="1:13" x14ac:dyDescent="0.25">
      <c r="A297" s="4" t="s">
        <v>90</v>
      </c>
      <c r="B297">
        <v>7172030006000600</v>
      </c>
      <c r="C297">
        <v>95</v>
      </c>
      <c r="D297">
        <v>25</v>
      </c>
      <c r="E297">
        <v>0</v>
      </c>
      <c r="F297">
        <v>0</v>
      </c>
      <c r="G297">
        <v>69</v>
      </c>
      <c r="H297">
        <v>0</v>
      </c>
      <c r="I297">
        <v>1</v>
      </c>
      <c r="J297">
        <v>0</v>
      </c>
      <c r="K297">
        <v>0</v>
      </c>
      <c r="L297">
        <v>0</v>
      </c>
      <c r="M297">
        <f>region_summary__39[[#This Row],[APPROVED BY Pengawas]]+region_summary__39[[#This Row],[EDITED BY Admin Kabupaten]]</f>
        <v>25</v>
      </c>
    </row>
    <row r="298" spans="1:13" x14ac:dyDescent="0.25">
      <c r="A298" s="4" t="s">
        <v>90</v>
      </c>
      <c r="B298">
        <v>7172030006000900</v>
      </c>
      <c r="C298">
        <v>88</v>
      </c>
      <c r="D298">
        <v>34</v>
      </c>
      <c r="E298">
        <v>0</v>
      </c>
      <c r="F298">
        <v>0</v>
      </c>
      <c r="G298">
        <v>52</v>
      </c>
      <c r="H298">
        <v>0</v>
      </c>
      <c r="I298">
        <v>0</v>
      </c>
      <c r="J298">
        <v>0</v>
      </c>
      <c r="K298">
        <v>2</v>
      </c>
      <c r="L298">
        <v>0</v>
      </c>
      <c r="M298">
        <f>region_summary__39[[#This Row],[APPROVED BY Pengawas]]+region_summary__39[[#This Row],[EDITED BY Admin Kabupaten]]</f>
        <v>34</v>
      </c>
    </row>
    <row r="299" spans="1:13" x14ac:dyDescent="0.25">
      <c r="A299" s="4" t="s">
        <v>90</v>
      </c>
      <c r="B299">
        <v>7172030006000800</v>
      </c>
      <c r="C299">
        <v>84</v>
      </c>
      <c r="D299">
        <v>55</v>
      </c>
      <c r="E299">
        <v>0</v>
      </c>
      <c r="F299">
        <v>0</v>
      </c>
      <c r="G299">
        <v>27</v>
      </c>
      <c r="H299">
        <v>0</v>
      </c>
      <c r="I299">
        <v>0</v>
      </c>
      <c r="J299">
        <v>0</v>
      </c>
      <c r="K299">
        <v>2</v>
      </c>
      <c r="L299">
        <v>0</v>
      </c>
      <c r="M299">
        <f>region_summary__39[[#This Row],[APPROVED BY Pengawas]]+region_summary__39[[#This Row],[EDITED BY Admin Kabupaten]]</f>
        <v>55</v>
      </c>
    </row>
    <row r="300" spans="1:13" x14ac:dyDescent="0.25">
      <c r="A300" s="4" t="s">
        <v>90</v>
      </c>
      <c r="B300">
        <v>7172030006000700</v>
      </c>
      <c r="C300">
        <v>72</v>
      </c>
      <c r="D300">
        <v>23</v>
      </c>
      <c r="E300">
        <v>1</v>
      </c>
      <c r="F300">
        <v>0</v>
      </c>
      <c r="G300">
        <v>47</v>
      </c>
      <c r="H300">
        <v>0</v>
      </c>
      <c r="I300">
        <v>0</v>
      </c>
      <c r="J300">
        <v>0</v>
      </c>
      <c r="K300">
        <v>1</v>
      </c>
      <c r="L300">
        <v>0</v>
      </c>
      <c r="M300">
        <f>region_summary__39[[#This Row],[APPROVED BY Pengawas]]+region_summary__39[[#This Row],[EDITED BY Admin Kabupaten]]</f>
        <v>23</v>
      </c>
    </row>
    <row r="301" spans="1:13" x14ac:dyDescent="0.25">
      <c r="A301" s="4" t="s">
        <v>90</v>
      </c>
      <c r="B301">
        <v>7172030006000300</v>
      </c>
      <c r="C301">
        <v>70</v>
      </c>
      <c r="D301">
        <v>39</v>
      </c>
      <c r="E301">
        <v>0</v>
      </c>
      <c r="F301">
        <v>0</v>
      </c>
      <c r="G301">
        <v>25</v>
      </c>
      <c r="H301">
        <v>0</v>
      </c>
      <c r="I301">
        <v>0</v>
      </c>
      <c r="J301">
        <v>1</v>
      </c>
      <c r="K301">
        <v>5</v>
      </c>
      <c r="L301">
        <v>0</v>
      </c>
      <c r="M301">
        <f>region_summary__39[[#This Row],[APPROVED BY Pengawas]]+region_summary__39[[#This Row],[EDITED BY Admin Kabupaten]]</f>
        <v>39</v>
      </c>
    </row>
    <row r="302" spans="1:13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region_summary__39[[#This Row],[APPROVED BY Pengawas]]+region_summary__39[[#This Row],[EDITED BY Admin Kabupaten]]</f>
        <v>0</v>
      </c>
    </row>
    <row r="303" spans="1:13" x14ac:dyDescent="0.25">
      <c r="A303" s="4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region_summary__39[[#This Row],[APPROVED BY Pengawas]]+region_summary__39[[#This Row],[EDITED BY Admin Kabupaten]]</f>
        <v>64</v>
      </c>
    </row>
    <row r="304" spans="1:13" x14ac:dyDescent="0.25">
      <c r="A304" s="4" t="s">
        <v>90</v>
      </c>
      <c r="B304">
        <v>7172030006000500</v>
      </c>
      <c r="C304">
        <v>51</v>
      </c>
      <c r="D304">
        <v>30</v>
      </c>
      <c r="E304">
        <v>0</v>
      </c>
      <c r="F304">
        <v>0</v>
      </c>
      <c r="G304">
        <v>20</v>
      </c>
      <c r="H304">
        <v>0</v>
      </c>
      <c r="I304">
        <v>0</v>
      </c>
      <c r="J304">
        <v>0</v>
      </c>
      <c r="K304">
        <v>1</v>
      </c>
      <c r="L304">
        <v>0</v>
      </c>
      <c r="M304">
        <f>region_summary__39[[#This Row],[APPROVED BY Pengawas]]+region_summary__39[[#This Row],[EDITED BY Admin Kabupaten]]</f>
        <v>30</v>
      </c>
    </row>
    <row r="305" spans="1:13" x14ac:dyDescent="0.25">
      <c r="A305" s="4" t="s">
        <v>85</v>
      </c>
      <c r="B305">
        <v>7172022003000200</v>
      </c>
      <c r="C305">
        <v>113</v>
      </c>
      <c r="D305">
        <v>109</v>
      </c>
      <c r="E305">
        <v>0</v>
      </c>
      <c r="F305">
        <v>0</v>
      </c>
      <c r="G305">
        <v>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region_summary__39[[#This Row],[APPROVED BY Pengawas]]+region_summary__39[[#This Row],[EDITED BY Admin Kabupaten]]</f>
        <v>109</v>
      </c>
    </row>
    <row r="306" spans="1:13" x14ac:dyDescent="0.25">
      <c r="A306" s="4" t="s">
        <v>85</v>
      </c>
      <c r="B306">
        <v>7172022003000400</v>
      </c>
      <c r="C306">
        <v>65</v>
      </c>
      <c r="D306">
        <v>16</v>
      </c>
      <c r="E306">
        <v>0</v>
      </c>
      <c r="F306">
        <v>0</v>
      </c>
      <c r="G306">
        <v>49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region_summary__39[[#This Row],[APPROVED BY Pengawas]]+region_summary__39[[#This Row],[EDITED BY Admin Kabupaten]]</f>
        <v>16</v>
      </c>
    </row>
    <row r="307" spans="1:13" x14ac:dyDescent="0.25">
      <c r="A307" s="4" t="s">
        <v>85</v>
      </c>
      <c r="B307">
        <v>7172022003000300</v>
      </c>
      <c r="C307">
        <v>58</v>
      </c>
      <c r="D307">
        <v>55</v>
      </c>
      <c r="E307">
        <v>0</v>
      </c>
      <c r="F307">
        <v>0</v>
      </c>
      <c r="G307">
        <v>3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region_summary__39[[#This Row],[APPROVED BY Pengawas]]+region_summary__39[[#This Row],[EDITED BY Admin Kabupaten]]</f>
        <v>55</v>
      </c>
    </row>
    <row r="308" spans="1:13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  <c r="L308">
        <v>0</v>
      </c>
      <c r="M308">
        <f>region_summary__39[[#This Row],[APPROVED BY Pengawas]]+region_summary__39[[#This Row],[EDITED BY Admin Kabupaten]]</f>
        <v>0</v>
      </c>
    </row>
    <row r="309" spans="1:13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region_summary__39[[#This Row],[APPROVED BY Pengawas]]+region_summary__39[[#This Row],[EDITED BY Admin Kabupaten]]</f>
        <v>0</v>
      </c>
    </row>
    <row r="310" spans="1:13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region_summary__39[[#This Row],[APPROVED BY Pengawas]]+region_summary__39[[#This Row],[EDITED BY Admin Kabupaten]]</f>
        <v>0</v>
      </c>
    </row>
    <row r="311" spans="1:13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region_summary__39[[#This Row],[APPROVED BY Pengawas]]+region_summary__39[[#This Row],[EDITED BY Admin Kabupaten]]</f>
        <v>0</v>
      </c>
    </row>
    <row r="312" spans="1:13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region_summary__39[[#This Row],[APPROVED BY Pengawas]]+region_summary__39[[#This Row],[EDITED BY Admin Kabupaten]]</f>
        <v>0</v>
      </c>
    </row>
    <row r="313" spans="1:13" x14ac:dyDescent="0.25">
      <c r="A313" s="4" t="s">
        <v>92</v>
      </c>
      <c r="B313">
        <v>7172030007000200</v>
      </c>
      <c r="C313">
        <v>143</v>
      </c>
      <c r="D313">
        <v>89</v>
      </c>
      <c r="E313">
        <v>8</v>
      </c>
      <c r="F313">
        <v>0</v>
      </c>
      <c r="G313">
        <v>46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region_summary__39[[#This Row],[APPROVED BY Pengawas]]+region_summary__39[[#This Row],[EDITED BY Admin Kabupaten]]</f>
        <v>89</v>
      </c>
    </row>
    <row r="314" spans="1:13" x14ac:dyDescent="0.25">
      <c r="A314" s="4" t="s">
        <v>92</v>
      </c>
      <c r="B314">
        <v>7172030012000700</v>
      </c>
      <c r="C314">
        <v>116</v>
      </c>
      <c r="D314">
        <v>111</v>
      </c>
      <c r="E314">
        <v>1</v>
      </c>
      <c r="F314">
        <v>0</v>
      </c>
      <c r="G314">
        <v>4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region_summary__39[[#This Row],[APPROVED BY Pengawas]]+region_summary__39[[#This Row],[EDITED BY Admin Kabupaten]]</f>
        <v>111</v>
      </c>
    </row>
    <row r="315" spans="1:13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region_summary__39[[#This Row],[APPROVED BY Pengawas]]+region_summary__39[[#This Row],[EDITED BY Admin Kabupaten]]</f>
        <v>0</v>
      </c>
    </row>
    <row r="316" spans="1:13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f>region_summary__39[[#This Row],[APPROVED BY Pengawas]]+region_summary__39[[#This Row],[EDITED BY Admin Kabupaten]]</f>
        <v>0</v>
      </c>
    </row>
    <row r="317" spans="1:13" x14ac:dyDescent="0.25">
      <c r="A317" s="4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region_summary__39[[#This Row],[APPROVED BY Pengawas]]+region_summary__39[[#This Row],[EDITED BY Admin Kabupaten]]</f>
        <v>61</v>
      </c>
    </row>
    <row r="318" spans="1:13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region_summary__39[[#This Row],[APPROVED BY Pengawas]]+region_summary__39[[#This Row],[EDITED BY Admin Kabupaten]]</f>
        <v>0</v>
      </c>
    </row>
    <row r="319" spans="1:13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region_summary__39[[#This Row],[APPROVED BY Pengawas]]+region_summary__39[[#This Row],[EDITED BY Admin Kabupaten]]</f>
        <v>0</v>
      </c>
    </row>
    <row r="320" spans="1:13" x14ac:dyDescent="0.25">
      <c r="A320" s="4" t="s">
        <v>92</v>
      </c>
      <c r="B320">
        <v>7172030012000400</v>
      </c>
      <c r="C320">
        <v>31</v>
      </c>
      <c r="D320">
        <v>3</v>
      </c>
      <c r="E320">
        <v>6</v>
      </c>
      <c r="F320">
        <v>0</v>
      </c>
      <c r="G320">
        <v>19</v>
      </c>
      <c r="H320">
        <v>0</v>
      </c>
      <c r="I320">
        <v>0</v>
      </c>
      <c r="J320">
        <v>0</v>
      </c>
      <c r="K320">
        <v>3</v>
      </c>
      <c r="L320">
        <v>0</v>
      </c>
      <c r="M320">
        <f>region_summary__39[[#This Row],[APPROVED BY Pengawas]]+region_summary__39[[#This Row],[EDITED BY Admin Kabupaten]]</f>
        <v>3</v>
      </c>
    </row>
    <row r="321" spans="1:13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region_summary__39[[#This Row],[APPROVED BY Pengawas]]+region_summary__39[[#This Row],[EDITED BY Admin Kabupaten]]</f>
        <v>0</v>
      </c>
    </row>
    <row r="322" spans="1:13" x14ac:dyDescent="0.25">
      <c r="A322" s="4" t="s">
        <v>233</v>
      </c>
      <c r="B322">
        <v>7172030007001000</v>
      </c>
      <c r="C322">
        <v>155</v>
      </c>
      <c r="D322">
        <v>132</v>
      </c>
      <c r="E322">
        <v>2</v>
      </c>
      <c r="F322">
        <v>0</v>
      </c>
      <c r="G322">
        <v>3</v>
      </c>
      <c r="H322">
        <v>0</v>
      </c>
      <c r="I322">
        <v>0</v>
      </c>
      <c r="J322">
        <v>0</v>
      </c>
      <c r="K322">
        <v>18</v>
      </c>
      <c r="L322">
        <v>0</v>
      </c>
      <c r="M322">
        <f>region_summary__39[[#This Row],[APPROVED BY Pengawas]]+region_summary__39[[#This Row],[EDITED BY Admin Kabupaten]]</f>
        <v>132</v>
      </c>
    </row>
    <row r="323" spans="1:13" x14ac:dyDescent="0.25">
      <c r="A323" s="4" t="s">
        <v>233</v>
      </c>
      <c r="B323">
        <v>7172030007000900</v>
      </c>
      <c r="C323">
        <v>88</v>
      </c>
      <c r="D323">
        <v>78</v>
      </c>
      <c r="E323">
        <v>2</v>
      </c>
      <c r="F323">
        <v>0</v>
      </c>
      <c r="G323">
        <v>6</v>
      </c>
      <c r="H323">
        <v>0</v>
      </c>
      <c r="I323">
        <v>0</v>
      </c>
      <c r="J323">
        <v>0</v>
      </c>
      <c r="K323">
        <v>2</v>
      </c>
      <c r="L323">
        <v>0</v>
      </c>
      <c r="M323">
        <f>region_summary__39[[#This Row],[APPROVED BY Pengawas]]+region_summary__39[[#This Row],[EDITED BY Admin Kabupaten]]</f>
        <v>78</v>
      </c>
    </row>
    <row r="324" spans="1:13" x14ac:dyDescent="0.25">
      <c r="A324" s="4" t="s">
        <v>233</v>
      </c>
      <c r="B324">
        <v>7172030007000800</v>
      </c>
      <c r="C324">
        <v>81</v>
      </c>
      <c r="D324">
        <v>12</v>
      </c>
      <c r="E324">
        <v>8</v>
      </c>
      <c r="F324">
        <v>0</v>
      </c>
      <c r="G324">
        <v>55</v>
      </c>
      <c r="H324">
        <v>0</v>
      </c>
      <c r="I324">
        <v>0</v>
      </c>
      <c r="J324">
        <v>0</v>
      </c>
      <c r="K324">
        <v>6</v>
      </c>
      <c r="L324">
        <v>0</v>
      </c>
      <c r="M324">
        <f>region_summary__39[[#This Row],[APPROVED BY Pengawas]]+region_summary__39[[#This Row],[EDITED BY Admin Kabupaten]]</f>
        <v>12</v>
      </c>
    </row>
    <row r="325" spans="1:13" x14ac:dyDescent="0.25">
      <c r="A325" s="4" t="s">
        <v>233</v>
      </c>
      <c r="B325">
        <v>7172030007000500</v>
      </c>
      <c r="C325">
        <v>79</v>
      </c>
      <c r="D325">
        <v>0</v>
      </c>
      <c r="E325">
        <v>0</v>
      </c>
      <c r="F325">
        <v>0</v>
      </c>
      <c r="G325">
        <v>79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region_summary__39[[#This Row],[APPROVED BY Pengawas]]+region_summary__39[[#This Row],[EDITED BY Admin Kabupaten]]</f>
        <v>0</v>
      </c>
    </row>
    <row r="326" spans="1:13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region_summary__39[[#This Row],[APPROVED BY Pengawas]]+region_summary__39[[#This Row],[EDITED BY Admin Kabupaten]]</f>
        <v>0</v>
      </c>
    </row>
    <row r="327" spans="1:13" x14ac:dyDescent="0.25">
      <c r="A327" s="4" t="s">
        <v>91</v>
      </c>
      <c r="B327">
        <v>7172030006001100</v>
      </c>
      <c r="C327">
        <v>103</v>
      </c>
      <c r="D327">
        <v>19</v>
      </c>
      <c r="E327">
        <v>1</v>
      </c>
      <c r="F327">
        <v>0</v>
      </c>
      <c r="G327">
        <v>83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region_summary__39[[#This Row],[APPROVED BY Pengawas]]+region_summary__39[[#This Row],[EDITED BY Admin Kabupaten]]</f>
        <v>19</v>
      </c>
    </row>
    <row r="328" spans="1:13" x14ac:dyDescent="0.25">
      <c r="A328" s="4" t="s">
        <v>91</v>
      </c>
      <c r="B328">
        <v>7172030006001200</v>
      </c>
      <c r="C328">
        <v>101</v>
      </c>
      <c r="D328">
        <v>0</v>
      </c>
      <c r="E328">
        <v>0</v>
      </c>
      <c r="F328">
        <v>0</v>
      </c>
      <c r="G328">
        <v>101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region_summary__39[[#This Row],[APPROVED BY Pengawas]]+region_summary__39[[#This Row],[EDITED BY Admin Kabupaten]]</f>
        <v>0</v>
      </c>
    </row>
    <row r="329" spans="1:13" x14ac:dyDescent="0.25">
      <c r="A329" s="4" t="s">
        <v>91</v>
      </c>
      <c r="B329">
        <v>7172030006001000</v>
      </c>
      <c r="C329">
        <v>73</v>
      </c>
      <c r="D329">
        <v>1</v>
      </c>
      <c r="E329">
        <v>0</v>
      </c>
      <c r="F329">
        <v>0</v>
      </c>
      <c r="G329">
        <v>72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region_summary__39[[#This Row],[APPROVED BY Pengawas]]+region_summary__39[[#This Row],[EDITED BY Admin Kabupaten]]</f>
        <v>1</v>
      </c>
    </row>
    <row r="330" spans="1:13" x14ac:dyDescent="0.25">
      <c r="A330" s="4" t="s">
        <v>91</v>
      </c>
      <c r="B330">
        <v>7172030006001600</v>
      </c>
      <c r="C330">
        <v>68</v>
      </c>
      <c r="D330">
        <v>57</v>
      </c>
      <c r="E330">
        <v>0</v>
      </c>
      <c r="F330">
        <v>0</v>
      </c>
      <c r="G330">
        <v>11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region_summary__39[[#This Row],[APPROVED BY Pengawas]]+region_summary__39[[#This Row],[EDITED BY Admin Kabupaten]]</f>
        <v>57</v>
      </c>
    </row>
    <row r="331" spans="1:13" x14ac:dyDescent="0.25">
      <c r="A331" s="4" t="s">
        <v>91</v>
      </c>
      <c r="B331">
        <v>7172030006001300</v>
      </c>
      <c r="C331">
        <v>57</v>
      </c>
      <c r="D331">
        <v>14</v>
      </c>
      <c r="E331">
        <v>0</v>
      </c>
      <c r="F331">
        <v>0</v>
      </c>
      <c r="G331">
        <v>43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region_summary__39[[#This Row],[APPROVED BY Pengawas]]+region_summary__39[[#This Row],[EDITED BY Admin Kabupaten]]</f>
        <v>14</v>
      </c>
    </row>
    <row r="332" spans="1:13" x14ac:dyDescent="0.25">
      <c r="A332" s="4" t="s">
        <v>91</v>
      </c>
      <c r="B332">
        <v>7172030006001700</v>
      </c>
      <c r="C332">
        <v>57</v>
      </c>
      <c r="D332">
        <v>49</v>
      </c>
      <c r="E332">
        <v>0</v>
      </c>
      <c r="F332">
        <v>0</v>
      </c>
      <c r="G332">
        <v>8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region_summary__39[[#This Row],[APPROVED BY Pengawas]]+region_summary__39[[#This Row],[EDITED BY Admin Kabupaten]]</f>
        <v>49</v>
      </c>
    </row>
    <row r="333" spans="1:13" x14ac:dyDescent="0.25">
      <c r="A333" s="4" t="s">
        <v>91</v>
      </c>
      <c r="B333">
        <v>7172030006001800</v>
      </c>
      <c r="C333">
        <v>52</v>
      </c>
      <c r="D333">
        <v>46</v>
      </c>
      <c r="E333">
        <v>0</v>
      </c>
      <c r="F333">
        <v>0</v>
      </c>
      <c r="G333">
        <v>6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region_summary__39[[#This Row],[APPROVED BY Pengawas]]+region_summary__39[[#This Row],[EDITED BY Admin Kabupaten]]</f>
        <v>46</v>
      </c>
    </row>
    <row r="334" spans="1:13" x14ac:dyDescent="0.25">
      <c r="A334" s="4" t="s">
        <v>91</v>
      </c>
      <c r="B334">
        <v>7172030006001500</v>
      </c>
      <c r="C334">
        <v>49</v>
      </c>
      <c r="D334">
        <v>42</v>
      </c>
      <c r="E334">
        <v>1</v>
      </c>
      <c r="F334">
        <v>0</v>
      </c>
      <c r="G334">
        <v>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region_summary__39[[#This Row],[APPROVED BY Pengawas]]+region_summary__39[[#This Row],[EDITED BY Admin Kabupaten]]</f>
        <v>42</v>
      </c>
    </row>
    <row r="335" spans="1:13" x14ac:dyDescent="0.25">
      <c r="A335" s="4" t="s">
        <v>91</v>
      </c>
      <c r="B335">
        <v>7172030006001900</v>
      </c>
      <c r="C335">
        <v>47</v>
      </c>
      <c r="D335">
        <v>41</v>
      </c>
      <c r="E335">
        <v>2</v>
      </c>
      <c r="F335">
        <v>0</v>
      </c>
      <c r="G335">
        <v>4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region_summary__39[[#This Row],[APPROVED BY Pengawas]]+region_summary__39[[#This Row],[EDITED BY Admin Kabupaten]]</f>
        <v>41</v>
      </c>
    </row>
    <row r="336" spans="1:13" x14ac:dyDescent="0.25">
      <c r="A336" s="4" t="s">
        <v>91</v>
      </c>
      <c r="B336">
        <v>7172030006001400</v>
      </c>
      <c r="C336">
        <v>45</v>
      </c>
      <c r="D336">
        <v>15</v>
      </c>
      <c r="E336">
        <v>0</v>
      </c>
      <c r="F336">
        <v>0</v>
      </c>
      <c r="G336">
        <v>30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region_summary__39[[#This Row],[APPROVED BY Pengawas]]+region_summary__39[[#This Row],[EDITED BY Admin Kabupaten]]</f>
        <v>15</v>
      </c>
    </row>
    <row r="337" spans="1:13" x14ac:dyDescent="0.25">
      <c r="A337" s="4" t="s">
        <v>97</v>
      </c>
      <c r="B337">
        <v>7172030012000100</v>
      </c>
      <c r="C337">
        <v>93</v>
      </c>
      <c r="D337">
        <v>56</v>
      </c>
      <c r="E337">
        <v>0</v>
      </c>
      <c r="F337">
        <v>0</v>
      </c>
      <c r="G337">
        <v>7</v>
      </c>
      <c r="H337">
        <v>0</v>
      </c>
      <c r="I337">
        <v>1</v>
      </c>
      <c r="J337">
        <v>0</v>
      </c>
      <c r="K337">
        <v>29</v>
      </c>
      <c r="L337">
        <v>0</v>
      </c>
      <c r="M337">
        <f>region_summary__39[[#This Row],[APPROVED BY Pengawas]]+region_summary__39[[#This Row],[EDITED BY Admin Kabupaten]]</f>
        <v>56</v>
      </c>
    </row>
    <row r="338" spans="1:13" x14ac:dyDescent="0.25">
      <c r="A338" s="4" t="s">
        <v>97</v>
      </c>
      <c r="B338">
        <v>7172030012000300</v>
      </c>
      <c r="C338">
        <v>91</v>
      </c>
      <c r="D338">
        <v>87</v>
      </c>
      <c r="E338">
        <v>0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3</v>
      </c>
      <c r="L338">
        <v>0</v>
      </c>
      <c r="M338">
        <f>region_summary__39[[#This Row],[APPROVED BY Pengawas]]+region_summary__39[[#This Row],[EDITED BY Admin Kabupaten]]</f>
        <v>87</v>
      </c>
    </row>
    <row r="339" spans="1:13" x14ac:dyDescent="0.25">
      <c r="A339" s="4" t="s">
        <v>97</v>
      </c>
      <c r="B339">
        <v>7172030016000600</v>
      </c>
      <c r="C339">
        <v>62</v>
      </c>
      <c r="D339">
        <v>4</v>
      </c>
      <c r="E339">
        <v>0</v>
      </c>
      <c r="F339">
        <v>0</v>
      </c>
      <c r="G339">
        <v>58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region_summary__39[[#This Row],[APPROVED BY Pengawas]]+region_summary__39[[#This Row],[EDITED BY Admin Kabupaten]]</f>
        <v>4</v>
      </c>
    </row>
    <row r="340" spans="1:13" x14ac:dyDescent="0.25">
      <c r="A340" s="4" t="s">
        <v>97</v>
      </c>
      <c r="B340">
        <v>7172030016000900</v>
      </c>
      <c r="C340">
        <v>62</v>
      </c>
      <c r="D340">
        <v>2</v>
      </c>
      <c r="E340">
        <v>0</v>
      </c>
      <c r="F340">
        <v>0</v>
      </c>
      <c r="G340">
        <v>60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region_summary__39[[#This Row],[APPROVED BY Pengawas]]+region_summary__39[[#This Row],[EDITED BY Admin Kabupaten]]</f>
        <v>2</v>
      </c>
    </row>
    <row r="341" spans="1:13" x14ac:dyDescent="0.25">
      <c r="A341" s="4" t="s">
        <v>97</v>
      </c>
      <c r="B341">
        <v>7172030016000300</v>
      </c>
      <c r="C341">
        <v>57</v>
      </c>
      <c r="D341">
        <v>38</v>
      </c>
      <c r="E341">
        <v>0</v>
      </c>
      <c r="F341">
        <v>0</v>
      </c>
      <c r="G341">
        <v>19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region_summary__39[[#This Row],[APPROVED BY Pengawas]]+region_summary__39[[#This Row],[EDITED BY Admin Kabupaten]]</f>
        <v>38</v>
      </c>
    </row>
    <row r="342" spans="1:13" x14ac:dyDescent="0.25">
      <c r="A342" s="4" t="s">
        <v>97</v>
      </c>
      <c r="B342">
        <v>7172030016000400</v>
      </c>
      <c r="C342">
        <v>57</v>
      </c>
      <c r="D342">
        <v>8</v>
      </c>
      <c r="E342">
        <v>0</v>
      </c>
      <c r="F342">
        <v>0</v>
      </c>
      <c r="G342">
        <v>49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region_summary__39[[#This Row],[APPROVED BY Pengawas]]+region_summary__39[[#This Row],[EDITED BY Admin Kabupaten]]</f>
        <v>8</v>
      </c>
    </row>
    <row r="343" spans="1:13" x14ac:dyDescent="0.25">
      <c r="A343" s="4" t="s">
        <v>97</v>
      </c>
      <c r="B343">
        <v>7172030016000800</v>
      </c>
      <c r="C343">
        <v>47</v>
      </c>
      <c r="D343">
        <v>6</v>
      </c>
      <c r="E343">
        <v>0</v>
      </c>
      <c r="F343">
        <v>0</v>
      </c>
      <c r="G343">
        <v>41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region_summary__39[[#This Row],[APPROVED BY Pengawas]]+region_summary__39[[#This Row],[EDITED BY Admin Kabupaten]]</f>
        <v>6</v>
      </c>
    </row>
    <row r="344" spans="1:13" x14ac:dyDescent="0.25">
      <c r="A344" s="4" t="s">
        <v>97</v>
      </c>
      <c r="B344">
        <v>7172030016000700</v>
      </c>
      <c r="C344">
        <v>46</v>
      </c>
      <c r="D344">
        <v>7</v>
      </c>
      <c r="E344">
        <v>0</v>
      </c>
      <c r="F344">
        <v>0</v>
      </c>
      <c r="G344">
        <v>39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region_summary__39[[#This Row],[APPROVED BY Pengawas]]+region_summary__39[[#This Row],[EDITED BY Admin Kabupaten]]</f>
        <v>7</v>
      </c>
    </row>
    <row r="345" spans="1:13" x14ac:dyDescent="0.25">
      <c r="A345" s="4" t="s">
        <v>97</v>
      </c>
      <c r="B345">
        <v>7172030016000200</v>
      </c>
      <c r="C345">
        <v>42</v>
      </c>
      <c r="D345">
        <v>13</v>
      </c>
      <c r="E345">
        <v>1</v>
      </c>
      <c r="F345">
        <v>0</v>
      </c>
      <c r="G345">
        <v>9</v>
      </c>
      <c r="H345">
        <v>0</v>
      </c>
      <c r="I345">
        <v>0</v>
      </c>
      <c r="J345">
        <v>0</v>
      </c>
      <c r="K345">
        <v>19</v>
      </c>
      <c r="L345">
        <v>0</v>
      </c>
      <c r="M345">
        <f>region_summary__39[[#This Row],[APPROVED BY Pengawas]]+region_summary__39[[#This Row],[EDITED BY Admin Kabupaten]]</f>
        <v>13</v>
      </c>
    </row>
    <row r="346" spans="1:13" x14ac:dyDescent="0.25">
      <c r="A346" s="4" t="s">
        <v>97</v>
      </c>
      <c r="B346">
        <v>7172030016000100</v>
      </c>
      <c r="C346">
        <v>33</v>
      </c>
      <c r="D346">
        <v>2</v>
      </c>
      <c r="E346">
        <v>0</v>
      </c>
      <c r="F346">
        <v>0</v>
      </c>
      <c r="G346">
        <v>30</v>
      </c>
      <c r="H346">
        <v>0</v>
      </c>
      <c r="I346">
        <v>0</v>
      </c>
      <c r="J346">
        <v>0</v>
      </c>
      <c r="K346">
        <v>1</v>
      </c>
      <c r="L346">
        <v>0</v>
      </c>
      <c r="M346">
        <f>region_summary__39[[#This Row],[APPROVED BY Pengawas]]+region_summary__39[[#This Row],[EDITED BY Admin Kabupaten]]</f>
        <v>2</v>
      </c>
    </row>
    <row r="347" spans="1:13" x14ac:dyDescent="0.25">
      <c r="A347" s="4" t="s">
        <v>97</v>
      </c>
      <c r="B347">
        <v>7172030016000500</v>
      </c>
      <c r="C347">
        <v>33</v>
      </c>
      <c r="D347">
        <v>2</v>
      </c>
      <c r="E347">
        <v>0</v>
      </c>
      <c r="F347">
        <v>0</v>
      </c>
      <c r="G347">
        <v>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f>region_summary__39[[#This Row],[APPROVED BY Pengawas]]+region_summary__39[[#This Row],[EDITED BY Admin Kabupaten]]</f>
        <v>2</v>
      </c>
    </row>
    <row r="348" spans="1:13" x14ac:dyDescent="0.25">
      <c r="A348" s="4" t="s">
        <v>99</v>
      </c>
      <c r="B348">
        <v>7172030013000100</v>
      </c>
      <c r="C348">
        <v>173</v>
      </c>
      <c r="D348">
        <v>28</v>
      </c>
      <c r="E348">
        <v>0</v>
      </c>
      <c r="F348">
        <v>0</v>
      </c>
      <c r="G348">
        <v>145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region_summary__39[[#This Row],[APPROVED BY Pengawas]]+region_summary__39[[#This Row],[EDITED BY Admin Kabupaten]]</f>
        <v>28</v>
      </c>
    </row>
    <row r="349" spans="1:13" x14ac:dyDescent="0.25">
      <c r="A349" s="4" t="s">
        <v>99</v>
      </c>
      <c r="B349">
        <v>7172030012001200</v>
      </c>
      <c r="C349">
        <v>78</v>
      </c>
      <c r="D349">
        <v>43</v>
      </c>
      <c r="E349">
        <v>5</v>
      </c>
      <c r="F349">
        <v>0</v>
      </c>
      <c r="G349">
        <v>28</v>
      </c>
      <c r="H349">
        <v>0</v>
      </c>
      <c r="I349">
        <v>1</v>
      </c>
      <c r="J349">
        <v>1</v>
      </c>
      <c r="K349">
        <v>0</v>
      </c>
      <c r="L349">
        <v>0</v>
      </c>
      <c r="M349">
        <f>region_summary__39[[#This Row],[APPROVED BY Pengawas]]+region_summary__39[[#This Row],[EDITED BY Admin Kabupaten]]</f>
        <v>43</v>
      </c>
    </row>
    <row r="350" spans="1:13" x14ac:dyDescent="0.25">
      <c r="A350" s="4" t="s">
        <v>99</v>
      </c>
      <c r="B350">
        <v>7172030012001700</v>
      </c>
      <c r="C350">
        <v>78</v>
      </c>
      <c r="D350">
        <v>67</v>
      </c>
      <c r="E350">
        <v>0</v>
      </c>
      <c r="F350">
        <v>1</v>
      </c>
      <c r="G350">
        <v>10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region_summary__39[[#This Row],[APPROVED BY Pengawas]]+region_summary__39[[#This Row],[EDITED BY Admin Kabupaten]]</f>
        <v>68</v>
      </c>
    </row>
    <row r="351" spans="1:13" x14ac:dyDescent="0.25">
      <c r="A351" s="4" t="s">
        <v>99</v>
      </c>
      <c r="B351">
        <v>7172030012001900</v>
      </c>
      <c r="C351">
        <v>76</v>
      </c>
      <c r="D351">
        <v>41</v>
      </c>
      <c r="E351">
        <v>10</v>
      </c>
      <c r="F351">
        <v>0</v>
      </c>
      <c r="G351">
        <v>25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region_summary__39[[#This Row],[APPROVED BY Pengawas]]+region_summary__39[[#This Row],[EDITED BY Admin Kabupaten]]</f>
        <v>41</v>
      </c>
    </row>
    <row r="352" spans="1:13" x14ac:dyDescent="0.25">
      <c r="A352" s="4" t="s">
        <v>99</v>
      </c>
      <c r="B352">
        <v>7172030012001800</v>
      </c>
      <c r="C352">
        <v>73</v>
      </c>
      <c r="D352">
        <v>39</v>
      </c>
      <c r="E352">
        <v>0</v>
      </c>
      <c r="F352">
        <v>0</v>
      </c>
      <c r="G352">
        <v>34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region_summary__39[[#This Row],[APPROVED BY Pengawas]]+region_summary__39[[#This Row],[EDITED BY Admin Kabupaten]]</f>
        <v>39</v>
      </c>
    </row>
    <row r="353" spans="1:13" x14ac:dyDescent="0.25">
      <c r="A353" s="4" t="s">
        <v>99</v>
      </c>
      <c r="B353">
        <v>7172030012001600</v>
      </c>
      <c r="C353">
        <v>60</v>
      </c>
      <c r="D353">
        <v>36</v>
      </c>
      <c r="E353">
        <v>0</v>
      </c>
      <c r="F353">
        <v>0</v>
      </c>
      <c r="G353">
        <v>24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region_summary__39[[#This Row],[APPROVED BY Pengawas]]+region_summary__39[[#This Row],[EDITED BY Admin Kabupaten]]</f>
        <v>36</v>
      </c>
    </row>
    <row r="354" spans="1:13" x14ac:dyDescent="0.25">
      <c r="A354" s="4" t="s">
        <v>99</v>
      </c>
      <c r="B354">
        <v>7172030012002000</v>
      </c>
      <c r="C354">
        <v>50</v>
      </c>
      <c r="D354">
        <v>25</v>
      </c>
      <c r="E354">
        <v>2</v>
      </c>
      <c r="F354">
        <v>0</v>
      </c>
      <c r="G354">
        <v>23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region_summary__39[[#This Row],[APPROVED BY Pengawas]]+region_summary__39[[#This Row],[EDITED BY Admin Kabupaten]]</f>
        <v>25</v>
      </c>
    </row>
    <row r="355" spans="1:13" x14ac:dyDescent="0.25">
      <c r="A355" s="4" t="s">
        <v>99</v>
      </c>
      <c r="B355">
        <v>7172030013000300</v>
      </c>
      <c r="C355">
        <v>50</v>
      </c>
      <c r="D355">
        <v>25</v>
      </c>
      <c r="E355">
        <v>0</v>
      </c>
      <c r="F355">
        <v>0</v>
      </c>
      <c r="G355">
        <v>25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region_summary__39[[#This Row],[APPROVED BY Pengawas]]+region_summary__39[[#This Row],[EDITED BY Admin Kabupaten]]</f>
        <v>25</v>
      </c>
    </row>
    <row r="356" spans="1:13" x14ac:dyDescent="0.25">
      <c r="A356" s="4" t="s">
        <v>234</v>
      </c>
      <c r="B356">
        <v>7172030008000902</v>
      </c>
      <c r="C356">
        <v>148</v>
      </c>
      <c r="D356">
        <v>137</v>
      </c>
      <c r="E356">
        <v>1</v>
      </c>
      <c r="F356">
        <v>0</v>
      </c>
      <c r="G356">
        <v>9</v>
      </c>
      <c r="H356">
        <v>0</v>
      </c>
      <c r="I356">
        <v>0</v>
      </c>
      <c r="J356">
        <v>1</v>
      </c>
      <c r="K356">
        <v>0</v>
      </c>
      <c r="L356">
        <v>0</v>
      </c>
      <c r="M356">
        <f>region_summary__39[[#This Row],[APPROVED BY Pengawas]]+region_summary__39[[#This Row],[EDITED BY Admin Kabupaten]]</f>
        <v>137</v>
      </c>
    </row>
    <row r="357" spans="1:13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region_summary__39[[#This Row],[APPROVED BY Pengawas]]+region_summary__39[[#This Row],[EDITED BY Admin Kabupaten]]</f>
        <v>2</v>
      </c>
    </row>
    <row r="358" spans="1:13" x14ac:dyDescent="0.25">
      <c r="A358" s="4" t="s">
        <v>234</v>
      </c>
      <c r="B358">
        <v>7172030008000500</v>
      </c>
      <c r="C358">
        <v>61</v>
      </c>
      <c r="D358">
        <v>6</v>
      </c>
      <c r="E358">
        <v>0</v>
      </c>
      <c r="F358">
        <v>0</v>
      </c>
      <c r="G358">
        <v>55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region_summary__39[[#This Row],[APPROVED BY Pengawas]]+region_summary__39[[#This Row],[EDITED BY Admin Kabupaten]]</f>
        <v>6</v>
      </c>
    </row>
    <row r="359" spans="1:13" x14ac:dyDescent="0.25">
      <c r="A359" s="4" t="s">
        <v>234</v>
      </c>
      <c r="B359">
        <v>7172030008000400</v>
      </c>
      <c r="C359">
        <v>60</v>
      </c>
      <c r="D359">
        <v>17</v>
      </c>
      <c r="E359">
        <v>0</v>
      </c>
      <c r="F359">
        <v>0</v>
      </c>
      <c r="G359">
        <v>43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region_summary__39[[#This Row],[APPROVED BY Pengawas]]+region_summary__39[[#This Row],[EDITED BY Admin Kabupaten]]</f>
        <v>17</v>
      </c>
    </row>
    <row r="360" spans="1:13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region_summary__39[[#This Row],[APPROVED BY Pengawas]]+region_summary__39[[#This Row],[EDITED BY Admin Kabupaten]]</f>
        <v>1</v>
      </c>
    </row>
    <row r="361" spans="1:13" x14ac:dyDescent="0.25">
      <c r="A361" s="4" t="s">
        <v>234</v>
      </c>
      <c r="B361">
        <v>7172030008000600</v>
      </c>
      <c r="C361">
        <v>57</v>
      </c>
      <c r="D361">
        <v>53</v>
      </c>
      <c r="E361">
        <v>0</v>
      </c>
      <c r="F361">
        <v>0</v>
      </c>
      <c r="G361">
        <v>3</v>
      </c>
      <c r="H361">
        <v>0</v>
      </c>
      <c r="I361">
        <v>1</v>
      </c>
      <c r="J361">
        <v>0</v>
      </c>
      <c r="K361">
        <v>0</v>
      </c>
      <c r="L361">
        <v>0</v>
      </c>
      <c r="M361">
        <f>region_summary__39[[#This Row],[APPROVED BY Pengawas]]+region_summary__39[[#This Row],[EDITED BY Admin Kabupaten]]</f>
        <v>53</v>
      </c>
    </row>
    <row r="362" spans="1:13" x14ac:dyDescent="0.25">
      <c r="A362" s="4" t="s">
        <v>234</v>
      </c>
      <c r="B362">
        <v>7172030008000901</v>
      </c>
      <c r="C362">
        <v>52</v>
      </c>
      <c r="D362">
        <v>48</v>
      </c>
      <c r="E362">
        <v>0</v>
      </c>
      <c r="F362">
        <v>0</v>
      </c>
      <c r="G362">
        <v>4</v>
      </c>
      <c r="H362">
        <v>0</v>
      </c>
      <c r="I362">
        <v>0</v>
      </c>
      <c r="J362">
        <v>0</v>
      </c>
      <c r="K362">
        <v>0</v>
      </c>
      <c r="L362">
        <v>0</v>
      </c>
      <c r="M362">
        <f>region_summary__39[[#This Row],[APPROVED BY Pengawas]]+region_summary__39[[#This Row],[EDITED BY Admin Kabupaten]]</f>
        <v>48</v>
      </c>
    </row>
    <row r="363" spans="1:13" x14ac:dyDescent="0.25">
      <c r="A363" s="4" t="s">
        <v>234</v>
      </c>
      <c r="B363">
        <v>7172030008000700</v>
      </c>
      <c r="C363">
        <v>42</v>
      </c>
      <c r="D363">
        <v>16</v>
      </c>
      <c r="E363">
        <v>0</v>
      </c>
      <c r="F363">
        <v>0</v>
      </c>
      <c r="G363">
        <v>26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region_summary__39[[#This Row],[APPROVED BY Pengawas]]+region_summary__39[[#This Row],[EDITED BY Admin Kabupaten]]</f>
        <v>16</v>
      </c>
    </row>
    <row r="364" spans="1:13" x14ac:dyDescent="0.25">
      <c r="A364" s="4" t="s">
        <v>234</v>
      </c>
      <c r="B364">
        <v>7172030008000800</v>
      </c>
      <c r="C364">
        <v>40</v>
      </c>
      <c r="D364">
        <v>3</v>
      </c>
      <c r="E364">
        <v>0</v>
      </c>
      <c r="F364">
        <v>0</v>
      </c>
      <c r="G364">
        <v>37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region_summary__39[[#This Row],[APPROVED BY Pengawas]]+region_summary__39[[#This Row],[EDITED BY Admin Kabupaten]]</f>
        <v>3</v>
      </c>
    </row>
    <row r="365" spans="1:13" x14ac:dyDescent="0.25">
      <c r="A365" s="4" t="s">
        <v>234</v>
      </c>
      <c r="B365">
        <v>7172030008000300</v>
      </c>
      <c r="C365">
        <v>35</v>
      </c>
      <c r="D365">
        <v>8</v>
      </c>
      <c r="E365">
        <v>2</v>
      </c>
      <c r="F365">
        <v>0</v>
      </c>
      <c r="G365">
        <v>25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region_summary__39[[#This Row],[APPROVED BY Pengawas]]+region_summary__39[[#This Row],[EDITED BY Admin Kabupaten]]</f>
        <v>8</v>
      </c>
    </row>
    <row r="366" spans="1:13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region_summary__39[[#This Row],[APPROVED BY Pengawas]]+region_summary__39[[#This Row],[EDITED BY Admin Kabupaten]]</f>
        <v>0</v>
      </c>
    </row>
    <row r="367" spans="1:13" x14ac:dyDescent="0.25">
      <c r="A367" s="4" t="s">
        <v>235</v>
      </c>
      <c r="B367">
        <v>7172030015000800</v>
      </c>
      <c r="C367">
        <v>162</v>
      </c>
      <c r="D367">
        <v>14</v>
      </c>
      <c r="E367">
        <v>2</v>
      </c>
      <c r="F367">
        <v>0</v>
      </c>
      <c r="G367">
        <v>146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region_summary__39[[#This Row],[APPROVED BY Pengawas]]+region_summary__39[[#This Row],[EDITED BY Admin Kabupaten]]</f>
        <v>14</v>
      </c>
    </row>
    <row r="368" spans="1:13" x14ac:dyDescent="0.25">
      <c r="A368" s="4" t="s">
        <v>235</v>
      </c>
      <c r="B368">
        <v>7172030015000300</v>
      </c>
      <c r="C368">
        <v>123</v>
      </c>
      <c r="D368">
        <v>79</v>
      </c>
      <c r="E368">
        <v>4</v>
      </c>
      <c r="F368">
        <v>0</v>
      </c>
      <c r="G368">
        <v>40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f>region_summary__39[[#This Row],[APPROVED BY Pengawas]]+region_summary__39[[#This Row],[EDITED BY Admin Kabupaten]]</f>
        <v>79</v>
      </c>
    </row>
    <row r="369" spans="1:13" x14ac:dyDescent="0.25">
      <c r="A369" s="4" t="s">
        <v>235</v>
      </c>
      <c r="B369">
        <v>7172030015000400</v>
      </c>
      <c r="C369">
        <v>85</v>
      </c>
      <c r="D369">
        <v>48</v>
      </c>
      <c r="E369">
        <v>2</v>
      </c>
      <c r="F369">
        <v>0</v>
      </c>
      <c r="G369">
        <v>35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region_summary__39[[#This Row],[APPROVED BY Pengawas]]+region_summary__39[[#This Row],[EDITED BY Admin Kabupaten]]</f>
        <v>48</v>
      </c>
    </row>
    <row r="370" spans="1:13" x14ac:dyDescent="0.25">
      <c r="A370" s="4" t="s">
        <v>235</v>
      </c>
      <c r="B370">
        <v>7172030015001000</v>
      </c>
      <c r="C370">
        <v>84</v>
      </c>
      <c r="D370">
        <v>70</v>
      </c>
      <c r="E370">
        <v>5</v>
      </c>
      <c r="F370">
        <v>0</v>
      </c>
      <c r="G370">
        <v>8</v>
      </c>
      <c r="H370">
        <v>0</v>
      </c>
      <c r="I370">
        <v>0</v>
      </c>
      <c r="J370">
        <v>1</v>
      </c>
      <c r="K370">
        <v>0</v>
      </c>
      <c r="L370">
        <v>0</v>
      </c>
      <c r="M370">
        <f>region_summary__39[[#This Row],[APPROVED BY Pengawas]]+region_summary__39[[#This Row],[EDITED BY Admin Kabupaten]]</f>
        <v>70</v>
      </c>
    </row>
    <row r="371" spans="1:13" x14ac:dyDescent="0.25">
      <c r="A371" s="4" t="s">
        <v>235</v>
      </c>
      <c r="B371">
        <v>7172030015001100</v>
      </c>
      <c r="C371">
        <v>61</v>
      </c>
      <c r="D371">
        <v>45</v>
      </c>
      <c r="E371">
        <v>1</v>
      </c>
      <c r="F371">
        <v>0</v>
      </c>
      <c r="G371">
        <v>15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region_summary__39[[#This Row],[APPROVED BY Pengawas]]+region_summary__39[[#This Row],[EDITED BY Admin Kabupaten]]</f>
        <v>45</v>
      </c>
    </row>
    <row r="372" spans="1:13" x14ac:dyDescent="0.25">
      <c r="A372" s="4" t="s">
        <v>235</v>
      </c>
      <c r="B372">
        <v>7172030015000700</v>
      </c>
      <c r="C372">
        <v>52</v>
      </c>
      <c r="D372">
        <v>38</v>
      </c>
      <c r="E372">
        <v>2</v>
      </c>
      <c r="F372">
        <v>0</v>
      </c>
      <c r="G372">
        <v>11</v>
      </c>
      <c r="H372">
        <v>0</v>
      </c>
      <c r="I372">
        <v>0</v>
      </c>
      <c r="J372">
        <v>0</v>
      </c>
      <c r="K372">
        <v>1</v>
      </c>
      <c r="L372">
        <v>0</v>
      </c>
      <c r="M372">
        <f>region_summary__39[[#This Row],[APPROVED BY Pengawas]]+region_summary__39[[#This Row],[EDITED BY Admin Kabupaten]]</f>
        <v>38</v>
      </c>
    </row>
    <row r="373" spans="1:13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region_summary__39[[#This Row],[APPROVED BY Pengawas]]+region_summary__39[[#This Row],[EDITED BY Admin Kabupaten]]</f>
        <v>0</v>
      </c>
    </row>
    <row r="374" spans="1:13" x14ac:dyDescent="0.25">
      <c r="A374" s="4" t="s">
        <v>235</v>
      </c>
      <c r="B374">
        <v>7172030015000600</v>
      </c>
      <c r="C374">
        <v>38</v>
      </c>
      <c r="D374">
        <v>1</v>
      </c>
      <c r="E374">
        <v>0</v>
      </c>
      <c r="F374">
        <v>0</v>
      </c>
      <c r="G374">
        <v>37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region_summary__39[[#This Row],[APPROVED BY Pengawas]]+region_summary__39[[#This Row],[EDITED BY Admin Kabupaten]]</f>
        <v>1</v>
      </c>
    </row>
    <row r="375" spans="1:13" x14ac:dyDescent="0.25">
      <c r="A375" s="4" t="s">
        <v>235</v>
      </c>
      <c r="B375">
        <v>7172030015000900</v>
      </c>
      <c r="C375">
        <v>24</v>
      </c>
      <c r="D375">
        <v>0</v>
      </c>
      <c r="E375">
        <v>1</v>
      </c>
      <c r="F375">
        <v>0</v>
      </c>
      <c r="G375">
        <v>23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region_summary__39[[#This Row],[APPROVED BY Pengawas]]+region_summary__39[[#This Row],[EDITED BY Admin Kabupaten]]</f>
        <v>0</v>
      </c>
    </row>
    <row r="376" spans="1:13" x14ac:dyDescent="0.25">
      <c r="A376" s="4" t="s">
        <v>236</v>
      </c>
      <c r="B376">
        <v>7172030014001100</v>
      </c>
      <c r="C376">
        <v>248</v>
      </c>
      <c r="D376">
        <v>217</v>
      </c>
      <c r="E376">
        <v>2</v>
      </c>
      <c r="F376">
        <v>0</v>
      </c>
      <c r="G376">
        <v>24</v>
      </c>
      <c r="H376">
        <v>0</v>
      </c>
      <c r="I376">
        <v>1</v>
      </c>
      <c r="J376">
        <v>1</v>
      </c>
      <c r="K376">
        <v>3</v>
      </c>
      <c r="L376">
        <v>0</v>
      </c>
      <c r="M376">
        <f>region_summary__39[[#This Row],[APPROVED BY Pengawas]]+region_summary__39[[#This Row],[EDITED BY Admin Kabupaten]]</f>
        <v>217</v>
      </c>
    </row>
    <row r="377" spans="1:13" x14ac:dyDescent="0.25">
      <c r="A377" s="4" t="s">
        <v>236</v>
      </c>
      <c r="B377">
        <v>7172030014001000</v>
      </c>
      <c r="C377">
        <v>139</v>
      </c>
      <c r="D377">
        <v>104</v>
      </c>
      <c r="E377">
        <v>6</v>
      </c>
      <c r="F377">
        <v>0</v>
      </c>
      <c r="G377">
        <v>28</v>
      </c>
      <c r="H377">
        <v>0</v>
      </c>
      <c r="I377">
        <v>1</v>
      </c>
      <c r="J377">
        <v>0</v>
      </c>
      <c r="K377">
        <v>0</v>
      </c>
      <c r="L377">
        <v>0</v>
      </c>
      <c r="M377">
        <f>region_summary__39[[#This Row],[APPROVED BY Pengawas]]+region_summary__39[[#This Row],[EDITED BY Admin Kabupaten]]</f>
        <v>104</v>
      </c>
    </row>
    <row r="378" spans="1:13" x14ac:dyDescent="0.25">
      <c r="A378" s="4" t="s">
        <v>236</v>
      </c>
      <c r="B378">
        <v>7172030014001200</v>
      </c>
      <c r="C378">
        <v>122</v>
      </c>
      <c r="D378">
        <v>36</v>
      </c>
      <c r="E378">
        <v>0</v>
      </c>
      <c r="F378">
        <v>0</v>
      </c>
      <c r="G378">
        <v>84</v>
      </c>
      <c r="H378">
        <v>0</v>
      </c>
      <c r="I378">
        <v>1</v>
      </c>
      <c r="J378">
        <v>0</v>
      </c>
      <c r="K378">
        <v>1</v>
      </c>
      <c r="L378">
        <v>0</v>
      </c>
      <c r="M378">
        <f>region_summary__39[[#This Row],[APPROVED BY Pengawas]]+region_summary__39[[#This Row],[EDITED BY Admin Kabupaten]]</f>
        <v>36</v>
      </c>
    </row>
    <row r="379" spans="1:13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region_summary__39[[#This Row],[APPROVED BY Pengawas]]+region_summary__39[[#This Row],[EDITED BY Admin Kabupaten]]</f>
        <v>0</v>
      </c>
    </row>
    <row r="380" spans="1:13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region_summary__39[[#This Row],[APPROVED BY Pengawas]]+region_summary__39[[#This Row],[EDITED BY Admin Kabupaten]]</f>
        <v>0</v>
      </c>
    </row>
    <row r="381" spans="1:13" x14ac:dyDescent="0.25">
      <c r="A381" s="4" t="s">
        <v>105</v>
      </c>
      <c r="B381">
        <v>7172030015001701</v>
      </c>
      <c r="C381">
        <v>126</v>
      </c>
      <c r="D381">
        <v>69</v>
      </c>
      <c r="E381">
        <v>19</v>
      </c>
      <c r="F381">
        <v>0</v>
      </c>
      <c r="G381">
        <v>35</v>
      </c>
      <c r="H381">
        <v>0</v>
      </c>
      <c r="I381">
        <v>1</v>
      </c>
      <c r="J381">
        <v>0</v>
      </c>
      <c r="K381">
        <v>2</v>
      </c>
      <c r="L381">
        <v>0</v>
      </c>
      <c r="M381">
        <f>region_summary__39[[#This Row],[APPROVED BY Pengawas]]+region_summary__39[[#This Row],[EDITED BY Admin Kabupaten]]</f>
        <v>69</v>
      </c>
    </row>
    <row r="382" spans="1:13" x14ac:dyDescent="0.25">
      <c r="A382" s="4" t="s">
        <v>105</v>
      </c>
      <c r="B382">
        <v>7172030015001800</v>
      </c>
      <c r="C382">
        <v>117</v>
      </c>
      <c r="D382">
        <v>0</v>
      </c>
      <c r="E382">
        <v>0</v>
      </c>
      <c r="F382">
        <v>0</v>
      </c>
      <c r="G382">
        <v>117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region_summary__39[[#This Row],[APPROVED BY Pengawas]]+region_summary__39[[#This Row],[EDITED BY Admin Kabupaten]]</f>
        <v>0</v>
      </c>
    </row>
    <row r="383" spans="1:13" x14ac:dyDescent="0.25">
      <c r="A383" s="4" t="s">
        <v>105</v>
      </c>
      <c r="B383">
        <v>7172030015001300</v>
      </c>
      <c r="C383">
        <v>96</v>
      </c>
      <c r="D383">
        <v>81</v>
      </c>
      <c r="E383">
        <v>3</v>
      </c>
      <c r="F383">
        <v>0</v>
      </c>
      <c r="G383">
        <v>11</v>
      </c>
      <c r="H383">
        <v>0</v>
      </c>
      <c r="I383">
        <v>0</v>
      </c>
      <c r="J383">
        <v>0</v>
      </c>
      <c r="K383">
        <v>1</v>
      </c>
      <c r="L383">
        <v>0</v>
      </c>
      <c r="M383">
        <f>region_summary__39[[#This Row],[APPROVED BY Pengawas]]+region_summary__39[[#This Row],[EDITED BY Admin Kabupaten]]</f>
        <v>81</v>
      </c>
    </row>
    <row r="384" spans="1:13" x14ac:dyDescent="0.25">
      <c r="A384" s="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region_summary__39[[#This Row],[APPROVED BY Pengawas]]+region_summary__39[[#This Row],[EDITED BY Admin Kabupaten]]</f>
        <v>67</v>
      </c>
    </row>
    <row r="385" spans="1:13" x14ac:dyDescent="0.25">
      <c r="A385" s="4" t="s">
        <v>105</v>
      </c>
      <c r="B385">
        <v>7172030015001703</v>
      </c>
      <c r="C385">
        <v>38</v>
      </c>
      <c r="D385">
        <v>0</v>
      </c>
      <c r="E385">
        <v>4</v>
      </c>
      <c r="F385">
        <v>0</v>
      </c>
      <c r="G385">
        <v>32</v>
      </c>
      <c r="H385">
        <v>0</v>
      </c>
      <c r="I385">
        <v>0</v>
      </c>
      <c r="J385">
        <v>0</v>
      </c>
      <c r="K385">
        <v>2</v>
      </c>
      <c r="L385">
        <v>0</v>
      </c>
      <c r="M385">
        <f>region_summary__39[[#This Row],[APPROVED BY Pengawas]]+region_summary__39[[#This Row],[EDITED BY Admin Kabupaten]]</f>
        <v>0</v>
      </c>
    </row>
    <row r="386" spans="1:13" x14ac:dyDescent="0.25">
      <c r="A386" s="4" t="s">
        <v>109</v>
      </c>
      <c r="B386">
        <v>7172031001000700</v>
      </c>
      <c r="C386">
        <v>83</v>
      </c>
      <c r="D386">
        <v>8</v>
      </c>
      <c r="E386">
        <v>6</v>
      </c>
      <c r="F386">
        <v>0</v>
      </c>
      <c r="G386">
        <v>64</v>
      </c>
      <c r="H386">
        <v>0</v>
      </c>
      <c r="I386">
        <v>0</v>
      </c>
      <c r="J386">
        <v>0</v>
      </c>
      <c r="K386">
        <v>5</v>
      </c>
      <c r="L386">
        <v>0</v>
      </c>
      <c r="M386">
        <f>region_summary__39[[#This Row],[APPROVED BY Pengawas]]+region_summary__39[[#This Row],[EDITED BY Admin Kabupaten]]</f>
        <v>8</v>
      </c>
    </row>
    <row r="387" spans="1:13" x14ac:dyDescent="0.25">
      <c r="A387" s="4" t="s">
        <v>109</v>
      </c>
      <c r="B387">
        <v>7172031001000800</v>
      </c>
      <c r="C387">
        <v>59</v>
      </c>
      <c r="D387">
        <v>50</v>
      </c>
      <c r="E387">
        <v>8</v>
      </c>
      <c r="F387">
        <v>0</v>
      </c>
      <c r="G387">
        <v>1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region_summary__39[[#This Row],[APPROVED BY Pengawas]]+region_summary__39[[#This Row],[EDITED BY Admin Kabupaten]]</f>
        <v>50</v>
      </c>
    </row>
    <row r="388" spans="1:13" x14ac:dyDescent="0.25">
      <c r="A388" s="4" t="s">
        <v>109</v>
      </c>
      <c r="B388">
        <v>7172031001001200</v>
      </c>
      <c r="C388">
        <v>58</v>
      </c>
      <c r="D388">
        <v>0</v>
      </c>
      <c r="E388">
        <v>0</v>
      </c>
      <c r="F388">
        <v>0</v>
      </c>
      <c r="G388">
        <v>58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region_summary__39[[#This Row],[APPROVED BY Pengawas]]+region_summary__39[[#This Row],[EDITED BY Admin Kabupaten]]</f>
        <v>0</v>
      </c>
    </row>
    <row r="389" spans="1:13" x14ac:dyDescent="0.25">
      <c r="A389" s="4" t="s">
        <v>109</v>
      </c>
      <c r="B389">
        <v>7172031001001400</v>
      </c>
      <c r="C389">
        <v>56</v>
      </c>
      <c r="D389">
        <v>47</v>
      </c>
      <c r="E389">
        <v>7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region_summary__39[[#This Row],[APPROVED BY Pengawas]]+region_summary__39[[#This Row],[EDITED BY Admin Kabupaten]]</f>
        <v>47</v>
      </c>
    </row>
    <row r="390" spans="1:13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region_summary__39[[#This Row],[APPROVED BY Pengawas]]+region_summary__39[[#This Row],[EDITED BY Admin Kabupaten]]</f>
        <v>0</v>
      </c>
    </row>
    <row r="391" spans="1:13" x14ac:dyDescent="0.25">
      <c r="A391" s="4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region_summary__39[[#This Row],[APPROVED BY Pengawas]]+region_summary__39[[#This Row],[EDITED BY Admin Kabupaten]]</f>
        <v>44</v>
      </c>
    </row>
    <row r="392" spans="1:13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region_summary__39[[#This Row],[APPROVED BY Pengawas]]+region_summary__39[[#This Row],[EDITED BY Admin Kabupaten]]</f>
        <v>0</v>
      </c>
    </row>
    <row r="393" spans="1:13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region_summary__39[[#This Row],[APPROVED BY Pengawas]]+region_summary__39[[#This Row],[EDITED BY Admin Kabupaten]]</f>
        <v>0</v>
      </c>
    </row>
    <row r="394" spans="1:13" x14ac:dyDescent="0.25">
      <c r="A394" s="4" t="s">
        <v>109</v>
      </c>
      <c r="B394">
        <v>7172031001001000</v>
      </c>
      <c r="C394">
        <v>40</v>
      </c>
      <c r="D394">
        <v>27</v>
      </c>
      <c r="E394">
        <v>6</v>
      </c>
      <c r="F394">
        <v>0</v>
      </c>
      <c r="G394">
        <v>6</v>
      </c>
      <c r="H394">
        <v>0</v>
      </c>
      <c r="I394">
        <v>0</v>
      </c>
      <c r="J394">
        <v>0</v>
      </c>
      <c r="K394">
        <v>1</v>
      </c>
      <c r="L394">
        <v>0</v>
      </c>
      <c r="M394">
        <f>region_summary__39[[#This Row],[APPROVED BY Pengawas]]+region_summary__39[[#This Row],[EDITED BY Admin Kabupaten]]</f>
        <v>27</v>
      </c>
    </row>
    <row r="395" spans="1:13" x14ac:dyDescent="0.25">
      <c r="A395" s="4" t="s">
        <v>109</v>
      </c>
      <c r="B395">
        <v>7172031001000200</v>
      </c>
      <c r="C395">
        <v>39</v>
      </c>
      <c r="D395">
        <v>34</v>
      </c>
      <c r="E395">
        <v>4</v>
      </c>
      <c r="F395">
        <v>0</v>
      </c>
      <c r="G395">
        <v>1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region_summary__39[[#This Row],[APPROVED BY Pengawas]]+region_summary__39[[#This Row],[EDITED BY Admin Kabupaten]]</f>
        <v>34</v>
      </c>
    </row>
    <row r="396" spans="1:13" x14ac:dyDescent="0.25">
      <c r="A396" s="4" t="s">
        <v>109</v>
      </c>
      <c r="B396">
        <v>7172031001000400</v>
      </c>
      <c r="C396">
        <v>38</v>
      </c>
      <c r="D396">
        <v>0</v>
      </c>
      <c r="E396">
        <v>0</v>
      </c>
      <c r="F396">
        <v>0</v>
      </c>
      <c r="G396">
        <v>38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region_summary__39[[#This Row],[APPROVED BY Pengawas]]+region_summary__39[[#This Row],[EDITED BY Admin Kabupaten]]</f>
        <v>0</v>
      </c>
    </row>
    <row r="397" spans="1:13" x14ac:dyDescent="0.25">
      <c r="A397" s="4" t="s">
        <v>109</v>
      </c>
      <c r="B397">
        <v>7172031001000900</v>
      </c>
      <c r="C397">
        <v>34</v>
      </c>
      <c r="D397">
        <v>29</v>
      </c>
      <c r="E397">
        <v>2</v>
      </c>
      <c r="F397">
        <v>0</v>
      </c>
      <c r="G397">
        <v>1</v>
      </c>
      <c r="H397">
        <v>0</v>
      </c>
      <c r="I397">
        <v>1</v>
      </c>
      <c r="J397">
        <v>0</v>
      </c>
      <c r="K397">
        <v>1</v>
      </c>
      <c r="L397">
        <v>0</v>
      </c>
      <c r="M397">
        <f>region_summary__39[[#This Row],[APPROVED BY Pengawas]]+region_summary__39[[#This Row],[EDITED BY Admin Kabupaten]]</f>
        <v>29</v>
      </c>
    </row>
    <row r="398" spans="1:13" x14ac:dyDescent="0.25">
      <c r="A398" s="4" t="s">
        <v>109</v>
      </c>
      <c r="B398">
        <v>7172031001000100</v>
      </c>
      <c r="C398">
        <v>33</v>
      </c>
      <c r="D398">
        <v>29</v>
      </c>
      <c r="E398">
        <v>2</v>
      </c>
      <c r="F398">
        <v>0</v>
      </c>
      <c r="G398">
        <v>2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region_summary__39[[#This Row],[APPROVED BY Pengawas]]+region_summary__39[[#This Row],[EDITED BY Admin Kabupaten]]</f>
        <v>29</v>
      </c>
    </row>
    <row r="399" spans="1:13" x14ac:dyDescent="0.25">
      <c r="A399" s="4" t="s">
        <v>109</v>
      </c>
      <c r="B399">
        <v>7172031001000300</v>
      </c>
      <c r="C399">
        <v>33</v>
      </c>
      <c r="D399">
        <v>2</v>
      </c>
      <c r="E399">
        <v>3</v>
      </c>
      <c r="F399">
        <v>0</v>
      </c>
      <c r="G399">
        <v>28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region_summary__39[[#This Row],[APPROVED BY Pengawas]]+region_summary__39[[#This Row],[EDITED BY Admin Kabupaten]]</f>
        <v>2</v>
      </c>
    </row>
    <row r="400" spans="1:13" x14ac:dyDescent="0.25">
      <c r="A400" s="4" t="s">
        <v>113</v>
      </c>
      <c r="B400">
        <v>7172031005001800</v>
      </c>
      <c r="C400">
        <v>116</v>
      </c>
      <c r="D400">
        <v>46</v>
      </c>
      <c r="E400">
        <v>3</v>
      </c>
      <c r="F400">
        <v>0</v>
      </c>
      <c r="G400">
        <v>59</v>
      </c>
      <c r="H400">
        <v>0</v>
      </c>
      <c r="I400">
        <v>0</v>
      </c>
      <c r="J400">
        <v>0</v>
      </c>
      <c r="K400">
        <v>8</v>
      </c>
      <c r="L400">
        <v>0</v>
      </c>
      <c r="M400">
        <f>region_summary__39[[#This Row],[APPROVED BY Pengawas]]+region_summary__39[[#This Row],[EDITED BY Admin Kabupaten]]</f>
        <v>46</v>
      </c>
    </row>
    <row r="401" spans="1:13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region_summary__39[[#This Row],[APPROVED BY Pengawas]]+region_summary__39[[#This Row],[EDITED BY Admin Kabupaten]]</f>
        <v>0</v>
      </c>
    </row>
    <row r="402" spans="1:13" x14ac:dyDescent="0.25">
      <c r="A402" s="4" t="s">
        <v>113</v>
      </c>
      <c r="B402">
        <v>7172031005001500</v>
      </c>
      <c r="C402">
        <v>82</v>
      </c>
      <c r="D402">
        <v>79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region_summary__39[[#This Row],[APPROVED BY Pengawas]]+region_summary__39[[#This Row],[EDITED BY Admin Kabupaten]]</f>
        <v>79</v>
      </c>
    </row>
    <row r="403" spans="1:13" x14ac:dyDescent="0.25">
      <c r="A403" s="4" t="s">
        <v>113</v>
      </c>
      <c r="B403">
        <v>7172031005000800</v>
      </c>
      <c r="C403">
        <v>81</v>
      </c>
      <c r="D403">
        <v>1</v>
      </c>
      <c r="E403">
        <v>0</v>
      </c>
      <c r="F403">
        <v>0</v>
      </c>
      <c r="G403">
        <v>80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region_summary__39[[#This Row],[APPROVED BY Pengawas]]+region_summary__39[[#This Row],[EDITED BY Admin Kabupaten]]</f>
        <v>1</v>
      </c>
    </row>
    <row r="404" spans="1:13" x14ac:dyDescent="0.25">
      <c r="A404" s="4" t="s">
        <v>113</v>
      </c>
      <c r="B404">
        <v>7172031005001600</v>
      </c>
      <c r="C404">
        <v>78</v>
      </c>
      <c r="D404">
        <v>71</v>
      </c>
      <c r="E404">
        <v>7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region_summary__39[[#This Row],[APPROVED BY Pengawas]]+region_summary__39[[#This Row],[EDITED BY Admin Kabupaten]]</f>
        <v>71</v>
      </c>
    </row>
    <row r="405" spans="1:13" x14ac:dyDescent="0.25">
      <c r="A405" s="4" t="s">
        <v>113</v>
      </c>
      <c r="B405">
        <v>7172031005001300</v>
      </c>
      <c r="C405">
        <v>74</v>
      </c>
      <c r="D405">
        <v>6</v>
      </c>
      <c r="E405">
        <v>0</v>
      </c>
      <c r="F405">
        <v>0</v>
      </c>
      <c r="G405">
        <v>68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region_summary__39[[#This Row],[APPROVED BY Pengawas]]+region_summary__39[[#This Row],[EDITED BY Admin Kabupaten]]</f>
        <v>6</v>
      </c>
    </row>
    <row r="406" spans="1:13" x14ac:dyDescent="0.25">
      <c r="A406" s="4" t="s">
        <v>113</v>
      </c>
      <c r="B406">
        <v>7172031005001400</v>
      </c>
      <c r="C406">
        <v>69</v>
      </c>
      <c r="D406">
        <v>67</v>
      </c>
      <c r="E406">
        <v>0</v>
      </c>
      <c r="F406">
        <v>0</v>
      </c>
      <c r="G406">
        <v>2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region_summary__39[[#This Row],[APPROVED BY Pengawas]]+region_summary__39[[#This Row],[EDITED BY Admin Kabupaten]]</f>
        <v>67</v>
      </c>
    </row>
    <row r="407" spans="1:13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region_summary__39[[#This Row],[APPROVED BY Pengawas]]+region_summary__39[[#This Row],[EDITED BY Admin Kabupaten]]</f>
        <v>0</v>
      </c>
    </row>
    <row r="408" spans="1:13" x14ac:dyDescent="0.25">
      <c r="A408" s="4" t="s">
        <v>114</v>
      </c>
      <c r="B408">
        <v>7172031003001300</v>
      </c>
      <c r="C408">
        <v>85</v>
      </c>
      <c r="D408">
        <v>78</v>
      </c>
      <c r="E408">
        <v>1</v>
      </c>
      <c r="F408">
        <v>6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region_summary__39[[#This Row],[APPROVED BY Pengawas]]+region_summary__39[[#This Row],[EDITED BY Admin Kabupaten]]</f>
        <v>84</v>
      </c>
    </row>
    <row r="409" spans="1:13" x14ac:dyDescent="0.25">
      <c r="A409" s="4" t="s">
        <v>114</v>
      </c>
      <c r="B409">
        <v>7172031003001000</v>
      </c>
      <c r="C409">
        <v>73</v>
      </c>
      <c r="D409">
        <v>58</v>
      </c>
      <c r="E409">
        <v>0</v>
      </c>
      <c r="F409">
        <v>10</v>
      </c>
      <c r="G409">
        <v>4</v>
      </c>
      <c r="H409">
        <v>0</v>
      </c>
      <c r="I409">
        <v>0</v>
      </c>
      <c r="J409">
        <v>1</v>
      </c>
      <c r="K409">
        <v>0</v>
      </c>
      <c r="L409">
        <v>0</v>
      </c>
      <c r="M409">
        <f>region_summary__39[[#This Row],[APPROVED BY Pengawas]]+region_summary__39[[#This Row],[EDITED BY Admin Kabupaten]]</f>
        <v>68</v>
      </c>
    </row>
    <row r="410" spans="1:13" x14ac:dyDescent="0.25">
      <c r="A410" s="4" t="s">
        <v>114</v>
      </c>
      <c r="B410">
        <v>7172031003000500</v>
      </c>
      <c r="C410">
        <v>67</v>
      </c>
      <c r="D410">
        <v>13</v>
      </c>
      <c r="E410">
        <v>0</v>
      </c>
      <c r="F410">
        <v>0</v>
      </c>
      <c r="G410">
        <v>54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region_summary__39[[#This Row],[APPROVED BY Pengawas]]+region_summary__39[[#This Row],[EDITED BY Admin Kabupaten]]</f>
        <v>13</v>
      </c>
    </row>
    <row r="411" spans="1:13" x14ac:dyDescent="0.25">
      <c r="A411" s="4" t="s">
        <v>114</v>
      </c>
      <c r="B411">
        <v>7172031003001600</v>
      </c>
      <c r="C411">
        <v>65</v>
      </c>
      <c r="D411">
        <v>0</v>
      </c>
      <c r="E411">
        <v>0</v>
      </c>
      <c r="F411">
        <v>0</v>
      </c>
      <c r="G411">
        <v>65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region_summary__39[[#This Row],[APPROVED BY Pengawas]]+region_summary__39[[#This Row],[EDITED BY Admin Kabupaten]]</f>
        <v>0</v>
      </c>
    </row>
    <row r="412" spans="1:13" x14ac:dyDescent="0.25">
      <c r="A412" s="4" t="s">
        <v>114</v>
      </c>
      <c r="B412">
        <v>7172031003000900</v>
      </c>
      <c r="C412">
        <v>58</v>
      </c>
      <c r="D412">
        <v>48</v>
      </c>
      <c r="E412">
        <v>1</v>
      </c>
      <c r="F412">
        <v>9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region_summary__39[[#This Row],[APPROVED BY Pengawas]]+region_summary__39[[#This Row],[EDITED BY Admin Kabupaten]]</f>
        <v>57</v>
      </c>
    </row>
    <row r="413" spans="1:13" x14ac:dyDescent="0.25">
      <c r="A413" s="4" t="s">
        <v>114</v>
      </c>
      <c r="B413">
        <v>7172031003000800</v>
      </c>
      <c r="C413">
        <v>57</v>
      </c>
      <c r="D413">
        <v>15</v>
      </c>
      <c r="E413">
        <v>0</v>
      </c>
      <c r="F413">
        <v>0</v>
      </c>
      <c r="G413">
        <v>42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region_summary__39[[#This Row],[APPROVED BY Pengawas]]+region_summary__39[[#This Row],[EDITED BY Admin Kabupaten]]</f>
        <v>15</v>
      </c>
    </row>
    <row r="414" spans="1:13" x14ac:dyDescent="0.25">
      <c r="A414" s="4" t="s">
        <v>114</v>
      </c>
      <c r="B414">
        <v>7172031003000600</v>
      </c>
      <c r="C414">
        <v>43</v>
      </c>
      <c r="D414">
        <v>7</v>
      </c>
      <c r="E414">
        <v>0</v>
      </c>
      <c r="F414">
        <v>0</v>
      </c>
      <c r="G414">
        <v>35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region_summary__39[[#This Row],[APPROVED BY Pengawas]]+region_summary__39[[#This Row],[EDITED BY Admin Kabupaten]]</f>
        <v>7</v>
      </c>
    </row>
    <row r="415" spans="1:13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region_summary__39[[#This Row],[APPROVED BY Pengawas]]+region_summary__39[[#This Row],[EDITED BY Admin Kabupaten]]</f>
        <v>0</v>
      </c>
    </row>
    <row r="416" spans="1:13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region_summary__39[[#This Row],[APPROVED BY Pengawas]]+region_summary__39[[#This Row],[EDITED BY Admin Kabupaten]]</f>
        <v>0</v>
      </c>
    </row>
    <row r="417" spans="1:13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region_summary__39[[#This Row],[APPROVED BY Pengawas]]+region_summary__39[[#This Row],[EDITED BY Admin Kabupaten]]</f>
        <v>0</v>
      </c>
    </row>
    <row r="418" spans="1:13" x14ac:dyDescent="0.25">
      <c r="A418" s="4" t="s">
        <v>114</v>
      </c>
      <c r="B418">
        <v>7172031003001100</v>
      </c>
      <c r="C418">
        <v>37</v>
      </c>
      <c r="D418">
        <v>28</v>
      </c>
      <c r="E418">
        <v>4</v>
      </c>
      <c r="F418">
        <v>2</v>
      </c>
      <c r="G418">
        <v>3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region_summary__39[[#This Row],[APPROVED BY Pengawas]]+region_summary__39[[#This Row],[EDITED BY Admin Kabupaten]]</f>
        <v>30</v>
      </c>
    </row>
    <row r="419" spans="1:13" x14ac:dyDescent="0.25">
      <c r="A419" s="4" t="s">
        <v>114</v>
      </c>
      <c r="B419">
        <v>7172031003000400</v>
      </c>
      <c r="C419">
        <v>34</v>
      </c>
      <c r="D419">
        <v>11</v>
      </c>
      <c r="E419">
        <v>0</v>
      </c>
      <c r="F419">
        <v>0</v>
      </c>
      <c r="G419">
        <v>23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region_summary__39[[#This Row],[APPROVED BY Pengawas]]+region_summary__39[[#This Row],[EDITED BY Admin Kabupaten]]</f>
        <v>11</v>
      </c>
    </row>
    <row r="420" spans="1:13" x14ac:dyDescent="0.25">
      <c r="A420" s="4" t="s">
        <v>114</v>
      </c>
      <c r="B420">
        <v>7172031003001200</v>
      </c>
      <c r="C420">
        <v>28</v>
      </c>
      <c r="D420">
        <v>2</v>
      </c>
      <c r="E420">
        <v>0</v>
      </c>
      <c r="F420">
        <v>0</v>
      </c>
      <c r="G420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region_summary__39[[#This Row],[APPROVED BY Pengawas]]+region_summary__39[[#This Row],[EDITED BY Admin Kabupaten]]</f>
        <v>2</v>
      </c>
    </row>
    <row r="421" spans="1:13" x14ac:dyDescent="0.25">
      <c r="A421" s="4" t="s">
        <v>119</v>
      </c>
      <c r="B421">
        <v>7172031005000400</v>
      </c>
      <c r="C421">
        <v>85</v>
      </c>
      <c r="D421">
        <v>61</v>
      </c>
      <c r="E421">
        <v>9</v>
      </c>
      <c r="F421">
        <v>2</v>
      </c>
      <c r="G421">
        <v>13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region_summary__39[[#This Row],[APPROVED BY Pengawas]]+region_summary__39[[#This Row],[EDITED BY Admin Kabupaten]]</f>
        <v>63</v>
      </c>
    </row>
    <row r="422" spans="1:13" x14ac:dyDescent="0.25">
      <c r="A422" s="4" t="s">
        <v>119</v>
      </c>
      <c r="B422">
        <v>7172031005000500</v>
      </c>
      <c r="C422">
        <v>76</v>
      </c>
      <c r="D422">
        <v>14</v>
      </c>
      <c r="E422">
        <v>8</v>
      </c>
      <c r="F422">
        <v>0</v>
      </c>
      <c r="G422">
        <v>52</v>
      </c>
      <c r="H422">
        <v>0</v>
      </c>
      <c r="I422">
        <v>2</v>
      </c>
      <c r="J422">
        <v>0</v>
      </c>
      <c r="K422">
        <v>0</v>
      </c>
      <c r="L422">
        <v>0</v>
      </c>
      <c r="M422">
        <f>region_summary__39[[#This Row],[APPROVED BY Pengawas]]+region_summary__39[[#This Row],[EDITED BY Admin Kabupaten]]</f>
        <v>14</v>
      </c>
    </row>
    <row r="423" spans="1:13" x14ac:dyDescent="0.25">
      <c r="A423" s="4" t="s">
        <v>119</v>
      </c>
      <c r="B423">
        <v>7172031005001200</v>
      </c>
      <c r="C423">
        <v>73</v>
      </c>
      <c r="D423">
        <v>16</v>
      </c>
      <c r="E423">
        <v>0</v>
      </c>
      <c r="F423">
        <v>0</v>
      </c>
      <c r="G423">
        <v>57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region_summary__39[[#This Row],[APPROVED BY Pengawas]]+region_summary__39[[#This Row],[EDITED BY Admin Kabupaten]]</f>
        <v>16</v>
      </c>
    </row>
    <row r="424" spans="1:13" x14ac:dyDescent="0.25">
      <c r="A424" s="4" t="s">
        <v>119</v>
      </c>
      <c r="B424">
        <v>7172031005000900</v>
      </c>
      <c r="C424">
        <v>60</v>
      </c>
      <c r="D424">
        <v>10</v>
      </c>
      <c r="E424">
        <v>0</v>
      </c>
      <c r="F424">
        <v>0</v>
      </c>
      <c r="G424">
        <v>50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region_summary__39[[#This Row],[APPROVED BY Pengawas]]+region_summary__39[[#This Row],[EDITED BY Admin Kabupaten]]</f>
        <v>10</v>
      </c>
    </row>
    <row r="425" spans="1:13" x14ac:dyDescent="0.25">
      <c r="A425" s="4" t="s">
        <v>119</v>
      </c>
      <c r="B425">
        <v>7172031005000300</v>
      </c>
      <c r="C425">
        <v>53</v>
      </c>
      <c r="D425">
        <v>38</v>
      </c>
      <c r="E425">
        <v>5</v>
      </c>
      <c r="F425">
        <v>7</v>
      </c>
      <c r="G425">
        <v>3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region_summary__39[[#This Row],[APPROVED BY Pengawas]]+region_summary__39[[#This Row],[EDITED BY Admin Kabupaten]]</f>
        <v>45</v>
      </c>
    </row>
    <row r="426" spans="1:13" x14ac:dyDescent="0.25">
      <c r="A426" s="4" t="s">
        <v>119</v>
      </c>
      <c r="B426">
        <v>7172031005000700</v>
      </c>
      <c r="C426">
        <v>50</v>
      </c>
      <c r="D426">
        <v>9</v>
      </c>
      <c r="E426">
        <v>0</v>
      </c>
      <c r="F426">
        <v>0</v>
      </c>
      <c r="G426">
        <v>41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region_summary__39[[#This Row],[APPROVED BY Pengawas]]+region_summary__39[[#This Row],[EDITED BY Admin Kabupaten]]</f>
        <v>9</v>
      </c>
    </row>
    <row r="427" spans="1:13" x14ac:dyDescent="0.25">
      <c r="A427" s="4" t="s">
        <v>119</v>
      </c>
      <c r="B427">
        <v>7172031005000200</v>
      </c>
      <c r="C427">
        <v>48</v>
      </c>
      <c r="D427">
        <v>31</v>
      </c>
      <c r="E427">
        <v>0</v>
      </c>
      <c r="F427">
        <v>4</v>
      </c>
      <c r="G427">
        <v>12</v>
      </c>
      <c r="H427">
        <v>0</v>
      </c>
      <c r="I427">
        <v>0</v>
      </c>
      <c r="J427">
        <v>0</v>
      </c>
      <c r="K427">
        <v>1</v>
      </c>
      <c r="L427">
        <v>0</v>
      </c>
      <c r="M427">
        <f>region_summary__39[[#This Row],[APPROVED BY Pengawas]]+region_summary__39[[#This Row],[EDITED BY Admin Kabupaten]]</f>
        <v>35</v>
      </c>
    </row>
    <row r="428" spans="1:13" x14ac:dyDescent="0.25">
      <c r="A428" s="4" t="s">
        <v>119</v>
      </c>
      <c r="B428">
        <v>7172031005000600</v>
      </c>
      <c r="C428">
        <v>47</v>
      </c>
      <c r="D428">
        <v>26</v>
      </c>
      <c r="E428">
        <v>2</v>
      </c>
      <c r="F428">
        <v>0</v>
      </c>
      <c r="G428">
        <v>19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region_summary__39[[#This Row],[APPROVED BY Pengawas]]+region_summary__39[[#This Row],[EDITED BY Admin Kabupaten]]</f>
        <v>26</v>
      </c>
    </row>
    <row r="429" spans="1:13" x14ac:dyDescent="0.25">
      <c r="A429" s="4" t="s">
        <v>119</v>
      </c>
      <c r="B429">
        <v>7172031005001700</v>
      </c>
      <c r="C429">
        <v>45</v>
      </c>
      <c r="D429">
        <v>8</v>
      </c>
      <c r="E429">
        <v>0</v>
      </c>
      <c r="F429">
        <v>0</v>
      </c>
      <c r="G429">
        <v>37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region_summary__39[[#This Row],[APPROVED BY Pengawas]]+region_summary__39[[#This Row],[EDITED BY Admin Kabupaten]]</f>
        <v>8</v>
      </c>
    </row>
    <row r="430" spans="1:13" x14ac:dyDescent="0.25">
      <c r="A430" s="4" t="s">
        <v>119</v>
      </c>
      <c r="B430">
        <v>7172031005001000</v>
      </c>
      <c r="C430">
        <v>41</v>
      </c>
      <c r="D430">
        <v>8</v>
      </c>
      <c r="E430">
        <v>0</v>
      </c>
      <c r="F430">
        <v>0</v>
      </c>
      <c r="G430">
        <v>33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region_summary__39[[#This Row],[APPROVED BY Pengawas]]+region_summary__39[[#This Row],[EDITED BY Admin Kabupaten]]</f>
        <v>8</v>
      </c>
    </row>
    <row r="431" spans="1:13" x14ac:dyDescent="0.25">
      <c r="A431" s="4" t="s">
        <v>119</v>
      </c>
      <c r="B431">
        <v>7172031005000100</v>
      </c>
      <c r="C431">
        <v>32</v>
      </c>
      <c r="D431">
        <v>22</v>
      </c>
      <c r="E431">
        <v>1</v>
      </c>
      <c r="F431">
        <v>7</v>
      </c>
      <c r="G431">
        <v>2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region_summary__39[[#This Row],[APPROVED BY Pengawas]]+region_summary__39[[#This Row],[EDITED BY Admin Kabupaten]]</f>
        <v>29</v>
      </c>
    </row>
    <row r="432" spans="1:13" x14ac:dyDescent="0.25">
      <c r="A432" s="4" t="s">
        <v>119</v>
      </c>
      <c r="B432">
        <v>7172031005001100</v>
      </c>
      <c r="C432">
        <v>31</v>
      </c>
      <c r="D432">
        <v>6</v>
      </c>
      <c r="E432">
        <v>0</v>
      </c>
      <c r="F432">
        <v>0</v>
      </c>
      <c r="G432">
        <v>25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region_summary__39[[#This Row],[APPROVED BY Pengawas]]+region_summary__39[[#This Row],[EDITED BY Admin Kabupaten]]</f>
        <v>6</v>
      </c>
    </row>
    <row r="433" spans="1:13" x14ac:dyDescent="0.25">
      <c r="A433" s="4" t="s">
        <v>121</v>
      </c>
      <c r="B433">
        <v>7172031006001100</v>
      </c>
      <c r="C433">
        <v>207</v>
      </c>
      <c r="D433">
        <v>178</v>
      </c>
      <c r="E433">
        <v>3</v>
      </c>
      <c r="F433">
        <v>0</v>
      </c>
      <c r="G433">
        <v>7</v>
      </c>
      <c r="H433">
        <v>0</v>
      </c>
      <c r="I433">
        <v>1</v>
      </c>
      <c r="J433">
        <v>0</v>
      </c>
      <c r="K433">
        <v>18</v>
      </c>
      <c r="L433">
        <v>0</v>
      </c>
      <c r="M433">
        <f>region_summary__39[[#This Row],[APPROVED BY Pengawas]]+region_summary__39[[#This Row],[EDITED BY Admin Kabupaten]]</f>
        <v>178</v>
      </c>
    </row>
    <row r="434" spans="1:13" x14ac:dyDescent="0.25">
      <c r="A434" s="4" t="s">
        <v>121</v>
      </c>
      <c r="B434">
        <v>7172031006000500</v>
      </c>
      <c r="C434">
        <v>193</v>
      </c>
      <c r="D434">
        <v>5</v>
      </c>
      <c r="E434">
        <v>13</v>
      </c>
      <c r="F434">
        <v>0</v>
      </c>
      <c r="G434">
        <v>173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region_summary__39[[#This Row],[APPROVED BY Pengawas]]+region_summary__39[[#This Row],[EDITED BY Admin Kabupaten]]</f>
        <v>5</v>
      </c>
    </row>
    <row r="435" spans="1:13" x14ac:dyDescent="0.25">
      <c r="A435" s="4" t="s">
        <v>121</v>
      </c>
      <c r="B435">
        <v>7172031006000600</v>
      </c>
      <c r="C435">
        <v>126</v>
      </c>
      <c r="D435">
        <v>93</v>
      </c>
      <c r="E435">
        <v>19</v>
      </c>
      <c r="F435">
        <v>0</v>
      </c>
      <c r="G435">
        <v>10</v>
      </c>
      <c r="H435">
        <v>0</v>
      </c>
      <c r="I435">
        <v>1</v>
      </c>
      <c r="J435">
        <v>1</v>
      </c>
      <c r="K435">
        <v>2</v>
      </c>
      <c r="L435">
        <v>0</v>
      </c>
      <c r="M435">
        <f>region_summary__39[[#This Row],[APPROVED BY Pengawas]]+region_summary__39[[#This Row],[EDITED BY Admin Kabupaten]]</f>
        <v>93</v>
      </c>
    </row>
    <row r="436" spans="1:13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region_summary__39[[#This Row],[APPROVED BY Pengawas]]+region_summary__39[[#This Row],[EDITED BY Admin Kabupaten]]</f>
        <v>0</v>
      </c>
    </row>
    <row r="437" spans="1:13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region_summary__39[[#This Row],[APPROVED BY Pengawas]]+region_summary__39[[#This Row],[EDITED BY Admin Kabupaten]]</f>
        <v>0</v>
      </c>
    </row>
    <row r="438" spans="1:13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region_summary__39[[#This Row],[APPROVED BY Pengawas]]+region_summary__39[[#This Row],[EDITED BY Admin Kabupaten]]</f>
        <v>0</v>
      </c>
    </row>
    <row r="439" spans="1:13" x14ac:dyDescent="0.25">
      <c r="A439" s="4" t="s">
        <v>125</v>
      </c>
      <c r="B439">
        <v>7172031007000800</v>
      </c>
      <c r="C439">
        <v>133</v>
      </c>
      <c r="D439">
        <v>114</v>
      </c>
      <c r="E439">
        <v>4</v>
      </c>
      <c r="F439">
        <v>0</v>
      </c>
      <c r="G439">
        <v>14</v>
      </c>
      <c r="H439">
        <v>0</v>
      </c>
      <c r="I439">
        <v>1</v>
      </c>
      <c r="J439">
        <v>0</v>
      </c>
      <c r="K439">
        <v>0</v>
      </c>
      <c r="L439">
        <v>0</v>
      </c>
      <c r="M439">
        <f>region_summary__39[[#This Row],[APPROVED BY Pengawas]]+region_summary__39[[#This Row],[EDITED BY Admin Kabupaten]]</f>
        <v>114</v>
      </c>
    </row>
    <row r="440" spans="1:13" x14ac:dyDescent="0.25">
      <c r="A440" s="4" t="s">
        <v>125</v>
      </c>
      <c r="B440">
        <v>7172031007000500</v>
      </c>
      <c r="C440">
        <v>104</v>
      </c>
      <c r="D440">
        <v>87</v>
      </c>
      <c r="E440">
        <v>12</v>
      </c>
      <c r="F440">
        <v>0</v>
      </c>
      <c r="G440">
        <v>0</v>
      </c>
      <c r="H440">
        <v>0</v>
      </c>
      <c r="I440">
        <v>4</v>
      </c>
      <c r="J440">
        <v>0</v>
      </c>
      <c r="K440">
        <v>1</v>
      </c>
      <c r="L440">
        <v>0</v>
      </c>
      <c r="M440">
        <f>region_summary__39[[#This Row],[APPROVED BY Pengawas]]+region_summary__39[[#This Row],[EDITED BY Admin Kabupaten]]</f>
        <v>87</v>
      </c>
    </row>
    <row r="441" spans="1:13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99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region_summary__39[[#This Row],[APPROVED BY Pengawas]]+region_summary__39[[#This Row],[EDITED BY Admin Kabupaten]]</f>
        <v>0</v>
      </c>
    </row>
    <row r="442" spans="1:13" x14ac:dyDescent="0.25">
      <c r="A442" s="4" t="s">
        <v>125</v>
      </c>
      <c r="B442">
        <v>7172031007002500</v>
      </c>
      <c r="C442">
        <v>86</v>
      </c>
      <c r="D442">
        <v>76</v>
      </c>
      <c r="E442">
        <v>6</v>
      </c>
      <c r="F442">
        <v>0</v>
      </c>
      <c r="G442">
        <v>4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region_summary__39[[#This Row],[APPROVED BY Pengawas]]+region_summary__39[[#This Row],[EDITED BY Admin Kabupaten]]</f>
        <v>76</v>
      </c>
    </row>
    <row r="443" spans="1:13" x14ac:dyDescent="0.25">
      <c r="A443" s="4" t="s">
        <v>125</v>
      </c>
      <c r="B443">
        <v>7172031007000400</v>
      </c>
      <c r="C443">
        <v>74</v>
      </c>
      <c r="D443">
        <v>24</v>
      </c>
      <c r="E443">
        <v>7</v>
      </c>
      <c r="F443">
        <v>0</v>
      </c>
      <c r="G443">
        <v>35</v>
      </c>
      <c r="H443">
        <v>0</v>
      </c>
      <c r="I443">
        <v>0</v>
      </c>
      <c r="J443">
        <v>0</v>
      </c>
      <c r="K443">
        <v>8</v>
      </c>
      <c r="L443">
        <v>0</v>
      </c>
      <c r="M443">
        <f>region_summary__39[[#This Row],[APPROVED BY Pengawas]]+region_summary__39[[#This Row],[EDITED BY Admin Kabupaten]]</f>
        <v>24</v>
      </c>
    </row>
    <row r="444" spans="1:13" x14ac:dyDescent="0.25">
      <c r="A444" s="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region_summary__39[[#This Row],[APPROVED BY Pengawas]]+region_summary__39[[#This Row],[EDITED BY Admin Kabupaten]]</f>
        <v>34</v>
      </c>
    </row>
    <row r="445" spans="1:13" x14ac:dyDescent="0.25">
      <c r="A445" s="4" t="s">
        <v>126</v>
      </c>
      <c r="B445">
        <v>7172031007000600</v>
      </c>
      <c r="C445">
        <v>185</v>
      </c>
      <c r="D445">
        <v>179</v>
      </c>
      <c r="E445">
        <v>3</v>
      </c>
      <c r="F445">
        <v>0</v>
      </c>
      <c r="G445">
        <v>0</v>
      </c>
      <c r="H445">
        <v>0</v>
      </c>
      <c r="I445">
        <v>1</v>
      </c>
      <c r="J445">
        <v>0</v>
      </c>
      <c r="K445">
        <v>2</v>
      </c>
      <c r="L445">
        <v>0</v>
      </c>
      <c r="M445">
        <f>region_summary__39[[#This Row],[APPROVED BY Pengawas]]+region_summary__39[[#This Row],[EDITED BY Admin Kabupaten]]</f>
        <v>179</v>
      </c>
    </row>
    <row r="446" spans="1:13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region_summary__39[[#This Row],[APPROVED BY Pengawas]]+region_summary__39[[#This Row],[EDITED BY Admin Kabupaten]]</f>
        <v>0</v>
      </c>
    </row>
    <row r="447" spans="1:13" x14ac:dyDescent="0.25">
      <c r="A447" s="4" t="s">
        <v>126</v>
      </c>
      <c r="B447">
        <v>7172031007000700</v>
      </c>
      <c r="C447">
        <v>116</v>
      </c>
      <c r="D447">
        <v>90</v>
      </c>
      <c r="E447">
        <v>8</v>
      </c>
      <c r="F447">
        <v>0</v>
      </c>
      <c r="G447">
        <v>13</v>
      </c>
      <c r="H447">
        <v>0</v>
      </c>
      <c r="I447">
        <v>0</v>
      </c>
      <c r="J447">
        <v>1</v>
      </c>
      <c r="K447">
        <v>4</v>
      </c>
      <c r="L447">
        <v>0</v>
      </c>
      <c r="M447">
        <f>region_summary__39[[#This Row],[APPROVED BY Pengawas]]+region_summary__39[[#This Row],[EDITED BY Admin Kabupaten]]</f>
        <v>90</v>
      </c>
    </row>
    <row r="448" spans="1:13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0</v>
      </c>
      <c r="G448">
        <v>94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region_summary__39[[#This Row],[APPROVED BY Pengawas]]+region_summary__39[[#This Row],[EDITED BY Admin Kabupaten]]</f>
        <v>0</v>
      </c>
    </row>
    <row r="449" spans="1:13" x14ac:dyDescent="0.25">
      <c r="A449" s="4" t="s">
        <v>126</v>
      </c>
      <c r="B449">
        <v>7172031007000900</v>
      </c>
      <c r="C449">
        <v>92</v>
      </c>
      <c r="D449">
        <v>2</v>
      </c>
      <c r="E449">
        <v>0</v>
      </c>
      <c r="F449">
        <v>0</v>
      </c>
      <c r="G449">
        <v>90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region_summary__39[[#This Row],[APPROVED BY Pengawas]]+region_summary__39[[#This Row],[EDITED BY Admin Kabupaten]]</f>
        <v>2</v>
      </c>
    </row>
    <row r="450" spans="1:13" x14ac:dyDescent="0.25">
      <c r="A450" s="4" t="s">
        <v>126</v>
      </c>
      <c r="B450">
        <v>7172031007001100</v>
      </c>
      <c r="C450">
        <v>54</v>
      </c>
      <c r="D450">
        <v>1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region_summary__39[[#This Row],[APPROVED BY Pengawas]]+region_summary__39[[#This Row],[EDITED BY Admin Kabupaten]]</f>
        <v>1</v>
      </c>
    </row>
    <row r="451" spans="1:13" x14ac:dyDescent="0.25">
      <c r="A451" s="4" t="s">
        <v>123</v>
      </c>
      <c r="B451">
        <v>7172031007002700</v>
      </c>
      <c r="C451">
        <v>182</v>
      </c>
      <c r="D451">
        <v>154</v>
      </c>
      <c r="E451">
        <v>3</v>
      </c>
      <c r="F451">
        <v>23</v>
      </c>
      <c r="G451">
        <v>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region_summary__39[[#This Row],[APPROVED BY Pengawas]]+region_summary__39[[#This Row],[EDITED BY Admin Kabupaten]]</f>
        <v>177</v>
      </c>
    </row>
    <row r="452" spans="1:13" x14ac:dyDescent="0.25">
      <c r="A452" s="4" t="s">
        <v>123</v>
      </c>
      <c r="B452">
        <v>7172031006000800</v>
      </c>
      <c r="C452">
        <v>130</v>
      </c>
      <c r="D452">
        <v>25</v>
      </c>
      <c r="E452">
        <v>0</v>
      </c>
      <c r="F452">
        <v>0</v>
      </c>
      <c r="G452">
        <v>105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region_summary__39[[#This Row],[APPROVED BY Pengawas]]+region_summary__39[[#This Row],[EDITED BY Admin Kabupaten]]</f>
        <v>25</v>
      </c>
    </row>
    <row r="453" spans="1:13" x14ac:dyDescent="0.25">
      <c r="A453" s="4" t="s">
        <v>123</v>
      </c>
      <c r="B453">
        <v>7172031007000300</v>
      </c>
      <c r="C453">
        <v>99</v>
      </c>
      <c r="D453">
        <v>6</v>
      </c>
      <c r="E453">
        <v>0</v>
      </c>
      <c r="F453">
        <v>0</v>
      </c>
      <c r="G453">
        <v>93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region_summary__39[[#This Row],[APPROVED BY Pengawas]]+region_summary__39[[#This Row],[EDITED BY Admin Kabupaten]]</f>
        <v>6</v>
      </c>
    </row>
    <row r="454" spans="1:13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86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region_summary__39[[#This Row],[APPROVED BY Pengawas]]+region_summary__39[[#This Row],[EDITED BY Admin Kabupaten]]</f>
        <v>3</v>
      </c>
    </row>
    <row r="455" spans="1:13" x14ac:dyDescent="0.25">
      <c r="A455" s="4" t="s">
        <v>123</v>
      </c>
      <c r="B455">
        <v>7172031008000100</v>
      </c>
      <c r="C455">
        <v>84</v>
      </c>
      <c r="D455">
        <v>33</v>
      </c>
      <c r="E455">
        <v>4</v>
      </c>
      <c r="F455">
        <v>11</v>
      </c>
      <c r="G455">
        <v>35</v>
      </c>
      <c r="H455">
        <v>0</v>
      </c>
      <c r="I455">
        <v>1</v>
      </c>
      <c r="J455">
        <v>0</v>
      </c>
      <c r="K455">
        <v>0</v>
      </c>
      <c r="L455">
        <v>0</v>
      </c>
      <c r="M455">
        <f>region_summary__39[[#This Row],[APPROVED BY Pengawas]]+region_summary__39[[#This Row],[EDITED BY Admin Kabupaten]]</f>
        <v>44</v>
      </c>
    </row>
    <row r="456" spans="1:13" x14ac:dyDescent="0.25">
      <c r="A456" s="4" t="s">
        <v>123</v>
      </c>
      <c r="B456">
        <v>7172031007002800</v>
      </c>
      <c r="C456">
        <v>51</v>
      </c>
      <c r="D456">
        <v>17</v>
      </c>
      <c r="E456">
        <v>2</v>
      </c>
      <c r="F456">
        <v>0</v>
      </c>
      <c r="G456">
        <v>32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region_summary__39[[#This Row],[APPROVED BY Pengawas]]+region_summary__39[[#This Row],[EDITED BY Admin Kabupaten]]</f>
        <v>17</v>
      </c>
    </row>
    <row r="457" spans="1:13" x14ac:dyDescent="0.25">
      <c r="A457" s="4" t="s">
        <v>128</v>
      </c>
      <c r="B457">
        <v>7172031007001900</v>
      </c>
      <c r="C457">
        <v>160</v>
      </c>
      <c r="D457">
        <v>117</v>
      </c>
      <c r="E457">
        <v>38</v>
      </c>
      <c r="F457">
        <v>0</v>
      </c>
      <c r="G457">
        <v>2</v>
      </c>
      <c r="H457">
        <v>0</v>
      </c>
      <c r="I457">
        <v>0</v>
      </c>
      <c r="J457">
        <v>3</v>
      </c>
      <c r="K457">
        <v>0</v>
      </c>
      <c r="L457">
        <v>0</v>
      </c>
      <c r="M457">
        <f>region_summary__39[[#This Row],[APPROVED BY Pengawas]]+region_summary__39[[#This Row],[EDITED BY Admin Kabupaten]]</f>
        <v>117</v>
      </c>
    </row>
    <row r="458" spans="1:13" x14ac:dyDescent="0.25">
      <c r="A458" s="4" t="s">
        <v>128</v>
      </c>
      <c r="B458">
        <v>7172031007002200</v>
      </c>
      <c r="C458">
        <v>120</v>
      </c>
      <c r="D458">
        <v>14</v>
      </c>
      <c r="E458">
        <v>0</v>
      </c>
      <c r="F458">
        <v>0</v>
      </c>
      <c r="G458">
        <v>106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region_summary__39[[#This Row],[APPROVED BY Pengawas]]+region_summary__39[[#This Row],[EDITED BY Admin Kabupaten]]</f>
        <v>14</v>
      </c>
    </row>
    <row r="459" spans="1:13" x14ac:dyDescent="0.25">
      <c r="A459" s="4" t="s">
        <v>128</v>
      </c>
      <c r="B459">
        <v>7172031007002100</v>
      </c>
      <c r="C459">
        <v>101</v>
      </c>
      <c r="D459">
        <v>33</v>
      </c>
      <c r="E459">
        <v>1</v>
      </c>
      <c r="F459">
        <v>0</v>
      </c>
      <c r="G459">
        <v>67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region_summary__39[[#This Row],[APPROVED BY Pengawas]]+region_summary__39[[#This Row],[EDITED BY Admin Kabupaten]]</f>
        <v>33</v>
      </c>
    </row>
    <row r="460" spans="1:13" x14ac:dyDescent="0.25">
      <c r="A460" s="4" t="s">
        <v>128</v>
      </c>
      <c r="B460">
        <v>7172031007001500</v>
      </c>
      <c r="C460">
        <v>92</v>
      </c>
      <c r="D460">
        <v>90</v>
      </c>
      <c r="E460">
        <v>1</v>
      </c>
      <c r="F460">
        <v>0</v>
      </c>
      <c r="G460">
        <v>0</v>
      </c>
      <c r="H460">
        <v>0</v>
      </c>
      <c r="I460">
        <v>0</v>
      </c>
      <c r="J460">
        <v>1</v>
      </c>
      <c r="K460">
        <v>0</v>
      </c>
      <c r="L460">
        <v>0</v>
      </c>
      <c r="M460">
        <f>region_summary__39[[#This Row],[APPROVED BY Pengawas]]+region_summary__39[[#This Row],[EDITED BY Admin Kabupaten]]</f>
        <v>90</v>
      </c>
    </row>
    <row r="461" spans="1:13" x14ac:dyDescent="0.25">
      <c r="A461" s="4" t="s">
        <v>128</v>
      </c>
      <c r="B461">
        <v>7172031007002400</v>
      </c>
      <c r="C461">
        <v>78</v>
      </c>
      <c r="D461">
        <v>0</v>
      </c>
      <c r="E461">
        <v>10</v>
      </c>
      <c r="F461">
        <v>0</v>
      </c>
      <c r="G461">
        <v>68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region_summary__39[[#This Row],[APPROVED BY Pengawas]]+region_summary__39[[#This Row],[EDITED BY Admin Kabupaten]]</f>
        <v>0</v>
      </c>
    </row>
    <row r="462" spans="1:13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region_summary__39[[#This Row],[APPROVED BY Pengawas]]+region_summary__39[[#This Row],[EDITED BY Admin Kabupaten]]</f>
        <v>0</v>
      </c>
    </row>
    <row r="463" spans="1:13" x14ac:dyDescent="0.25">
      <c r="A463" s="4" t="s">
        <v>134</v>
      </c>
      <c r="B463">
        <v>7172040003001200</v>
      </c>
      <c r="C463">
        <v>215</v>
      </c>
      <c r="D463">
        <v>128</v>
      </c>
      <c r="E463">
        <v>2</v>
      </c>
      <c r="F463">
        <v>0</v>
      </c>
      <c r="G463">
        <v>85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region_summary__39[[#This Row],[APPROVED BY Pengawas]]+region_summary__39[[#This Row],[EDITED BY Admin Kabupaten]]</f>
        <v>128</v>
      </c>
    </row>
    <row r="464" spans="1:13" x14ac:dyDescent="0.25">
      <c r="A464" s="4" t="s">
        <v>134</v>
      </c>
      <c r="B464">
        <v>7172040003001000</v>
      </c>
      <c r="C464">
        <v>142</v>
      </c>
      <c r="D464">
        <v>139</v>
      </c>
      <c r="E464">
        <v>2</v>
      </c>
      <c r="F464">
        <v>0</v>
      </c>
      <c r="G464">
        <v>1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region_summary__39[[#This Row],[APPROVED BY Pengawas]]+region_summary__39[[#This Row],[EDITED BY Admin Kabupaten]]</f>
        <v>139</v>
      </c>
    </row>
    <row r="465" spans="1:13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region_summary__39[[#This Row],[APPROVED BY Pengawas]]+region_summary__39[[#This Row],[EDITED BY Admin Kabupaten]]</f>
        <v>0</v>
      </c>
    </row>
    <row r="466" spans="1:13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region_summary__39[[#This Row],[APPROVED BY Pengawas]]+region_summary__39[[#This Row],[EDITED BY Admin Kabupaten]]</f>
        <v>0</v>
      </c>
    </row>
    <row r="467" spans="1:13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region_summary__39[[#This Row],[APPROVED BY Pengawas]]+region_summary__39[[#This Row],[EDITED BY Admin Kabupaten]]</f>
        <v>0</v>
      </c>
    </row>
    <row r="468" spans="1:13" x14ac:dyDescent="0.25">
      <c r="A468" s="4" t="s">
        <v>131</v>
      </c>
      <c r="B468">
        <v>7172040007000300</v>
      </c>
      <c r="C468">
        <v>100</v>
      </c>
      <c r="D468">
        <v>98</v>
      </c>
      <c r="E468">
        <v>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0</v>
      </c>
      <c r="L468">
        <v>0</v>
      </c>
      <c r="M468">
        <f>region_summary__39[[#This Row],[APPROVED BY Pengawas]]+region_summary__39[[#This Row],[EDITED BY Admin Kabupaten]]</f>
        <v>98</v>
      </c>
    </row>
    <row r="469" spans="1:13" x14ac:dyDescent="0.25">
      <c r="A469" s="4" t="s">
        <v>131</v>
      </c>
      <c r="B469">
        <v>7172040007000100</v>
      </c>
      <c r="C469">
        <v>80</v>
      </c>
      <c r="D469">
        <v>43</v>
      </c>
      <c r="E469">
        <v>3</v>
      </c>
      <c r="F469">
        <v>0</v>
      </c>
      <c r="G469">
        <v>34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region_summary__39[[#This Row],[APPROVED BY Pengawas]]+region_summary__39[[#This Row],[EDITED BY Admin Kabupaten]]</f>
        <v>43</v>
      </c>
    </row>
    <row r="470" spans="1:13" x14ac:dyDescent="0.25">
      <c r="A470" s="4" t="s">
        <v>131</v>
      </c>
      <c r="B470">
        <v>7172040007000200</v>
      </c>
      <c r="C470">
        <v>80</v>
      </c>
      <c r="D470">
        <v>18</v>
      </c>
      <c r="E470">
        <v>0</v>
      </c>
      <c r="F470">
        <v>0</v>
      </c>
      <c r="G470">
        <v>62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region_summary__39[[#This Row],[APPROVED BY Pengawas]]+region_summary__39[[#This Row],[EDITED BY Admin Kabupaten]]</f>
        <v>18</v>
      </c>
    </row>
    <row r="471" spans="1:13" x14ac:dyDescent="0.25">
      <c r="A471" s="4" t="s">
        <v>131</v>
      </c>
      <c r="B471">
        <v>7172040001000900</v>
      </c>
      <c r="C471">
        <v>75</v>
      </c>
      <c r="D471">
        <v>14</v>
      </c>
      <c r="E471">
        <v>0</v>
      </c>
      <c r="F471">
        <v>0</v>
      </c>
      <c r="G471">
        <v>61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region_summary__39[[#This Row],[APPROVED BY Pengawas]]+region_summary__39[[#This Row],[EDITED BY Admin Kabupaten]]</f>
        <v>14</v>
      </c>
    </row>
    <row r="472" spans="1:13" x14ac:dyDescent="0.25">
      <c r="A472" s="4" t="s">
        <v>131</v>
      </c>
      <c r="B472">
        <v>7172040001000600</v>
      </c>
      <c r="C472">
        <v>67</v>
      </c>
      <c r="D472">
        <v>9</v>
      </c>
      <c r="E472">
        <v>0</v>
      </c>
      <c r="F472">
        <v>0</v>
      </c>
      <c r="G472">
        <v>58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region_summary__39[[#This Row],[APPROVED BY Pengawas]]+region_summary__39[[#This Row],[EDITED BY Admin Kabupaten]]</f>
        <v>9</v>
      </c>
    </row>
    <row r="473" spans="1:13" x14ac:dyDescent="0.25">
      <c r="A473" s="4" t="s">
        <v>131</v>
      </c>
      <c r="B473">
        <v>7172040001000700</v>
      </c>
      <c r="C473">
        <v>57</v>
      </c>
      <c r="D473">
        <v>13</v>
      </c>
      <c r="E473">
        <v>1</v>
      </c>
      <c r="F473">
        <v>0</v>
      </c>
      <c r="G473">
        <v>43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region_summary__39[[#This Row],[APPROVED BY Pengawas]]+region_summary__39[[#This Row],[EDITED BY Admin Kabupaten]]</f>
        <v>13</v>
      </c>
    </row>
    <row r="474" spans="1:13" x14ac:dyDescent="0.25">
      <c r="A474" s="4" t="s">
        <v>131</v>
      </c>
      <c r="B474">
        <v>7172040001000500</v>
      </c>
      <c r="C474">
        <v>53</v>
      </c>
      <c r="D474">
        <v>7</v>
      </c>
      <c r="E474">
        <v>0</v>
      </c>
      <c r="F474">
        <v>0</v>
      </c>
      <c r="G474">
        <v>46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region_summary__39[[#This Row],[APPROVED BY Pengawas]]+region_summary__39[[#This Row],[EDITED BY Admin Kabupaten]]</f>
        <v>7</v>
      </c>
    </row>
    <row r="475" spans="1:13" x14ac:dyDescent="0.25">
      <c r="A475" s="4" t="s">
        <v>131</v>
      </c>
      <c r="B475">
        <v>7172040007000400</v>
      </c>
      <c r="C475">
        <v>47</v>
      </c>
      <c r="D475">
        <v>47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region_summary__39[[#This Row],[APPROVED BY Pengawas]]+region_summary__39[[#This Row],[EDITED BY Admin Kabupaten]]</f>
        <v>47</v>
      </c>
    </row>
    <row r="476" spans="1:13" x14ac:dyDescent="0.25">
      <c r="A476" s="4" t="s">
        <v>131</v>
      </c>
      <c r="B476">
        <v>7172040001000800</v>
      </c>
      <c r="C476">
        <v>42</v>
      </c>
      <c r="D476">
        <v>9</v>
      </c>
      <c r="E476">
        <v>1</v>
      </c>
      <c r="F476">
        <v>0</v>
      </c>
      <c r="G476">
        <v>32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region_summary__39[[#This Row],[APPROVED BY Pengawas]]+region_summary__39[[#This Row],[EDITED BY Admin Kabupaten]]</f>
        <v>9</v>
      </c>
    </row>
    <row r="477" spans="1:13" x14ac:dyDescent="0.25">
      <c r="A477" s="4" t="s">
        <v>131</v>
      </c>
      <c r="B477">
        <v>7172040001000400</v>
      </c>
      <c r="C477">
        <v>41</v>
      </c>
      <c r="D477">
        <v>14</v>
      </c>
      <c r="E477">
        <v>0</v>
      </c>
      <c r="F477">
        <v>0</v>
      </c>
      <c r="G477">
        <v>27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region_summary__39[[#This Row],[APPROVED BY Pengawas]]+region_summary__39[[#This Row],[EDITED BY Admin Kabupaten]]</f>
        <v>14</v>
      </c>
    </row>
    <row r="478" spans="1:13" x14ac:dyDescent="0.25">
      <c r="A478" s="4" t="s">
        <v>137</v>
      </c>
      <c r="B478">
        <v>7172040005000200</v>
      </c>
      <c r="C478">
        <v>159</v>
      </c>
      <c r="D478">
        <v>135</v>
      </c>
      <c r="E478">
        <v>3</v>
      </c>
      <c r="F478">
        <v>0</v>
      </c>
      <c r="G478">
        <v>19</v>
      </c>
      <c r="H478">
        <v>0</v>
      </c>
      <c r="I478">
        <v>0</v>
      </c>
      <c r="J478">
        <v>2</v>
      </c>
      <c r="K478">
        <v>0</v>
      </c>
      <c r="L478">
        <v>0</v>
      </c>
      <c r="M478">
        <f>region_summary__39[[#This Row],[APPROVED BY Pengawas]]+region_summary__39[[#This Row],[EDITED BY Admin Kabupaten]]</f>
        <v>135</v>
      </c>
    </row>
    <row r="479" spans="1:13" x14ac:dyDescent="0.25">
      <c r="A479" s="4" t="s">
        <v>137</v>
      </c>
      <c r="B479">
        <v>7172040005001200</v>
      </c>
      <c r="C479">
        <v>78</v>
      </c>
      <c r="D479">
        <v>5</v>
      </c>
      <c r="E479">
        <v>1</v>
      </c>
      <c r="F479">
        <v>0</v>
      </c>
      <c r="G479">
        <v>72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region_summary__39[[#This Row],[APPROVED BY Pengawas]]+region_summary__39[[#This Row],[EDITED BY Admin Kabupaten]]</f>
        <v>5</v>
      </c>
    </row>
    <row r="480" spans="1:13" x14ac:dyDescent="0.25">
      <c r="A480" s="4" t="s">
        <v>137</v>
      </c>
      <c r="B480">
        <v>7172040005000400</v>
      </c>
      <c r="C480">
        <v>72</v>
      </c>
      <c r="D480">
        <v>28</v>
      </c>
      <c r="E480">
        <v>4</v>
      </c>
      <c r="F480">
        <v>0</v>
      </c>
      <c r="G480">
        <v>39</v>
      </c>
      <c r="H480">
        <v>0</v>
      </c>
      <c r="I480">
        <v>1</v>
      </c>
      <c r="J480">
        <v>0</v>
      </c>
      <c r="K480">
        <v>0</v>
      </c>
      <c r="L480">
        <v>0</v>
      </c>
      <c r="M480">
        <f>region_summary__39[[#This Row],[APPROVED BY Pengawas]]+region_summary__39[[#This Row],[EDITED BY Admin Kabupaten]]</f>
        <v>28</v>
      </c>
    </row>
    <row r="481" spans="1:13" x14ac:dyDescent="0.25">
      <c r="A481" s="4" t="s">
        <v>137</v>
      </c>
      <c r="B481">
        <v>7172040005000700</v>
      </c>
      <c r="C481">
        <v>63</v>
      </c>
      <c r="D481">
        <v>58</v>
      </c>
      <c r="E481">
        <v>0</v>
      </c>
      <c r="F481">
        <v>0</v>
      </c>
      <c r="G481">
        <v>5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region_summary__39[[#This Row],[APPROVED BY Pengawas]]+region_summary__39[[#This Row],[EDITED BY Admin Kabupaten]]</f>
        <v>58</v>
      </c>
    </row>
    <row r="482" spans="1:13" x14ac:dyDescent="0.25">
      <c r="A482" s="4" t="s">
        <v>137</v>
      </c>
      <c r="B482">
        <v>7172040005000100</v>
      </c>
      <c r="C482">
        <v>52</v>
      </c>
      <c r="D482">
        <v>5</v>
      </c>
      <c r="E482">
        <v>0</v>
      </c>
      <c r="F482">
        <v>0</v>
      </c>
      <c r="G482">
        <v>47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region_summary__39[[#This Row],[APPROVED BY Pengawas]]+region_summary__39[[#This Row],[EDITED BY Admin Kabupaten]]</f>
        <v>5</v>
      </c>
    </row>
    <row r="483" spans="1:13" x14ac:dyDescent="0.25">
      <c r="A483" s="4" t="s">
        <v>137</v>
      </c>
      <c r="B483">
        <v>7172040005001000</v>
      </c>
      <c r="C483">
        <v>49</v>
      </c>
      <c r="D483">
        <v>42</v>
      </c>
      <c r="E483">
        <v>1</v>
      </c>
      <c r="F483">
        <v>2</v>
      </c>
      <c r="G483">
        <v>4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region_summary__39[[#This Row],[APPROVED BY Pengawas]]+region_summary__39[[#This Row],[EDITED BY Admin Kabupaten]]</f>
        <v>44</v>
      </c>
    </row>
    <row r="484" spans="1:13" x14ac:dyDescent="0.25">
      <c r="A484" s="4" t="s">
        <v>137</v>
      </c>
      <c r="B484">
        <v>7172040005001100</v>
      </c>
      <c r="C484">
        <v>48</v>
      </c>
      <c r="D484">
        <v>1</v>
      </c>
      <c r="E484">
        <v>0</v>
      </c>
      <c r="F484">
        <v>0</v>
      </c>
      <c r="G484">
        <v>47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region_summary__39[[#This Row],[APPROVED BY Pengawas]]+region_summary__39[[#This Row],[EDITED BY Admin Kabupaten]]</f>
        <v>1</v>
      </c>
    </row>
    <row r="485" spans="1:13" x14ac:dyDescent="0.25">
      <c r="A485" s="4" t="s">
        <v>137</v>
      </c>
      <c r="B485">
        <v>7172040005000900</v>
      </c>
      <c r="C485">
        <v>44</v>
      </c>
      <c r="D485">
        <v>2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region_summary__39[[#This Row],[APPROVED BY Pengawas]]+region_summary__39[[#This Row],[EDITED BY Admin Kabupaten]]</f>
        <v>2</v>
      </c>
    </row>
    <row r="486" spans="1:13" x14ac:dyDescent="0.25">
      <c r="A486" s="4" t="s">
        <v>137</v>
      </c>
      <c r="B486">
        <v>7172040005000300</v>
      </c>
      <c r="C486">
        <v>40</v>
      </c>
      <c r="D486">
        <v>1</v>
      </c>
      <c r="E486">
        <v>0</v>
      </c>
      <c r="F486">
        <v>0</v>
      </c>
      <c r="G486">
        <v>39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region_summary__39[[#This Row],[APPROVED BY Pengawas]]+region_summary__39[[#This Row],[EDITED BY Admin Kabupaten]]</f>
        <v>1</v>
      </c>
    </row>
    <row r="487" spans="1:13" x14ac:dyDescent="0.25">
      <c r="A487" s="4" t="s">
        <v>137</v>
      </c>
      <c r="B487">
        <v>7172040005000800</v>
      </c>
      <c r="C487">
        <v>39</v>
      </c>
      <c r="D487">
        <v>3</v>
      </c>
      <c r="E487">
        <v>0</v>
      </c>
      <c r="F487">
        <v>0</v>
      </c>
      <c r="G487">
        <v>36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region_summary__39[[#This Row],[APPROVED BY Pengawas]]+region_summary__39[[#This Row],[EDITED BY Admin Kabupaten]]</f>
        <v>3</v>
      </c>
    </row>
    <row r="488" spans="1:13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region_summary__39[[#This Row],[APPROVED BY Pengawas]]+region_summary__39[[#This Row],[EDITED BY Admin Kabupaten]]</f>
        <v>0</v>
      </c>
    </row>
    <row r="489" spans="1:13" x14ac:dyDescent="0.25">
      <c r="A489" s="4" t="s">
        <v>138</v>
      </c>
      <c r="B489">
        <v>7172040005002001</v>
      </c>
      <c r="C489">
        <v>128</v>
      </c>
      <c r="D489">
        <v>13</v>
      </c>
      <c r="E489">
        <v>1</v>
      </c>
      <c r="F489">
        <v>0</v>
      </c>
      <c r="G489">
        <v>113</v>
      </c>
      <c r="H489">
        <v>0</v>
      </c>
      <c r="I489">
        <v>0</v>
      </c>
      <c r="J489">
        <v>0</v>
      </c>
      <c r="K489">
        <v>1</v>
      </c>
      <c r="L489">
        <v>0</v>
      </c>
      <c r="M489">
        <f>region_summary__39[[#This Row],[APPROVED BY Pengawas]]+region_summary__39[[#This Row],[EDITED BY Admin Kabupaten]]</f>
        <v>13</v>
      </c>
    </row>
    <row r="490" spans="1:13" x14ac:dyDescent="0.25">
      <c r="A490" s="4" t="s">
        <v>138</v>
      </c>
      <c r="B490">
        <v>7172040005001800</v>
      </c>
      <c r="C490">
        <v>125</v>
      </c>
      <c r="D490">
        <v>65</v>
      </c>
      <c r="E490">
        <v>8</v>
      </c>
      <c r="F490">
        <v>0</v>
      </c>
      <c r="G490">
        <v>49</v>
      </c>
      <c r="H490">
        <v>0</v>
      </c>
      <c r="I490">
        <v>0</v>
      </c>
      <c r="J490">
        <v>3</v>
      </c>
      <c r="K490">
        <v>0</v>
      </c>
      <c r="L490">
        <v>0</v>
      </c>
      <c r="M490">
        <f>region_summary__39[[#This Row],[APPROVED BY Pengawas]]+region_summary__39[[#This Row],[EDITED BY Admin Kabupaten]]</f>
        <v>65</v>
      </c>
    </row>
    <row r="491" spans="1:13" x14ac:dyDescent="0.25">
      <c r="A491" s="4" t="s">
        <v>138</v>
      </c>
      <c r="B491">
        <v>7172040005001700</v>
      </c>
      <c r="C491">
        <v>123</v>
      </c>
      <c r="D491">
        <v>56</v>
      </c>
      <c r="E491">
        <v>2</v>
      </c>
      <c r="F491">
        <v>0</v>
      </c>
      <c r="G491">
        <v>65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region_summary__39[[#This Row],[APPROVED BY Pengawas]]+region_summary__39[[#This Row],[EDITED BY Admin Kabupaten]]</f>
        <v>56</v>
      </c>
    </row>
    <row r="492" spans="1:13" x14ac:dyDescent="0.25">
      <c r="A492" s="4" t="s">
        <v>138</v>
      </c>
      <c r="B492">
        <v>7172040005001402</v>
      </c>
      <c r="C492">
        <v>75</v>
      </c>
      <c r="D492">
        <v>40</v>
      </c>
      <c r="E492">
        <v>3</v>
      </c>
      <c r="F492">
        <v>0</v>
      </c>
      <c r="G492">
        <v>29</v>
      </c>
      <c r="H492">
        <v>0</v>
      </c>
      <c r="I492">
        <v>0</v>
      </c>
      <c r="J492">
        <v>1</v>
      </c>
      <c r="K492">
        <v>2</v>
      </c>
      <c r="L492">
        <v>0</v>
      </c>
      <c r="M492">
        <f>region_summary__39[[#This Row],[APPROVED BY Pengawas]]+region_summary__39[[#This Row],[EDITED BY Admin Kabupaten]]</f>
        <v>40</v>
      </c>
    </row>
    <row r="493" spans="1:13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region_summary__39[[#This Row],[APPROVED BY Pengawas]]+region_summary__39[[#This Row],[EDITED BY Admin Kabupaten]]</f>
        <v>0</v>
      </c>
    </row>
    <row r="494" spans="1:13" x14ac:dyDescent="0.25">
      <c r="A494" s="4" t="s">
        <v>138</v>
      </c>
      <c r="B494">
        <v>7172040005001300</v>
      </c>
      <c r="C494">
        <v>56</v>
      </c>
      <c r="D494">
        <v>55</v>
      </c>
      <c r="E494">
        <v>0</v>
      </c>
      <c r="F494">
        <v>0</v>
      </c>
      <c r="G494">
        <v>1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region_summary__39[[#This Row],[APPROVED BY Pengawas]]+region_summary__39[[#This Row],[EDITED BY Admin Kabupaten]]</f>
        <v>55</v>
      </c>
    </row>
    <row r="495" spans="1:13" x14ac:dyDescent="0.25">
      <c r="A495" s="4" t="s">
        <v>138</v>
      </c>
      <c r="B495">
        <v>7172040005001500</v>
      </c>
      <c r="C495">
        <v>56</v>
      </c>
      <c r="D495">
        <v>1</v>
      </c>
      <c r="E495">
        <v>0</v>
      </c>
      <c r="F495">
        <v>0</v>
      </c>
      <c r="G495">
        <v>55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region_summary__39[[#This Row],[APPROVED BY Pengawas]]+region_summary__39[[#This Row],[EDITED BY Admin Kabupaten]]</f>
        <v>1</v>
      </c>
    </row>
    <row r="496" spans="1:13" x14ac:dyDescent="0.25">
      <c r="A496" s="4" t="s">
        <v>141</v>
      </c>
      <c r="B496">
        <v>7172040013000100</v>
      </c>
      <c r="C496">
        <v>138</v>
      </c>
      <c r="D496">
        <v>90</v>
      </c>
      <c r="E496">
        <v>22</v>
      </c>
      <c r="F496">
        <v>0</v>
      </c>
      <c r="G496">
        <v>1</v>
      </c>
      <c r="H496">
        <v>0</v>
      </c>
      <c r="I496">
        <v>25</v>
      </c>
      <c r="J496">
        <v>0</v>
      </c>
      <c r="K496">
        <v>0</v>
      </c>
      <c r="L496">
        <v>0</v>
      </c>
      <c r="M496">
        <f>region_summary__39[[#This Row],[APPROVED BY Pengawas]]+region_summary__39[[#This Row],[EDITED BY Admin Kabupaten]]</f>
        <v>90</v>
      </c>
    </row>
    <row r="497" spans="1:13" x14ac:dyDescent="0.25">
      <c r="A497" s="4" t="s">
        <v>141</v>
      </c>
      <c r="B497">
        <v>7172040013000200</v>
      </c>
      <c r="C497">
        <v>99</v>
      </c>
      <c r="D497">
        <v>74</v>
      </c>
      <c r="E497">
        <v>13</v>
      </c>
      <c r="F497">
        <v>0</v>
      </c>
      <c r="G497">
        <v>5</v>
      </c>
      <c r="H497">
        <v>0</v>
      </c>
      <c r="I497">
        <v>0</v>
      </c>
      <c r="J497">
        <v>0</v>
      </c>
      <c r="K497">
        <v>7</v>
      </c>
      <c r="L497">
        <v>0</v>
      </c>
      <c r="M497">
        <f>region_summary__39[[#This Row],[APPROVED BY Pengawas]]+region_summary__39[[#This Row],[EDITED BY Admin Kabupaten]]</f>
        <v>74</v>
      </c>
    </row>
    <row r="498" spans="1:13" x14ac:dyDescent="0.25">
      <c r="A498" s="4" t="s">
        <v>141</v>
      </c>
      <c r="B498">
        <v>7172040012001200</v>
      </c>
      <c r="C498">
        <v>79</v>
      </c>
      <c r="D498">
        <v>23</v>
      </c>
      <c r="E498">
        <v>2</v>
      </c>
      <c r="F498">
        <v>0</v>
      </c>
      <c r="G498">
        <v>54</v>
      </c>
      <c r="H498">
        <v>0</v>
      </c>
      <c r="I498">
        <v>0</v>
      </c>
      <c r="J498">
        <v>0</v>
      </c>
      <c r="K498">
        <v>0</v>
      </c>
      <c r="L498">
        <v>0</v>
      </c>
      <c r="M498">
        <f>region_summary__39[[#This Row],[APPROVED BY Pengawas]]+region_summary__39[[#This Row],[EDITED BY Admin Kabupaten]]</f>
        <v>23</v>
      </c>
    </row>
    <row r="499" spans="1:13" x14ac:dyDescent="0.25">
      <c r="A499" s="4" t="s">
        <v>141</v>
      </c>
      <c r="B499">
        <v>7172040012001300</v>
      </c>
      <c r="C499">
        <v>55</v>
      </c>
      <c r="D499">
        <v>15</v>
      </c>
      <c r="E499">
        <v>4</v>
      </c>
      <c r="F499">
        <v>0</v>
      </c>
      <c r="G499">
        <v>36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region_summary__39[[#This Row],[APPROVED BY Pengawas]]+region_summary__39[[#This Row],[EDITED BY Admin Kabupaten]]</f>
        <v>15</v>
      </c>
    </row>
    <row r="500" spans="1:13" x14ac:dyDescent="0.25">
      <c r="A500" s="4" t="s">
        <v>141</v>
      </c>
      <c r="B500">
        <v>7172040012001400</v>
      </c>
      <c r="C500">
        <v>53</v>
      </c>
      <c r="D500">
        <v>16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region_summary__39[[#This Row],[APPROVED BY Pengawas]]+region_summary__39[[#This Row],[EDITED BY Admin Kabupaten]]</f>
        <v>16</v>
      </c>
    </row>
    <row r="501" spans="1:13" x14ac:dyDescent="0.25">
      <c r="A501" s="4" t="s">
        <v>141</v>
      </c>
      <c r="B501">
        <v>7172040012000900</v>
      </c>
      <c r="C501">
        <v>49</v>
      </c>
      <c r="D501">
        <v>13</v>
      </c>
      <c r="E501">
        <v>0</v>
      </c>
      <c r="F501">
        <v>0</v>
      </c>
      <c r="G501">
        <v>36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region_summary__39[[#This Row],[APPROVED BY Pengawas]]+region_summary__39[[#This Row],[EDITED BY Admin Kabupaten]]</f>
        <v>13</v>
      </c>
    </row>
    <row r="502" spans="1:13" x14ac:dyDescent="0.25">
      <c r="A502" s="4" t="s">
        <v>141</v>
      </c>
      <c r="B502">
        <v>7172040012001100</v>
      </c>
      <c r="C502">
        <v>40</v>
      </c>
      <c r="D502">
        <v>8</v>
      </c>
      <c r="E502">
        <v>2</v>
      </c>
      <c r="F502">
        <v>0</v>
      </c>
      <c r="G502">
        <v>30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f>region_summary__39[[#This Row],[APPROVED BY Pengawas]]+region_summary__39[[#This Row],[EDITED BY Admin Kabupaten]]</f>
        <v>8</v>
      </c>
    </row>
    <row r="503" spans="1:13" x14ac:dyDescent="0.25">
      <c r="A503" s="4" t="s">
        <v>141</v>
      </c>
      <c r="B503">
        <v>7172040012000700</v>
      </c>
      <c r="C503">
        <v>38</v>
      </c>
      <c r="D503">
        <v>15</v>
      </c>
      <c r="E503">
        <v>0</v>
      </c>
      <c r="F503">
        <v>0</v>
      </c>
      <c r="G503">
        <v>23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region_summary__39[[#This Row],[APPROVED BY Pengawas]]+region_summary__39[[#This Row],[EDITED BY Admin Kabupaten]]</f>
        <v>15</v>
      </c>
    </row>
    <row r="504" spans="1:13" x14ac:dyDescent="0.25">
      <c r="A504" s="4" t="s">
        <v>141</v>
      </c>
      <c r="B504">
        <v>7172040012000800</v>
      </c>
      <c r="C504">
        <v>38</v>
      </c>
      <c r="D504">
        <v>13</v>
      </c>
      <c r="E504">
        <v>0</v>
      </c>
      <c r="F504">
        <v>0</v>
      </c>
      <c r="G504">
        <v>25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region_summary__39[[#This Row],[APPROVED BY Pengawas]]+region_summary__39[[#This Row],[EDITED BY Admin Kabupaten]]</f>
        <v>13</v>
      </c>
    </row>
    <row r="505" spans="1:13" x14ac:dyDescent="0.25">
      <c r="A505" s="4" t="s">
        <v>141</v>
      </c>
      <c r="B505">
        <v>7172040012001000</v>
      </c>
      <c r="C505">
        <v>34</v>
      </c>
      <c r="D505">
        <v>9</v>
      </c>
      <c r="E505">
        <v>1</v>
      </c>
      <c r="F505">
        <v>0</v>
      </c>
      <c r="G505">
        <v>24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region_summary__39[[#This Row],[APPROVED BY Pengawas]]+region_summary__39[[#This Row],[EDITED BY Admin Kabupaten]]</f>
        <v>9</v>
      </c>
    </row>
    <row r="506" spans="1:13" x14ac:dyDescent="0.25">
      <c r="A506" s="4" t="s">
        <v>142</v>
      </c>
      <c r="B506">
        <v>7172040013000600</v>
      </c>
      <c r="C506">
        <v>132</v>
      </c>
      <c r="D506">
        <v>106</v>
      </c>
      <c r="E506">
        <v>10</v>
      </c>
      <c r="F506">
        <v>0</v>
      </c>
      <c r="G506">
        <v>11</v>
      </c>
      <c r="H506">
        <v>0</v>
      </c>
      <c r="I506">
        <v>4</v>
      </c>
      <c r="J506">
        <v>0</v>
      </c>
      <c r="K506">
        <v>1</v>
      </c>
      <c r="L506">
        <v>0</v>
      </c>
      <c r="M506">
        <f>region_summary__39[[#This Row],[APPROVED BY Pengawas]]+region_summary__39[[#This Row],[EDITED BY Admin Kabupaten]]</f>
        <v>106</v>
      </c>
    </row>
    <row r="507" spans="1:13" x14ac:dyDescent="0.25">
      <c r="A507" s="4" t="s">
        <v>142</v>
      </c>
      <c r="B507">
        <v>7172040013000800</v>
      </c>
      <c r="C507">
        <v>89</v>
      </c>
      <c r="D507">
        <v>86</v>
      </c>
      <c r="E507">
        <v>0</v>
      </c>
      <c r="F507">
        <v>0</v>
      </c>
      <c r="G507">
        <v>1</v>
      </c>
      <c r="H507">
        <v>0</v>
      </c>
      <c r="I507">
        <v>2</v>
      </c>
      <c r="J507">
        <v>0</v>
      </c>
      <c r="K507">
        <v>0</v>
      </c>
      <c r="L507">
        <v>0</v>
      </c>
      <c r="M507">
        <f>region_summary__39[[#This Row],[APPROVED BY Pengawas]]+region_summary__39[[#This Row],[EDITED BY Admin Kabupaten]]</f>
        <v>86</v>
      </c>
    </row>
    <row r="508" spans="1:13" x14ac:dyDescent="0.25">
      <c r="A508" s="4" t="s">
        <v>142</v>
      </c>
      <c r="B508">
        <v>7172040013000300</v>
      </c>
      <c r="C508">
        <v>68</v>
      </c>
      <c r="D508">
        <v>4</v>
      </c>
      <c r="E508">
        <v>0</v>
      </c>
      <c r="F508">
        <v>0</v>
      </c>
      <c r="G508">
        <v>64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region_summary__39[[#This Row],[APPROVED BY Pengawas]]+region_summary__39[[#This Row],[EDITED BY Admin Kabupaten]]</f>
        <v>4</v>
      </c>
    </row>
    <row r="509" spans="1:13" x14ac:dyDescent="0.25">
      <c r="A509" s="4" t="s">
        <v>142</v>
      </c>
      <c r="B509">
        <v>7172040013000400</v>
      </c>
      <c r="C509">
        <v>67</v>
      </c>
      <c r="D509">
        <v>8</v>
      </c>
      <c r="E509">
        <v>0</v>
      </c>
      <c r="F509">
        <v>0</v>
      </c>
      <c r="G509">
        <v>59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region_summary__39[[#This Row],[APPROVED BY Pengawas]]+region_summary__39[[#This Row],[EDITED BY Admin Kabupaten]]</f>
        <v>8</v>
      </c>
    </row>
    <row r="510" spans="1:13" x14ac:dyDescent="0.25">
      <c r="A510" s="4" t="s">
        <v>142</v>
      </c>
      <c r="B510">
        <v>7172040013000500</v>
      </c>
      <c r="C510">
        <v>56</v>
      </c>
      <c r="D510">
        <v>39</v>
      </c>
      <c r="E510">
        <v>5</v>
      </c>
      <c r="F510">
        <v>0</v>
      </c>
      <c r="G510">
        <v>11</v>
      </c>
      <c r="H510">
        <v>0</v>
      </c>
      <c r="I510">
        <v>0</v>
      </c>
      <c r="J510">
        <v>0</v>
      </c>
      <c r="K510">
        <v>1</v>
      </c>
      <c r="L510">
        <v>0</v>
      </c>
      <c r="M510">
        <f>region_summary__39[[#This Row],[APPROVED BY Pengawas]]+region_summary__39[[#This Row],[EDITED BY Admin Kabupaten]]</f>
        <v>39</v>
      </c>
    </row>
    <row r="511" spans="1:13" x14ac:dyDescent="0.25">
      <c r="A511" s="4" t="s">
        <v>142</v>
      </c>
      <c r="B511">
        <v>7172040013000900</v>
      </c>
      <c r="C511">
        <v>56</v>
      </c>
      <c r="D511">
        <v>31</v>
      </c>
      <c r="E511">
        <v>2</v>
      </c>
      <c r="F511">
        <v>0</v>
      </c>
      <c r="G511">
        <v>23</v>
      </c>
      <c r="H511">
        <v>0</v>
      </c>
      <c r="I511">
        <v>0</v>
      </c>
      <c r="J511">
        <v>0</v>
      </c>
      <c r="K511">
        <v>0</v>
      </c>
      <c r="L511">
        <v>0</v>
      </c>
      <c r="M511">
        <f>region_summary__39[[#This Row],[APPROVED BY Pengawas]]+region_summary__39[[#This Row],[EDITED BY Admin Kabupaten]]</f>
        <v>31</v>
      </c>
    </row>
    <row r="512" spans="1:13" x14ac:dyDescent="0.25">
      <c r="A512" s="4" t="s">
        <v>142</v>
      </c>
      <c r="B512">
        <v>7172040012001500</v>
      </c>
      <c r="C512">
        <v>55</v>
      </c>
      <c r="D512">
        <v>9</v>
      </c>
      <c r="E512">
        <v>0</v>
      </c>
      <c r="F512">
        <v>0</v>
      </c>
      <c r="G512">
        <v>46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region_summary__39[[#This Row],[APPROVED BY Pengawas]]+region_summary__39[[#This Row],[EDITED BY Admin Kabupaten]]</f>
        <v>9</v>
      </c>
    </row>
    <row r="513" spans="1:13" x14ac:dyDescent="0.25">
      <c r="A513" s="4" t="s">
        <v>142</v>
      </c>
      <c r="B513">
        <v>7172040013000700</v>
      </c>
      <c r="C513">
        <v>52</v>
      </c>
      <c r="D513">
        <v>2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region_summary__39[[#This Row],[APPROVED BY Pengawas]]+region_summary__39[[#This Row],[EDITED BY Admin Kabupaten]]</f>
        <v>2</v>
      </c>
    </row>
    <row r="514" spans="1:13" x14ac:dyDescent="0.25">
      <c r="A514" s="4" t="s">
        <v>142</v>
      </c>
      <c r="B514">
        <v>7172040013001000</v>
      </c>
      <c r="C514">
        <v>48</v>
      </c>
      <c r="D514">
        <v>3</v>
      </c>
      <c r="E514">
        <v>0</v>
      </c>
      <c r="F514">
        <v>0</v>
      </c>
      <c r="G514">
        <v>45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region_summary__39[[#This Row],[APPROVED BY Pengawas]]+region_summary__39[[#This Row],[EDITED BY Admin Kabupaten]]</f>
        <v>3</v>
      </c>
    </row>
    <row r="515" spans="1:13" x14ac:dyDescent="0.25">
      <c r="A515" s="4" t="s">
        <v>142</v>
      </c>
      <c r="B515">
        <v>7172040013001100</v>
      </c>
      <c r="C515">
        <v>48</v>
      </c>
      <c r="D515">
        <v>6</v>
      </c>
      <c r="E515">
        <v>0</v>
      </c>
      <c r="F515">
        <v>0</v>
      </c>
      <c r="G515">
        <v>41</v>
      </c>
      <c r="H515">
        <v>0</v>
      </c>
      <c r="I515">
        <v>0</v>
      </c>
      <c r="J515">
        <v>0</v>
      </c>
      <c r="K515">
        <v>1</v>
      </c>
      <c r="L515">
        <v>0</v>
      </c>
      <c r="M515">
        <f>region_summary__39[[#This Row],[APPROVED BY Pengawas]]+region_summary__39[[#This Row],[EDITED BY Admin Kabupaten]]</f>
        <v>6</v>
      </c>
    </row>
    <row r="516" spans="1:13" x14ac:dyDescent="0.25">
      <c r="A516" s="4" t="s">
        <v>142</v>
      </c>
      <c r="B516">
        <v>7172040013001200</v>
      </c>
      <c r="C516">
        <v>41</v>
      </c>
      <c r="D516">
        <v>2</v>
      </c>
      <c r="E516">
        <v>0</v>
      </c>
      <c r="F516">
        <v>0</v>
      </c>
      <c r="G516">
        <v>39</v>
      </c>
      <c r="H516">
        <v>0</v>
      </c>
      <c r="I516">
        <v>0</v>
      </c>
      <c r="J516">
        <v>0</v>
      </c>
      <c r="K516">
        <v>0</v>
      </c>
      <c r="L516">
        <v>0</v>
      </c>
      <c r="M516">
        <f>region_summary__39[[#This Row],[APPROVED BY Pengawas]]+region_summary__39[[#This Row],[EDITED BY Admin Kabupaten]]</f>
        <v>2</v>
      </c>
    </row>
    <row r="517" spans="1:13" x14ac:dyDescent="0.25">
      <c r="A517" s="4" t="s">
        <v>5</v>
      </c>
      <c r="B517">
        <v>7172010008001300</v>
      </c>
      <c r="C517">
        <v>144</v>
      </c>
      <c r="D517">
        <v>101</v>
      </c>
      <c r="E517">
        <v>3</v>
      </c>
      <c r="F517">
        <v>0</v>
      </c>
      <c r="G517">
        <v>39</v>
      </c>
      <c r="H517">
        <v>0</v>
      </c>
      <c r="I517">
        <v>1</v>
      </c>
      <c r="J517">
        <v>0</v>
      </c>
      <c r="K517">
        <v>0</v>
      </c>
      <c r="L517">
        <v>0</v>
      </c>
      <c r="M517">
        <f>region_summary__39[[#This Row],[APPROVED BY Pengawas]]+region_summary__39[[#This Row],[EDITED BY Admin Kabupaten]]</f>
        <v>101</v>
      </c>
    </row>
    <row r="518" spans="1:13" x14ac:dyDescent="0.25">
      <c r="A518" s="4" t="s">
        <v>5</v>
      </c>
      <c r="B518">
        <v>7172010008001102</v>
      </c>
      <c r="C518">
        <v>120</v>
      </c>
      <c r="D518">
        <v>85</v>
      </c>
      <c r="E518">
        <v>0</v>
      </c>
      <c r="F518">
        <v>0</v>
      </c>
      <c r="G518">
        <v>35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region_summary__39[[#This Row],[APPROVED BY Pengawas]]+region_summary__39[[#This Row],[EDITED BY Admin Kabupaten]]</f>
        <v>85</v>
      </c>
    </row>
    <row r="519" spans="1:13" x14ac:dyDescent="0.25">
      <c r="A519" s="4" t="s">
        <v>5</v>
      </c>
      <c r="B519">
        <v>7172010008001400</v>
      </c>
      <c r="C519">
        <v>116</v>
      </c>
      <c r="D519">
        <v>108</v>
      </c>
      <c r="E519">
        <v>2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region_summary__39[[#This Row],[APPROVED BY Pengawas]]+region_summary__39[[#This Row],[EDITED BY Admin Kabupaten]]</f>
        <v>108</v>
      </c>
    </row>
    <row r="520" spans="1:13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region_summary__39[[#This Row],[APPROVED BY Pengawas]]+region_summary__39[[#This Row],[EDITED BY Admin Kabupaten]]</f>
        <v>0</v>
      </c>
    </row>
    <row r="521" spans="1:13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region_summary__39[[#This Row],[APPROVED BY Pengawas]]+region_summary__39[[#This Row],[EDITED BY Admin Kabupaten]]</f>
        <v>0</v>
      </c>
    </row>
    <row r="522" spans="1:13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region_summary__39[[#This Row],[APPROVED BY Pengawas]]+region_summary__39[[#This Row],[EDITED BY Admin Kabupaten]]</f>
        <v>0</v>
      </c>
    </row>
    <row r="523" spans="1:13" x14ac:dyDescent="0.25">
      <c r="A523" s="4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region_summary__39[[#This Row],[APPROVED BY Pengawas]]+region_summary__39[[#This Row],[EDITED BY Admin Kabupaten]]</f>
        <v>87</v>
      </c>
    </row>
    <row r="524" spans="1:13" x14ac:dyDescent="0.25">
      <c r="A524" s="4" t="s">
        <v>8</v>
      </c>
      <c r="B524">
        <v>7172010009000400</v>
      </c>
      <c r="C524">
        <v>75</v>
      </c>
      <c r="D524">
        <v>69</v>
      </c>
      <c r="E524">
        <v>0</v>
      </c>
      <c r="F524">
        <v>0</v>
      </c>
      <c r="G524">
        <v>6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region_summary__39[[#This Row],[APPROVED BY Pengawas]]+region_summary__39[[#This Row],[EDITED BY Admin Kabupaten]]</f>
        <v>69</v>
      </c>
    </row>
    <row r="525" spans="1:13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region_summary__39[[#This Row],[APPROVED BY Pengawas]]+region_summary__39[[#This Row],[EDITED BY Admin Kabupaten]]</f>
        <v>0</v>
      </c>
    </row>
    <row r="526" spans="1:13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region_summary__39[[#This Row],[APPROVED BY Pengawas]]+region_summary__39[[#This Row],[EDITED BY Admin Kabupaten]]</f>
        <v>0</v>
      </c>
    </row>
    <row r="527" spans="1:13" x14ac:dyDescent="0.25">
      <c r="A527" s="4" t="s">
        <v>8</v>
      </c>
      <c r="B527">
        <v>7172010008001700</v>
      </c>
      <c r="C527">
        <v>55</v>
      </c>
      <c r="D527">
        <v>31</v>
      </c>
      <c r="E527">
        <v>1</v>
      </c>
      <c r="F527">
        <v>0</v>
      </c>
      <c r="G527">
        <v>23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region_summary__39[[#This Row],[APPROVED BY Pengawas]]+region_summary__39[[#This Row],[EDITED BY Admin Kabupaten]]</f>
        <v>31</v>
      </c>
    </row>
    <row r="528" spans="1:13" x14ac:dyDescent="0.25">
      <c r="A528" s="4" t="s">
        <v>8</v>
      </c>
      <c r="B528">
        <v>7172010009000100</v>
      </c>
      <c r="C528">
        <v>52</v>
      </c>
      <c r="D528">
        <v>0</v>
      </c>
      <c r="E528">
        <v>0</v>
      </c>
      <c r="F528">
        <v>0</v>
      </c>
      <c r="G528">
        <v>41</v>
      </c>
      <c r="H528">
        <v>0</v>
      </c>
      <c r="I528">
        <v>0</v>
      </c>
      <c r="J528">
        <v>0</v>
      </c>
      <c r="K528">
        <v>11</v>
      </c>
      <c r="L528">
        <v>0</v>
      </c>
      <c r="M528">
        <f>region_summary__39[[#This Row],[APPROVED BY Pengawas]]+region_summary__39[[#This Row],[EDITED BY Admin Kabupaten]]</f>
        <v>0</v>
      </c>
    </row>
    <row r="529" spans="1:13" x14ac:dyDescent="0.25">
      <c r="A529" s="4" t="s">
        <v>8</v>
      </c>
      <c r="B529">
        <v>7172010008001800</v>
      </c>
      <c r="C529">
        <v>51</v>
      </c>
      <c r="D529">
        <v>50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1</v>
      </c>
      <c r="L529">
        <v>0</v>
      </c>
      <c r="M529">
        <f>region_summary__39[[#This Row],[APPROVED BY Pengawas]]+region_summary__39[[#This Row],[EDITED BY Admin Kabupaten]]</f>
        <v>50</v>
      </c>
    </row>
    <row r="530" spans="1:13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region_summary__39[[#This Row],[APPROVED BY Pengawas]]+region_summary__39[[#This Row],[EDITED BY Admin Kabupaten]]</f>
        <v>0</v>
      </c>
    </row>
    <row r="531" spans="1:13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region_summary__39[[#This Row],[APPROVED BY Pengawas]]+region_summary__39[[#This Row],[EDITED BY Admin Kabupaten]]</f>
        <v>0</v>
      </c>
    </row>
    <row r="532" spans="1:13" x14ac:dyDescent="0.25">
      <c r="A532" s="4" t="s">
        <v>8</v>
      </c>
      <c r="B532">
        <v>7172010009000500</v>
      </c>
      <c r="C532">
        <v>34</v>
      </c>
      <c r="D532">
        <v>29</v>
      </c>
      <c r="E532">
        <v>0</v>
      </c>
      <c r="F532">
        <v>0</v>
      </c>
      <c r="G532">
        <v>5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region_summary__39[[#This Row],[APPROVED BY Pengawas]]+region_summary__39[[#This Row],[EDITED BY Admin Kabupaten]]</f>
        <v>29</v>
      </c>
    </row>
    <row r="533" spans="1:13" x14ac:dyDescent="0.25">
      <c r="A533" s="4" t="s">
        <v>8</v>
      </c>
      <c r="B533">
        <v>7172010008002000</v>
      </c>
      <c r="C533">
        <v>29</v>
      </c>
      <c r="D533">
        <v>0</v>
      </c>
      <c r="E533">
        <v>0</v>
      </c>
      <c r="F533">
        <v>0</v>
      </c>
      <c r="G533">
        <v>29</v>
      </c>
      <c r="H533">
        <v>0</v>
      </c>
      <c r="I533">
        <v>0</v>
      </c>
      <c r="J533">
        <v>0</v>
      </c>
      <c r="K533">
        <v>0</v>
      </c>
      <c r="L533">
        <v>0</v>
      </c>
      <c r="M533">
        <f>region_summary__39[[#This Row],[APPROVED BY Pengawas]]+region_summary__39[[#This Row],[EDITED BY Admin Kabupaten]]</f>
        <v>0</v>
      </c>
    </row>
    <row r="534" spans="1:13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region_summary__39[[#This Row],[APPROVED BY Pengawas]]+region_summary__39[[#This Row],[EDITED BY Admin Kabupaten]]</f>
        <v>0</v>
      </c>
    </row>
    <row r="535" spans="1:13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region_summary__39[[#This Row],[APPROVED BY Pengawas]]+region_summary__39[[#This Row],[EDITED BY Admin Kabupaten]]</f>
        <v>0</v>
      </c>
    </row>
    <row r="536" spans="1:13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region_summary__39[[#This Row],[APPROVED BY Pengawas]]+region_summary__39[[#This Row],[EDITED BY Admin Kabupaten]]</f>
        <v>0</v>
      </c>
    </row>
    <row r="537" spans="1:13" x14ac:dyDescent="0.25">
      <c r="A537" s="4" t="s">
        <v>9</v>
      </c>
      <c r="B537">
        <v>7172010009001100</v>
      </c>
      <c r="C537">
        <v>66</v>
      </c>
      <c r="D537">
        <v>64</v>
      </c>
      <c r="E537">
        <v>1</v>
      </c>
      <c r="F537">
        <v>0</v>
      </c>
      <c r="G537">
        <v>1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region_summary__39[[#This Row],[APPROVED BY Pengawas]]+region_summary__39[[#This Row],[EDITED BY Admin Kabupaten]]</f>
        <v>64</v>
      </c>
    </row>
    <row r="538" spans="1:13" x14ac:dyDescent="0.25">
      <c r="A538" s="4" t="s">
        <v>9</v>
      </c>
      <c r="B538">
        <v>7172010009001300</v>
      </c>
      <c r="C538">
        <v>62</v>
      </c>
      <c r="D538">
        <v>22</v>
      </c>
      <c r="E538">
        <v>1</v>
      </c>
      <c r="F538">
        <v>0</v>
      </c>
      <c r="G538">
        <v>23</v>
      </c>
      <c r="H538">
        <v>0</v>
      </c>
      <c r="I538">
        <v>0</v>
      </c>
      <c r="J538">
        <v>0</v>
      </c>
      <c r="K538">
        <v>16</v>
      </c>
      <c r="L538">
        <v>0</v>
      </c>
      <c r="M538">
        <f>region_summary__39[[#This Row],[APPROVED BY Pengawas]]+region_summary__39[[#This Row],[EDITED BY Admin Kabupaten]]</f>
        <v>22</v>
      </c>
    </row>
    <row r="539" spans="1:13" x14ac:dyDescent="0.25">
      <c r="A539" s="4" t="s">
        <v>9</v>
      </c>
      <c r="B539">
        <v>7172010009001000</v>
      </c>
      <c r="C539">
        <v>60</v>
      </c>
      <c r="D539">
        <v>52</v>
      </c>
      <c r="E539">
        <v>1</v>
      </c>
      <c r="F539">
        <v>0</v>
      </c>
      <c r="G539">
        <v>7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region_summary__39[[#This Row],[APPROVED BY Pengawas]]+region_summary__39[[#This Row],[EDITED BY Admin Kabupaten]]</f>
        <v>52</v>
      </c>
    </row>
    <row r="540" spans="1:13" x14ac:dyDescent="0.25">
      <c r="A540" s="4" t="s">
        <v>9</v>
      </c>
      <c r="B540">
        <v>7172010009001200</v>
      </c>
      <c r="C540">
        <v>60</v>
      </c>
      <c r="D540">
        <v>57</v>
      </c>
      <c r="E540">
        <v>2</v>
      </c>
      <c r="F540">
        <v>0</v>
      </c>
      <c r="G540">
        <v>1</v>
      </c>
      <c r="H540">
        <v>0</v>
      </c>
      <c r="I540">
        <v>0</v>
      </c>
      <c r="J540">
        <v>0</v>
      </c>
      <c r="K540">
        <v>0</v>
      </c>
      <c r="L540">
        <v>0</v>
      </c>
      <c r="M540">
        <f>region_summary__39[[#This Row],[APPROVED BY Pengawas]]+region_summary__39[[#This Row],[EDITED BY Admin Kabupaten]]</f>
        <v>57</v>
      </c>
    </row>
    <row r="541" spans="1:13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region_summary__39[[#This Row],[APPROVED BY Pengawas]]+region_summary__39[[#This Row],[EDITED BY Admin Kabupaten]]</f>
        <v>0</v>
      </c>
    </row>
    <row r="542" spans="1:13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f>region_summary__39[[#This Row],[APPROVED BY Pengawas]]+region_summary__39[[#This Row],[EDITED BY Admin Kabupaten]]</f>
        <v>0</v>
      </c>
    </row>
    <row r="543" spans="1:13" x14ac:dyDescent="0.25">
      <c r="A543" s="4" t="s">
        <v>9</v>
      </c>
      <c r="B543">
        <v>7172010009000900</v>
      </c>
      <c r="C543">
        <v>48</v>
      </c>
      <c r="D543">
        <v>45</v>
      </c>
      <c r="E543">
        <v>1</v>
      </c>
      <c r="F543">
        <v>0</v>
      </c>
      <c r="G543">
        <v>2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region_summary__39[[#This Row],[APPROVED BY Pengawas]]+region_summary__39[[#This Row],[EDITED BY Admin Kabupaten]]</f>
        <v>45</v>
      </c>
    </row>
    <row r="544" spans="1:13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0</v>
      </c>
      <c r="G544">
        <v>40</v>
      </c>
      <c r="H544">
        <v>0</v>
      </c>
      <c r="I544">
        <v>0</v>
      </c>
      <c r="J544">
        <v>0</v>
      </c>
      <c r="K544">
        <v>5</v>
      </c>
      <c r="L544">
        <v>0</v>
      </c>
      <c r="M544">
        <f>region_summary__39[[#This Row],[APPROVED BY Pengawas]]+region_summary__39[[#This Row],[EDITED BY Admin Kabupaten]]</f>
        <v>0</v>
      </c>
    </row>
    <row r="545" spans="1:13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44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region_summary__39[[#This Row],[APPROVED BY Pengawas]]+region_summary__39[[#This Row],[EDITED BY Admin Kabupaten]]</f>
        <v>0</v>
      </c>
    </row>
    <row r="546" spans="1:13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42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region_summary__39[[#This Row],[APPROVED BY Pengawas]]+region_summary__39[[#This Row],[EDITED BY Admin Kabupaten]]</f>
        <v>0</v>
      </c>
    </row>
    <row r="547" spans="1:13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region_summary__39[[#This Row],[APPROVED BY Pengawas]]+region_summary__39[[#This Row],[EDITED BY Admin Kabupaten]]</f>
        <v>0</v>
      </c>
    </row>
    <row r="548" spans="1:13" x14ac:dyDescent="0.25">
      <c r="A548" s="4" t="s">
        <v>9</v>
      </c>
      <c r="B548">
        <v>7172010009000800</v>
      </c>
      <c r="C548">
        <v>36</v>
      </c>
      <c r="D548">
        <v>35</v>
      </c>
      <c r="E548">
        <v>0</v>
      </c>
      <c r="F548">
        <v>0</v>
      </c>
      <c r="G548">
        <v>1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region_summary__39[[#This Row],[APPROVED BY Pengawas]]+region_summary__39[[#This Row],[EDITED BY Admin Kabupaten]]</f>
        <v>35</v>
      </c>
    </row>
    <row r="549" spans="1:13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33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region_summary__39[[#This Row],[APPROVED BY Pengawas]]+region_summary__39[[#This Row],[EDITED BY Admin Kabupaten]]</f>
        <v>0</v>
      </c>
    </row>
    <row r="550" spans="1:13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region_summary__39[[#This Row],[APPROVED BY Pengawas]]+region_summary__39[[#This Row],[EDITED BY Admin Kabupaten]]</f>
        <v>0</v>
      </c>
    </row>
    <row r="551" spans="1:13" x14ac:dyDescent="0.25">
      <c r="A551" s="4" t="s">
        <v>11</v>
      </c>
      <c r="B551">
        <v>7172010010000200</v>
      </c>
      <c r="C551">
        <v>132</v>
      </c>
      <c r="D551">
        <v>127</v>
      </c>
      <c r="E551">
        <v>2</v>
      </c>
      <c r="F551">
        <v>0</v>
      </c>
      <c r="G551">
        <v>3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region_summary__39[[#This Row],[APPROVED BY Pengawas]]+region_summary__39[[#This Row],[EDITED BY Admin Kabupaten]]</f>
        <v>127</v>
      </c>
    </row>
    <row r="552" spans="1:13" x14ac:dyDescent="0.25">
      <c r="A552" s="4" t="s">
        <v>11</v>
      </c>
      <c r="B552">
        <v>7172010009002900</v>
      </c>
      <c r="C552">
        <v>104</v>
      </c>
      <c r="D552">
        <v>96</v>
      </c>
      <c r="E552">
        <v>0</v>
      </c>
      <c r="F552">
        <v>0</v>
      </c>
      <c r="G552">
        <v>8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region_summary__39[[#This Row],[APPROVED BY Pengawas]]+region_summary__39[[#This Row],[EDITED BY Admin Kabupaten]]</f>
        <v>96</v>
      </c>
    </row>
    <row r="553" spans="1:13" x14ac:dyDescent="0.25">
      <c r="A553" s="4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region_summary__39[[#This Row],[APPROVED BY Pengawas]]+region_summary__39[[#This Row],[EDITED BY Admin Kabupaten]]</f>
        <v>100</v>
      </c>
    </row>
    <row r="554" spans="1:13" x14ac:dyDescent="0.25">
      <c r="A554" s="4" t="s">
        <v>11</v>
      </c>
      <c r="B554">
        <v>7172010009003000</v>
      </c>
      <c r="C554">
        <v>81</v>
      </c>
      <c r="D554">
        <v>25</v>
      </c>
      <c r="E554">
        <v>6</v>
      </c>
      <c r="F554">
        <v>0</v>
      </c>
      <c r="G554">
        <v>50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region_summary__39[[#This Row],[APPROVED BY Pengawas]]+region_summary__39[[#This Row],[EDITED BY Admin Kabupaten]]</f>
        <v>25</v>
      </c>
    </row>
    <row r="555" spans="1:13" x14ac:dyDescent="0.25">
      <c r="A555" s="4" t="s">
        <v>11</v>
      </c>
      <c r="B555">
        <v>7172010010000100</v>
      </c>
      <c r="C555">
        <v>76</v>
      </c>
      <c r="D555">
        <v>0</v>
      </c>
      <c r="E555">
        <v>0</v>
      </c>
      <c r="F555">
        <v>0</v>
      </c>
      <c r="G555">
        <v>76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region_summary__39[[#This Row],[APPROVED BY Pengawas]]+region_summary__39[[#This Row],[EDITED BY Admin Kabupaten]]</f>
        <v>0</v>
      </c>
    </row>
    <row r="556" spans="1:13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region_summary__39[[#This Row],[APPROVED BY Pengawas]]+region_summary__39[[#This Row],[EDITED BY Admin Kabupaten]]</f>
        <v>0</v>
      </c>
    </row>
    <row r="557" spans="1:13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region_summary__39[[#This Row],[APPROVED BY Pengawas]]+region_summary__39[[#This Row],[EDITED BY Admin Kabupaten]]</f>
        <v>0</v>
      </c>
    </row>
    <row r="558" spans="1:13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region_summary__39[[#This Row],[APPROVED BY Pengawas]]+region_summary__39[[#This Row],[EDITED BY Admin Kabupaten]]</f>
        <v>0</v>
      </c>
    </row>
    <row r="559" spans="1:13" x14ac:dyDescent="0.25">
      <c r="A559" s="4" t="s">
        <v>12</v>
      </c>
      <c r="B559">
        <v>7172010010000600</v>
      </c>
      <c r="C559">
        <v>89</v>
      </c>
      <c r="D559">
        <v>79</v>
      </c>
      <c r="E559">
        <v>0</v>
      </c>
      <c r="F559">
        <v>0</v>
      </c>
      <c r="G559">
        <v>10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region_summary__39[[#This Row],[APPROVED BY Pengawas]]+region_summary__39[[#This Row],[EDITED BY Admin Kabupaten]]</f>
        <v>79</v>
      </c>
    </row>
    <row r="560" spans="1:13" x14ac:dyDescent="0.25">
      <c r="A560" s="4" t="s">
        <v>12</v>
      </c>
      <c r="B560">
        <v>7172010010001500</v>
      </c>
      <c r="C560">
        <v>75</v>
      </c>
      <c r="D560">
        <v>71</v>
      </c>
      <c r="E560">
        <v>0</v>
      </c>
      <c r="F560">
        <v>0</v>
      </c>
      <c r="G560">
        <v>4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region_summary__39[[#This Row],[APPROVED BY Pengawas]]+region_summary__39[[#This Row],[EDITED BY Admin Kabupaten]]</f>
        <v>71</v>
      </c>
    </row>
    <row r="561" spans="1:13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region_summary__39[[#This Row],[APPROVED BY Pengawas]]+region_summary__39[[#This Row],[EDITED BY Admin Kabupaten]]</f>
        <v>0</v>
      </c>
    </row>
    <row r="562" spans="1:13" x14ac:dyDescent="0.25">
      <c r="A562" s="4" t="s">
        <v>12</v>
      </c>
      <c r="B562">
        <v>7172010010000800</v>
      </c>
      <c r="C562">
        <v>65</v>
      </c>
      <c r="D562">
        <v>0</v>
      </c>
      <c r="E562">
        <v>1</v>
      </c>
      <c r="F562">
        <v>0</v>
      </c>
      <c r="G562">
        <v>64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region_summary__39[[#This Row],[APPROVED BY Pengawas]]+region_summary__39[[#This Row],[EDITED BY Admin Kabupaten]]</f>
        <v>0</v>
      </c>
    </row>
    <row r="563" spans="1:13" x14ac:dyDescent="0.25">
      <c r="A563" s="4" t="s">
        <v>12</v>
      </c>
      <c r="B563">
        <v>7172010010000700</v>
      </c>
      <c r="C563">
        <v>64</v>
      </c>
      <c r="D563">
        <v>29</v>
      </c>
      <c r="E563">
        <v>5</v>
      </c>
      <c r="F563">
        <v>0</v>
      </c>
      <c r="G563">
        <v>30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region_summary__39[[#This Row],[APPROVED BY Pengawas]]+region_summary__39[[#This Row],[EDITED BY Admin Kabupaten]]</f>
        <v>29</v>
      </c>
    </row>
    <row r="564" spans="1:13" x14ac:dyDescent="0.25">
      <c r="A564" s="4" t="s">
        <v>12</v>
      </c>
      <c r="B564">
        <v>7172010010001100</v>
      </c>
      <c r="C564">
        <v>53</v>
      </c>
      <c r="D564">
        <v>48</v>
      </c>
      <c r="E564">
        <v>0</v>
      </c>
      <c r="F564">
        <v>0</v>
      </c>
      <c r="G564">
        <v>5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region_summary__39[[#This Row],[APPROVED BY Pengawas]]+region_summary__39[[#This Row],[EDITED BY Admin Kabupaten]]</f>
        <v>48</v>
      </c>
    </row>
    <row r="565" spans="1:13" x14ac:dyDescent="0.25">
      <c r="A565" s="4" t="s">
        <v>12</v>
      </c>
      <c r="B565">
        <v>7172010010001400</v>
      </c>
      <c r="C565">
        <v>53</v>
      </c>
      <c r="D565">
        <v>38</v>
      </c>
      <c r="E565">
        <v>6</v>
      </c>
      <c r="F565">
        <v>0</v>
      </c>
      <c r="G565">
        <v>8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region_summary__39[[#This Row],[APPROVED BY Pengawas]]+region_summary__39[[#This Row],[EDITED BY Admin Kabupaten]]</f>
        <v>38</v>
      </c>
    </row>
    <row r="566" spans="1:13" x14ac:dyDescent="0.25">
      <c r="A566" s="4" t="s">
        <v>12</v>
      </c>
      <c r="B566">
        <v>7172010010001300</v>
      </c>
      <c r="C566">
        <v>49</v>
      </c>
      <c r="D566">
        <v>0</v>
      </c>
      <c r="E566">
        <v>0</v>
      </c>
      <c r="F566">
        <v>0</v>
      </c>
      <c r="G566">
        <v>49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region_summary__39[[#This Row],[APPROVED BY Pengawas]]+region_summary__39[[#This Row],[EDITED BY Admin Kabupaten]]</f>
        <v>0</v>
      </c>
    </row>
    <row r="567" spans="1:13" x14ac:dyDescent="0.25">
      <c r="A567" s="4" t="s">
        <v>12</v>
      </c>
      <c r="B567">
        <v>7172010010001000</v>
      </c>
      <c r="C567">
        <v>32</v>
      </c>
      <c r="D567">
        <v>0</v>
      </c>
      <c r="E567">
        <v>1</v>
      </c>
      <c r="F567">
        <v>0</v>
      </c>
      <c r="G567">
        <v>31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region_summary__39[[#This Row],[APPROVED BY Pengawas]]+region_summary__39[[#This Row],[EDITED BY Admin Kabupaten]]</f>
        <v>0</v>
      </c>
    </row>
    <row r="568" spans="1:13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region_summary__39[[#This Row],[APPROVED BY Pengawas]]+region_summary__39[[#This Row],[EDITED BY Admin Kabupaten]]</f>
        <v>0</v>
      </c>
    </row>
    <row r="569" spans="1:13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region_summary__39[[#This Row],[APPROVED BY Pengawas]]+region_summary__39[[#This Row],[EDITED BY Admin Kabupaten]]</f>
        <v>0</v>
      </c>
    </row>
    <row r="570" spans="1:13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region_summary__39[[#This Row],[APPROVED BY Pengawas]]+region_summary__39[[#This Row],[EDITED BY Admin Kabupaten]]</f>
        <v>0</v>
      </c>
    </row>
    <row r="571" spans="1:13" x14ac:dyDescent="0.25">
      <c r="A571" s="4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region_summary__39[[#This Row],[APPROVED BY Pengawas]]+region_summary__39[[#This Row],[EDITED BY Admin Kabupaten]]</f>
        <v>61</v>
      </c>
    </row>
    <row r="572" spans="1:13" x14ac:dyDescent="0.25">
      <c r="A572" s="4" t="s">
        <v>14</v>
      </c>
      <c r="B572">
        <v>7172010011001800</v>
      </c>
      <c r="C572">
        <v>61</v>
      </c>
      <c r="D572">
        <v>59</v>
      </c>
      <c r="E572">
        <v>0</v>
      </c>
      <c r="F572">
        <v>0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region_summary__39[[#This Row],[APPROVED BY Pengawas]]+region_summary__39[[#This Row],[EDITED BY Admin Kabupaten]]</f>
        <v>59</v>
      </c>
    </row>
    <row r="573" spans="1:13" x14ac:dyDescent="0.25">
      <c r="A573" s="4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region_summary__39[[#This Row],[APPROVED BY Pengawas]]+region_summary__39[[#This Row],[EDITED BY Admin Kabupaten]]</f>
        <v>55</v>
      </c>
    </row>
    <row r="574" spans="1:13" x14ac:dyDescent="0.25">
      <c r="A574" s="4" t="s">
        <v>14</v>
      </c>
      <c r="B574">
        <v>7172010011001400</v>
      </c>
      <c r="C574">
        <v>46</v>
      </c>
      <c r="D574">
        <v>46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region_summary__39[[#This Row],[APPROVED BY Pengawas]]+region_summary__39[[#This Row],[EDITED BY Admin Kabupaten]]</f>
        <v>46</v>
      </c>
    </row>
    <row r="575" spans="1:13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region_summary__39[[#This Row],[APPROVED BY Pengawas]]+region_summary__39[[#This Row],[EDITED BY Admin Kabupaten]]</f>
        <v>0</v>
      </c>
    </row>
    <row r="576" spans="1:13" x14ac:dyDescent="0.25">
      <c r="A576" s="4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region_summary__39[[#This Row],[APPROVED BY Pengawas]]+region_summary__39[[#This Row],[EDITED BY Admin Kabupaten]]</f>
        <v>36</v>
      </c>
    </row>
    <row r="577" spans="1:13" x14ac:dyDescent="0.25">
      <c r="A577" s="4" t="s">
        <v>14</v>
      </c>
      <c r="B577">
        <v>7172010011001700</v>
      </c>
      <c r="C577">
        <v>37</v>
      </c>
      <c r="D577">
        <v>0</v>
      </c>
      <c r="E577">
        <v>0</v>
      </c>
      <c r="F577">
        <v>0</v>
      </c>
      <c r="G577">
        <v>37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region_summary__39[[#This Row],[APPROVED BY Pengawas]]+region_summary__39[[#This Row],[EDITED BY Admin Kabupaten]]</f>
        <v>0</v>
      </c>
    </row>
    <row r="578" spans="1:13" x14ac:dyDescent="0.25">
      <c r="A578" s="4" t="s">
        <v>14</v>
      </c>
      <c r="B578">
        <v>7172010011001500</v>
      </c>
      <c r="C578">
        <v>35</v>
      </c>
      <c r="D578">
        <v>0</v>
      </c>
      <c r="E578">
        <v>0</v>
      </c>
      <c r="F578">
        <v>0</v>
      </c>
      <c r="G578">
        <v>35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region_summary__39[[#This Row],[APPROVED BY Pengawas]]+region_summary__39[[#This Row],[EDITED BY Admin Kabupaten]]</f>
        <v>0</v>
      </c>
    </row>
    <row r="579" spans="1:13" x14ac:dyDescent="0.25">
      <c r="A579" s="4" t="s">
        <v>14</v>
      </c>
      <c r="B579">
        <v>7172010011000900</v>
      </c>
      <c r="C579">
        <v>33</v>
      </c>
      <c r="D579">
        <v>21</v>
      </c>
      <c r="E579">
        <v>0</v>
      </c>
      <c r="F579">
        <v>0</v>
      </c>
      <c r="G579">
        <v>12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region_summary__39[[#This Row],[APPROVED BY Pengawas]]+region_summary__39[[#This Row],[EDITED BY Admin Kabupaten]]</f>
        <v>21</v>
      </c>
    </row>
    <row r="580" spans="1:13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region_summary__39[[#This Row],[APPROVED BY Pengawas]]+region_summary__39[[#This Row],[EDITED BY Admin Kabupaten]]</f>
        <v>0</v>
      </c>
    </row>
    <row r="581" spans="1:13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region_summary__39[[#This Row],[APPROVED BY Pengawas]]+region_summary__39[[#This Row],[EDITED BY Admin Kabupaten]]</f>
        <v>0</v>
      </c>
    </row>
    <row r="582" spans="1:13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region_summary__39[[#This Row],[APPROVED BY Pengawas]]+region_summary__39[[#This Row],[EDITED BY Admin Kabupaten]]</f>
        <v>0</v>
      </c>
    </row>
    <row r="583" spans="1:13" x14ac:dyDescent="0.25">
      <c r="A583" s="4" t="s">
        <v>14</v>
      </c>
      <c r="B583">
        <v>7172010011001300</v>
      </c>
      <c r="C583">
        <v>23</v>
      </c>
      <c r="D583">
        <v>22</v>
      </c>
      <c r="E583">
        <v>0</v>
      </c>
      <c r="F583">
        <v>0</v>
      </c>
      <c r="G583">
        <v>1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region_summary__39[[#This Row],[APPROVED BY Pengawas]]+region_summary__39[[#This Row],[EDITED BY Admin Kabupaten]]</f>
        <v>22</v>
      </c>
    </row>
    <row r="584" spans="1:13" x14ac:dyDescent="0.25">
      <c r="A584" s="4" t="s">
        <v>15</v>
      </c>
      <c r="B584">
        <v>7172010011002200</v>
      </c>
      <c r="C584">
        <v>89</v>
      </c>
      <c r="D584">
        <v>85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region_summary__39[[#This Row],[APPROVED BY Pengawas]]+region_summary__39[[#This Row],[EDITED BY Admin Kabupaten]]</f>
        <v>85</v>
      </c>
    </row>
    <row r="585" spans="1:13" x14ac:dyDescent="0.25">
      <c r="A585" s="4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region_summary__39[[#This Row],[APPROVED BY Pengawas]]+region_summary__39[[#This Row],[EDITED BY Admin Kabupaten]]</f>
        <v>82</v>
      </c>
    </row>
    <row r="586" spans="1:13" x14ac:dyDescent="0.25">
      <c r="A586" s="4" t="s">
        <v>15</v>
      </c>
      <c r="B586">
        <v>7172010012000700</v>
      </c>
      <c r="C586">
        <v>76</v>
      </c>
      <c r="D586">
        <v>75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region_summary__39[[#This Row],[APPROVED BY Pengawas]]+region_summary__39[[#This Row],[EDITED BY Admin Kabupaten]]</f>
        <v>75</v>
      </c>
    </row>
    <row r="587" spans="1:13" x14ac:dyDescent="0.25">
      <c r="A587" s="4" t="s">
        <v>15</v>
      </c>
      <c r="B587">
        <v>7172010012001000</v>
      </c>
      <c r="C587">
        <v>71</v>
      </c>
      <c r="D587">
        <v>63</v>
      </c>
      <c r="E587">
        <v>1</v>
      </c>
      <c r="F587">
        <v>0</v>
      </c>
      <c r="G587">
        <v>7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region_summary__39[[#This Row],[APPROVED BY Pengawas]]+region_summary__39[[#This Row],[EDITED BY Admin Kabupaten]]</f>
        <v>63</v>
      </c>
    </row>
    <row r="588" spans="1:13" x14ac:dyDescent="0.25">
      <c r="A588" s="4" t="s">
        <v>15</v>
      </c>
      <c r="B588">
        <v>7172010012000500</v>
      </c>
      <c r="C588">
        <v>70</v>
      </c>
      <c r="D588">
        <v>59</v>
      </c>
      <c r="E588">
        <v>0</v>
      </c>
      <c r="F588">
        <v>0</v>
      </c>
      <c r="G588">
        <v>11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region_summary__39[[#This Row],[APPROVED BY Pengawas]]+region_summary__39[[#This Row],[EDITED BY Admin Kabupaten]]</f>
        <v>59</v>
      </c>
    </row>
    <row r="589" spans="1:13" x14ac:dyDescent="0.25">
      <c r="A589" s="4" t="s">
        <v>15</v>
      </c>
      <c r="B589">
        <v>7172010012001100</v>
      </c>
      <c r="C589">
        <v>56</v>
      </c>
      <c r="D589">
        <v>0</v>
      </c>
      <c r="E589">
        <v>0</v>
      </c>
      <c r="F589">
        <v>0</v>
      </c>
      <c r="G589">
        <v>56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region_summary__39[[#This Row],[APPROVED BY Pengawas]]+region_summary__39[[#This Row],[EDITED BY Admin Kabupaten]]</f>
        <v>0</v>
      </c>
    </row>
    <row r="590" spans="1:13" x14ac:dyDescent="0.25">
      <c r="A590" s="4" t="s">
        <v>15</v>
      </c>
      <c r="B590">
        <v>7172010012000100</v>
      </c>
      <c r="C590">
        <v>50</v>
      </c>
      <c r="D590">
        <v>41</v>
      </c>
      <c r="E590">
        <v>0</v>
      </c>
      <c r="F590">
        <v>0</v>
      </c>
      <c r="G590">
        <v>9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region_summary__39[[#This Row],[APPROVED BY Pengawas]]+region_summary__39[[#This Row],[EDITED BY Admin Kabupaten]]</f>
        <v>41</v>
      </c>
    </row>
    <row r="591" spans="1:13" x14ac:dyDescent="0.25">
      <c r="A591" s="4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region_summary__39[[#This Row],[APPROVED BY Pengawas]]+region_summary__39[[#This Row],[EDITED BY Admin Kabupaten]]</f>
        <v>48</v>
      </c>
    </row>
    <row r="592" spans="1:13" x14ac:dyDescent="0.25">
      <c r="A592" s="4" t="s">
        <v>15</v>
      </c>
      <c r="B592">
        <v>7172010012000400</v>
      </c>
      <c r="C592">
        <v>38</v>
      </c>
      <c r="D592">
        <v>31</v>
      </c>
      <c r="E592">
        <v>0</v>
      </c>
      <c r="F592">
        <v>0</v>
      </c>
      <c r="G592">
        <v>7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region_summary__39[[#This Row],[APPROVED BY Pengawas]]+region_summary__39[[#This Row],[EDITED BY Admin Kabupaten]]</f>
        <v>31</v>
      </c>
    </row>
    <row r="593" spans="1:13" x14ac:dyDescent="0.25">
      <c r="A593" s="4" t="s">
        <v>15</v>
      </c>
      <c r="B593">
        <v>7172010012000600</v>
      </c>
      <c r="C593">
        <v>37</v>
      </c>
      <c r="D593">
        <v>0</v>
      </c>
      <c r="E593">
        <v>0</v>
      </c>
      <c r="F593">
        <v>0</v>
      </c>
      <c r="G593">
        <v>37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region_summary__39[[#This Row],[APPROVED BY Pengawas]]+region_summary__39[[#This Row],[EDITED BY Admin Kabupaten]]</f>
        <v>0</v>
      </c>
    </row>
    <row r="594" spans="1:13" x14ac:dyDescent="0.25">
      <c r="A594" s="4" t="s">
        <v>15</v>
      </c>
      <c r="B594">
        <v>7172010012001200</v>
      </c>
      <c r="C594">
        <v>36</v>
      </c>
      <c r="D594">
        <v>0</v>
      </c>
      <c r="E594">
        <v>0</v>
      </c>
      <c r="F594">
        <v>0</v>
      </c>
      <c r="G594">
        <v>36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region_summary__39[[#This Row],[APPROVED BY Pengawas]]+region_summary__39[[#This Row],[EDITED BY Admin Kabupaten]]</f>
        <v>0</v>
      </c>
    </row>
    <row r="595" spans="1:13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region_summary__39[[#This Row],[APPROVED BY Pengawas]]+region_summary__39[[#This Row],[EDITED BY Admin Kabupaten]]</f>
        <v>0</v>
      </c>
    </row>
    <row r="596" spans="1:13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region_summary__39[[#This Row],[APPROVED BY Pengawas]]+region_summary__39[[#This Row],[EDITED BY Admin Kabupaten]]</f>
        <v>0</v>
      </c>
    </row>
    <row r="597" spans="1:13" x14ac:dyDescent="0.25">
      <c r="A597" s="4" t="s">
        <v>23</v>
      </c>
      <c r="B597">
        <v>7172010015003200</v>
      </c>
      <c r="C597">
        <v>161</v>
      </c>
      <c r="D597">
        <v>10</v>
      </c>
      <c r="E597">
        <v>0</v>
      </c>
      <c r="F597">
        <v>0</v>
      </c>
      <c r="G597">
        <v>151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region_summary__39[[#This Row],[APPROVED BY Pengawas]]+region_summary__39[[#This Row],[EDITED BY Admin Kabupaten]]</f>
        <v>10</v>
      </c>
    </row>
    <row r="598" spans="1:13" x14ac:dyDescent="0.25">
      <c r="A598" s="4" t="s">
        <v>23</v>
      </c>
      <c r="B598">
        <v>7172010015003100</v>
      </c>
      <c r="C598">
        <v>146</v>
      </c>
      <c r="D598">
        <v>124</v>
      </c>
      <c r="E598">
        <v>4</v>
      </c>
      <c r="F598">
        <v>0</v>
      </c>
      <c r="G598">
        <v>18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region_summary__39[[#This Row],[APPROVED BY Pengawas]]+region_summary__39[[#This Row],[EDITED BY Admin Kabupaten]]</f>
        <v>124</v>
      </c>
    </row>
    <row r="599" spans="1:13" x14ac:dyDescent="0.25">
      <c r="A599" s="4" t="s">
        <v>23</v>
      </c>
      <c r="B599">
        <v>7172010015002700</v>
      </c>
      <c r="C599">
        <v>100</v>
      </c>
      <c r="D599">
        <v>33</v>
      </c>
      <c r="E599">
        <v>1</v>
      </c>
      <c r="F599">
        <v>0</v>
      </c>
      <c r="G599">
        <v>66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region_summary__39[[#This Row],[APPROVED BY Pengawas]]+region_summary__39[[#This Row],[EDITED BY Admin Kabupaten]]</f>
        <v>33</v>
      </c>
    </row>
    <row r="600" spans="1:13" x14ac:dyDescent="0.25">
      <c r="A600" s="4" t="s">
        <v>23</v>
      </c>
      <c r="B600">
        <v>7172010015002900</v>
      </c>
      <c r="C600">
        <v>85</v>
      </c>
      <c r="D600">
        <v>59</v>
      </c>
      <c r="E600">
        <v>1</v>
      </c>
      <c r="F600">
        <v>0</v>
      </c>
      <c r="G600">
        <v>25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region_summary__39[[#This Row],[APPROVED BY Pengawas]]+region_summary__39[[#This Row],[EDITED BY Admin Kabupaten]]</f>
        <v>59</v>
      </c>
    </row>
    <row r="601" spans="1:13" x14ac:dyDescent="0.25">
      <c r="A601" s="4" t="s">
        <v>23</v>
      </c>
      <c r="B601">
        <v>7172010015003000</v>
      </c>
      <c r="C601">
        <v>69</v>
      </c>
      <c r="D601">
        <v>37</v>
      </c>
      <c r="E601">
        <v>6</v>
      </c>
      <c r="F601">
        <v>0</v>
      </c>
      <c r="G601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region_summary__39[[#This Row],[APPROVED BY Pengawas]]+region_summary__39[[#This Row],[EDITED BY Admin Kabupaten]]</f>
        <v>37</v>
      </c>
    </row>
    <row r="602" spans="1:13" x14ac:dyDescent="0.25">
      <c r="A602" s="4" t="s">
        <v>23</v>
      </c>
      <c r="B602">
        <v>7172010015002800</v>
      </c>
      <c r="C602">
        <v>60</v>
      </c>
      <c r="D602">
        <v>36</v>
      </c>
      <c r="E602">
        <v>4</v>
      </c>
      <c r="F602">
        <v>0</v>
      </c>
      <c r="G602">
        <v>20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region_summary__39[[#This Row],[APPROVED BY Pengawas]]+region_summary__39[[#This Row],[EDITED BY Admin Kabupaten]]</f>
        <v>36</v>
      </c>
    </row>
    <row r="603" spans="1:13" x14ac:dyDescent="0.25">
      <c r="A603" s="4" t="s">
        <v>23</v>
      </c>
      <c r="B603">
        <v>7172010015001200</v>
      </c>
      <c r="C603">
        <v>39</v>
      </c>
      <c r="D603">
        <v>19</v>
      </c>
      <c r="E603">
        <v>0</v>
      </c>
      <c r="F603">
        <v>0</v>
      </c>
      <c r="G603">
        <v>20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region_summary__39[[#This Row],[APPROVED BY Pengawas]]+region_summary__39[[#This Row],[EDITED BY Admin Kabupaten]]</f>
        <v>19</v>
      </c>
    </row>
    <row r="604" spans="1:13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region_summary__39[[#This Row],[APPROVED BY Pengawas]]+region_summary__39[[#This Row],[EDITED BY Admin Kabupaten]]</f>
        <v>0</v>
      </c>
    </row>
    <row r="605" spans="1:13" x14ac:dyDescent="0.25">
      <c r="A605" s="4" t="s">
        <v>21</v>
      </c>
      <c r="B605">
        <v>7172010015001600</v>
      </c>
      <c r="C605">
        <v>139</v>
      </c>
      <c r="D605">
        <v>130</v>
      </c>
      <c r="E605">
        <v>0</v>
      </c>
      <c r="F605">
        <v>0</v>
      </c>
      <c r="G605">
        <v>9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region_summary__39[[#This Row],[APPROVED BY Pengawas]]+region_summary__39[[#This Row],[EDITED BY Admin Kabupaten]]</f>
        <v>130</v>
      </c>
    </row>
    <row r="606" spans="1:13" x14ac:dyDescent="0.25">
      <c r="A606" s="4" t="s">
        <v>21</v>
      </c>
      <c r="B606">
        <v>7172010015001500</v>
      </c>
      <c r="C606">
        <v>118</v>
      </c>
      <c r="D606">
        <v>117</v>
      </c>
      <c r="E606">
        <v>0</v>
      </c>
      <c r="F606">
        <v>1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region_summary__39[[#This Row],[APPROVED BY Pengawas]]+region_summary__39[[#This Row],[EDITED BY Admin Kabupaten]]</f>
        <v>118</v>
      </c>
    </row>
    <row r="607" spans="1:13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region_summary__39[[#This Row],[APPROVED BY Pengawas]]+region_summary__39[[#This Row],[EDITED BY Admin Kabupaten]]</f>
        <v>0</v>
      </c>
    </row>
    <row r="608" spans="1:13" x14ac:dyDescent="0.25">
      <c r="A608" s="4" t="s">
        <v>21</v>
      </c>
      <c r="B608">
        <v>7172010015001700</v>
      </c>
      <c r="C608">
        <v>68</v>
      </c>
      <c r="D608">
        <v>67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region_summary__39[[#This Row],[APPROVED BY Pengawas]]+region_summary__39[[#This Row],[EDITED BY Admin Kabupaten]]</f>
        <v>67</v>
      </c>
    </row>
    <row r="609" spans="1:13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region_summary__39[[#This Row],[APPROVED BY Pengawas]]+region_summary__39[[#This Row],[EDITED BY Admin Kabupaten]]</f>
        <v>0</v>
      </c>
    </row>
    <row r="610" spans="1:13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region_summary__39[[#This Row],[APPROVED BY Pengawas]]+region_summary__39[[#This Row],[EDITED BY Admin Kabupaten]]</f>
        <v>0</v>
      </c>
    </row>
    <row r="611" spans="1:13" x14ac:dyDescent="0.25">
      <c r="A611" s="4" t="s">
        <v>7</v>
      </c>
      <c r="B611">
        <v>7172010008001000</v>
      </c>
      <c r="C611">
        <v>197</v>
      </c>
      <c r="D611">
        <v>191</v>
      </c>
      <c r="E611">
        <v>0</v>
      </c>
      <c r="F611">
        <v>0</v>
      </c>
      <c r="G611">
        <v>6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region_summary__39[[#This Row],[APPROVED BY Pengawas]]+region_summary__39[[#This Row],[EDITED BY Admin Kabupaten]]</f>
        <v>191</v>
      </c>
    </row>
    <row r="612" spans="1:13" x14ac:dyDescent="0.25">
      <c r="A612" s="4" t="s">
        <v>7</v>
      </c>
      <c r="B612">
        <v>7172010008001101</v>
      </c>
      <c r="C612">
        <v>178</v>
      </c>
      <c r="D612">
        <v>33</v>
      </c>
      <c r="E612">
        <v>0</v>
      </c>
      <c r="F612">
        <v>0</v>
      </c>
      <c r="G612">
        <v>110</v>
      </c>
      <c r="H612">
        <v>0</v>
      </c>
      <c r="I612">
        <v>0</v>
      </c>
      <c r="J612">
        <v>0</v>
      </c>
      <c r="K612">
        <v>35</v>
      </c>
      <c r="L612">
        <v>0</v>
      </c>
      <c r="M612">
        <f>region_summary__39[[#This Row],[APPROVED BY Pengawas]]+region_summary__39[[#This Row],[EDITED BY Admin Kabupaten]]</f>
        <v>33</v>
      </c>
    </row>
    <row r="613" spans="1:13" x14ac:dyDescent="0.25">
      <c r="A613" s="4" t="s">
        <v>7</v>
      </c>
      <c r="B613">
        <v>7172010008000800</v>
      </c>
      <c r="C613">
        <v>160</v>
      </c>
      <c r="D613">
        <v>159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region_summary__39[[#This Row],[APPROVED BY Pengawas]]+region_summary__39[[#This Row],[EDITED BY Admin Kabupaten]]</f>
        <v>159</v>
      </c>
    </row>
    <row r="614" spans="1:13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region_summary__39[[#This Row],[APPROVED BY Pengawas]]+region_summary__39[[#This Row],[EDITED BY Admin Kabupaten]]</f>
        <v>0</v>
      </c>
    </row>
    <row r="615" spans="1:13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region_summary__39[[#This Row],[APPROVED BY Pengawas]]+region_summary__39[[#This Row],[EDITED BY Admin Kabupaten]]</f>
        <v>0</v>
      </c>
    </row>
    <row r="616" spans="1:13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region_summary__39[[#This Row],[APPROVED BY Pengawas]]+region_summary__39[[#This Row],[EDITED BY Admin Kabupaten]]</f>
        <v>0</v>
      </c>
    </row>
    <row r="617" spans="1:13" x14ac:dyDescent="0.25">
      <c r="A617" s="4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f>region_summary__39[[#This Row],[APPROVED BY Pengawas]]+region_summary__39[[#This Row],[EDITED BY Admin Kabupaten]]</f>
        <v>164</v>
      </c>
    </row>
    <row r="618" spans="1:13" x14ac:dyDescent="0.25">
      <c r="A618" s="4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region_summary__39[[#This Row],[APPROVED BY Pengawas]]+region_summary__39[[#This Row],[EDITED BY Admin Kabupaten]]</f>
        <v>98</v>
      </c>
    </row>
    <row r="619" spans="1:13" x14ac:dyDescent="0.25">
      <c r="A619" s="4" t="s">
        <v>237</v>
      </c>
      <c r="B619">
        <v>7172010017001100</v>
      </c>
      <c r="C619">
        <v>80</v>
      </c>
      <c r="D619">
        <v>9</v>
      </c>
      <c r="E619">
        <v>1</v>
      </c>
      <c r="F619">
        <v>0</v>
      </c>
      <c r="G619">
        <v>70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region_summary__39[[#This Row],[APPROVED BY Pengawas]]+region_summary__39[[#This Row],[EDITED BY Admin Kabupaten]]</f>
        <v>9</v>
      </c>
    </row>
    <row r="620" spans="1:13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region_summary__39[[#This Row],[APPROVED BY Pengawas]]+region_summary__39[[#This Row],[EDITED BY Admin Kabupaten]]</f>
        <v>0</v>
      </c>
    </row>
    <row r="621" spans="1:13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region_summary__39[[#This Row],[APPROVED BY Pengawas]]+region_summary__39[[#This Row],[EDITED BY Admin Kabupaten]]</f>
        <v>0</v>
      </c>
    </row>
    <row r="622" spans="1:13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region_summary__39[[#This Row],[APPROVED BY Pengawas]]+region_summary__39[[#This Row],[EDITED BY Admin Kabupaten]]</f>
        <v>0</v>
      </c>
    </row>
    <row r="623" spans="1:13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region_summary__39[[#This Row],[APPROVED BY Pengawas]]+region_summary__39[[#This Row],[EDITED BY Admin Kabupaten]]</f>
        <v>0</v>
      </c>
    </row>
    <row r="624" spans="1:13" x14ac:dyDescent="0.25">
      <c r="A624" s="4" t="s">
        <v>237</v>
      </c>
      <c r="B624">
        <v>7172010017001000</v>
      </c>
      <c r="C624">
        <v>43</v>
      </c>
      <c r="D624">
        <v>6</v>
      </c>
      <c r="E624">
        <v>4</v>
      </c>
      <c r="F624">
        <v>0</v>
      </c>
      <c r="G624">
        <v>33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region_summary__39[[#This Row],[APPROVED BY Pengawas]]+region_summary__39[[#This Row],[EDITED BY Admin Kabupaten]]</f>
        <v>6</v>
      </c>
    </row>
    <row r="625" spans="1:13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region_summary__39[[#This Row],[APPROVED BY Pengawas]]+region_summary__39[[#This Row],[EDITED BY Admin Kabupaten]]</f>
        <v>0</v>
      </c>
    </row>
    <row r="626" spans="1:13" x14ac:dyDescent="0.25">
      <c r="A626" s="4" t="s">
        <v>27</v>
      </c>
      <c r="B626">
        <v>7172011001000700</v>
      </c>
      <c r="C626">
        <v>178</v>
      </c>
      <c r="D626">
        <v>134</v>
      </c>
      <c r="E626">
        <v>2</v>
      </c>
      <c r="F626">
        <v>4</v>
      </c>
      <c r="G626">
        <v>38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region_summary__39[[#This Row],[APPROVED BY Pengawas]]+region_summary__39[[#This Row],[EDITED BY Admin Kabupaten]]</f>
        <v>138</v>
      </c>
    </row>
    <row r="627" spans="1:13" x14ac:dyDescent="0.25">
      <c r="A627" s="4" t="s">
        <v>27</v>
      </c>
      <c r="B627">
        <v>7172011002000600</v>
      </c>
      <c r="C627">
        <v>176</v>
      </c>
      <c r="D627">
        <v>132</v>
      </c>
      <c r="E627">
        <v>7</v>
      </c>
      <c r="F627">
        <v>8</v>
      </c>
      <c r="G627">
        <v>28</v>
      </c>
      <c r="H627">
        <v>0</v>
      </c>
      <c r="I627">
        <v>0</v>
      </c>
      <c r="J627">
        <v>1</v>
      </c>
      <c r="K627">
        <v>0</v>
      </c>
      <c r="L627">
        <v>0</v>
      </c>
      <c r="M627">
        <f>region_summary__39[[#This Row],[APPROVED BY Pengawas]]+region_summary__39[[#This Row],[EDITED BY Admin Kabupaten]]</f>
        <v>140</v>
      </c>
    </row>
    <row r="628" spans="1:13" x14ac:dyDescent="0.25">
      <c r="A628" s="4" t="s">
        <v>27</v>
      </c>
      <c r="B628">
        <v>7172011002000900</v>
      </c>
      <c r="C628">
        <v>130</v>
      </c>
      <c r="D628">
        <v>57</v>
      </c>
      <c r="E628">
        <v>2</v>
      </c>
      <c r="F628">
        <v>1</v>
      </c>
      <c r="G628">
        <v>70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region_summary__39[[#This Row],[APPROVED BY Pengawas]]+region_summary__39[[#This Row],[EDITED BY Admin Kabupaten]]</f>
        <v>58</v>
      </c>
    </row>
    <row r="629" spans="1:13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region_summary__39[[#This Row],[APPROVED BY Pengawas]]+region_summary__39[[#This Row],[EDITED BY Admin Kabupaten]]</f>
        <v>0</v>
      </c>
    </row>
    <row r="630" spans="1:13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region_summary__39[[#This Row],[APPROVED BY Pengawas]]+region_summary__39[[#This Row],[EDITED BY Admin Kabupaten]]</f>
        <v>0</v>
      </c>
    </row>
    <row r="631" spans="1:13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region_summary__39[[#This Row],[APPROVED BY Pengawas]]+region_summary__39[[#This Row],[EDITED BY Admin Kabupaten]]</f>
        <v>0</v>
      </c>
    </row>
    <row r="632" spans="1:13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region_summary__39[[#This Row],[APPROVED BY Pengawas]]+region_summary__39[[#This Row],[EDITED BY Admin Kabupaten]]</f>
        <v>0</v>
      </c>
    </row>
    <row r="633" spans="1:13" x14ac:dyDescent="0.25">
      <c r="A633" s="4" t="s">
        <v>29</v>
      </c>
      <c r="B633">
        <v>7172011002001600</v>
      </c>
      <c r="C633">
        <v>138</v>
      </c>
      <c r="D633">
        <v>114</v>
      </c>
      <c r="E633">
        <v>3</v>
      </c>
      <c r="F633">
        <v>3</v>
      </c>
      <c r="G633">
        <v>18</v>
      </c>
      <c r="H633">
        <v>0</v>
      </c>
      <c r="I633">
        <v>0</v>
      </c>
      <c r="J633">
        <v>0</v>
      </c>
      <c r="K633">
        <v>0</v>
      </c>
      <c r="L633">
        <v>0</v>
      </c>
      <c r="M633">
        <f>region_summary__39[[#This Row],[APPROVED BY Pengawas]]+region_summary__39[[#This Row],[EDITED BY Admin Kabupaten]]</f>
        <v>117</v>
      </c>
    </row>
    <row r="634" spans="1:13" x14ac:dyDescent="0.25">
      <c r="A634" s="4" t="s">
        <v>29</v>
      </c>
      <c r="B634">
        <v>7172011002001200</v>
      </c>
      <c r="C634">
        <v>118</v>
      </c>
      <c r="D634">
        <v>79</v>
      </c>
      <c r="E634">
        <v>7</v>
      </c>
      <c r="F634">
        <v>1</v>
      </c>
      <c r="G634">
        <v>31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region_summary__39[[#This Row],[APPROVED BY Pengawas]]+region_summary__39[[#This Row],[EDITED BY Admin Kabupaten]]</f>
        <v>80</v>
      </c>
    </row>
    <row r="635" spans="1:13" x14ac:dyDescent="0.25">
      <c r="A635" s="4" t="s">
        <v>29</v>
      </c>
      <c r="B635">
        <v>7172011002001400</v>
      </c>
      <c r="C635">
        <v>93</v>
      </c>
      <c r="D635">
        <v>40</v>
      </c>
      <c r="E635">
        <v>3</v>
      </c>
      <c r="F635">
        <v>0</v>
      </c>
      <c r="G635">
        <v>40</v>
      </c>
      <c r="H635">
        <v>0</v>
      </c>
      <c r="I635">
        <v>0</v>
      </c>
      <c r="J635">
        <v>0</v>
      </c>
      <c r="K635">
        <v>10</v>
      </c>
      <c r="L635">
        <v>0</v>
      </c>
      <c r="M635">
        <f>region_summary__39[[#This Row],[APPROVED BY Pengawas]]+region_summary__39[[#This Row],[EDITED BY Admin Kabupaten]]</f>
        <v>40</v>
      </c>
    </row>
    <row r="636" spans="1:13" x14ac:dyDescent="0.25">
      <c r="A636" s="4" t="s">
        <v>29</v>
      </c>
      <c r="B636">
        <v>7172011011000500</v>
      </c>
      <c r="C636">
        <v>89</v>
      </c>
      <c r="D636">
        <v>79</v>
      </c>
      <c r="E636">
        <v>5</v>
      </c>
      <c r="F636">
        <v>4</v>
      </c>
      <c r="G636">
        <v>0</v>
      </c>
      <c r="H636">
        <v>0</v>
      </c>
      <c r="I636">
        <v>1</v>
      </c>
      <c r="J636">
        <v>0</v>
      </c>
      <c r="K636">
        <v>0</v>
      </c>
      <c r="L636">
        <v>0</v>
      </c>
      <c r="M636">
        <f>region_summary__39[[#This Row],[APPROVED BY Pengawas]]+region_summary__39[[#This Row],[EDITED BY Admin Kabupaten]]</f>
        <v>83</v>
      </c>
    </row>
    <row r="637" spans="1:13" x14ac:dyDescent="0.25">
      <c r="A637" s="4" t="s">
        <v>29</v>
      </c>
      <c r="B637">
        <v>7172011002001500</v>
      </c>
      <c r="C637">
        <v>84</v>
      </c>
      <c r="D637">
        <v>0</v>
      </c>
      <c r="E637">
        <v>1</v>
      </c>
      <c r="F637">
        <v>0</v>
      </c>
      <c r="G637">
        <v>83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region_summary__39[[#This Row],[APPROVED BY Pengawas]]+region_summary__39[[#This Row],[EDITED BY Admin Kabupaten]]</f>
        <v>0</v>
      </c>
    </row>
    <row r="638" spans="1:13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region_summary__39[[#This Row],[APPROVED BY Pengawas]]+region_summary__39[[#This Row],[EDITED BY Admin Kabupaten]]</f>
        <v>0</v>
      </c>
    </row>
    <row r="639" spans="1:13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region_summary__39[[#This Row],[APPROVED BY Pengawas]]+region_summary__39[[#This Row],[EDITED BY Admin Kabupaten]]</f>
        <v>0</v>
      </c>
    </row>
    <row r="640" spans="1:13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region_summary__39[[#This Row],[APPROVED BY Pengawas]]+region_summary__39[[#This Row],[EDITED BY Admin Kabupaten]]</f>
        <v>0</v>
      </c>
    </row>
    <row r="641" spans="1:13" x14ac:dyDescent="0.25">
      <c r="A641" s="4" t="s">
        <v>29</v>
      </c>
      <c r="B641">
        <v>7172011011000200</v>
      </c>
      <c r="C641">
        <v>38</v>
      </c>
      <c r="D641">
        <v>1</v>
      </c>
      <c r="E641">
        <v>0</v>
      </c>
      <c r="F641">
        <v>0</v>
      </c>
      <c r="G641">
        <v>37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region_summary__39[[#This Row],[APPROVED BY Pengawas]]+region_summary__39[[#This Row],[EDITED BY Admin Kabupaten]]</f>
        <v>1</v>
      </c>
    </row>
    <row r="642" spans="1:13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region_summary__39[[#This Row],[APPROVED BY Pengawas]]+region_summary__39[[#This Row],[EDITED BY Admin Kabupaten]]</f>
        <v>0</v>
      </c>
    </row>
    <row r="643" spans="1:13" x14ac:dyDescent="0.25">
      <c r="A643" s="4" t="s">
        <v>30</v>
      </c>
      <c r="B643">
        <v>7172011003001803</v>
      </c>
      <c r="C643">
        <v>166</v>
      </c>
      <c r="D643">
        <v>103</v>
      </c>
      <c r="E643">
        <v>1</v>
      </c>
      <c r="F643">
        <v>0</v>
      </c>
      <c r="G643">
        <v>15</v>
      </c>
      <c r="H643">
        <v>0</v>
      </c>
      <c r="I643">
        <v>3</v>
      </c>
      <c r="J643">
        <v>0</v>
      </c>
      <c r="K643">
        <v>44</v>
      </c>
      <c r="L643">
        <v>0</v>
      </c>
      <c r="M643">
        <f>region_summary__39[[#This Row],[APPROVED BY Pengawas]]+region_summary__39[[#This Row],[EDITED BY Admin Kabupaten]]</f>
        <v>103</v>
      </c>
    </row>
    <row r="644" spans="1:13" x14ac:dyDescent="0.25">
      <c r="A644" s="4" t="s">
        <v>30</v>
      </c>
      <c r="B644">
        <v>7172011003000400</v>
      </c>
      <c r="C644">
        <v>150</v>
      </c>
      <c r="D644">
        <v>67</v>
      </c>
      <c r="E644">
        <v>21</v>
      </c>
      <c r="F644">
        <v>0</v>
      </c>
      <c r="G644">
        <v>61</v>
      </c>
      <c r="H644">
        <v>0</v>
      </c>
      <c r="I644">
        <v>0</v>
      </c>
      <c r="J644">
        <v>0</v>
      </c>
      <c r="K644">
        <v>1</v>
      </c>
      <c r="L644">
        <v>0</v>
      </c>
      <c r="M644">
        <f>region_summary__39[[#This Row],[APPROVED BY Pengawas]]+region_summary__39[[#This Row],[EDITED BY Admin Kabupaten]]</f>
        <v>67</v>
      </c>
    </row>
    <row r="645" spans="1:13" x14ac:dyDescent="0.25">
      <c r="A645" s="4" t="s">
        <v>30</v>
      </c>
      <c r="B645">
        <v>7172011003000700</v>
      </c>
      <c r="C645">
        <v>137</v>
      </c>
      <c r="D645">
        <v>66</v>
      </c>
      <c r="E645">
        <v>9</v>
      </c>
      <c r="F645">
        <v>0</v>
      </c>
      <c r="G645">
        <v>57</v>
      </c>
      <c r="H645">
        <v>0</v>
      </c>
      <c r="I645">
        <v>0</v>
      </c>
      <c r="J645">
        <v>0</v>
      </c>
      <c r="K645">
        <v>5</v>
      </c>
      <c r="L645">
        <v>0</v>
      </c>
      <c r="M645">
        <f>region_summary__39[[#This Row],[APPROVED BY Pengawas]]+region_summary__39[[#This Row],[EDITED BY Admin Kabupaten]]</f>
        <v>66</v>
      </c>
    </row>
    <row r="646" spans="1:13" x14ac:dyDescent="0.25">
      <c r="A646" s="4" t="s">
        <v>30</v>
      </c>
      <c r="B646">
        <v>7172011003000100</v>
      </c>
      <c r="C646">
        <v>121</v>
      </c>
      <c r="D646">
        <v>0</v>
      </c>
      <c r="E646">
        <v>0</v>
      </c>
      <c r="F646">
        <v>0</v>
      </c>
      <c r="G646">
        <v>121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region_summary__39[[#This Row],[APPROVED BY Pengawas]]+region_summary__39[[#This Row],[EDITED BY Admin Kabupaten]]</f>
        <v>0</v>
      </c>
    </row>
    <row r="647" spans="1:13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region_summary__39[[#This Row],[APPROVED BY Pengawas]]+region_summary__39[[#This Row],[EDITED BY Admin Kabupaten]]</f>
        <v>0</v>
      </c>
    </row>
    <row r="648" spans="1:13" x14ac:dyDescent="0.25">
      <c r="A648" s="4" t="s">
        <v>32</v>
      </c>
      <c r="B648">
        <v>7172011003000300</v>
      </c>
      <c r="C648">
        <v>208</v>
      </c>
      <c r="D648">
        <v>178</v>
      </c>
      <c r="E648">
        <v>0</v>
      </c>
      <c r="F648">
        <v>0</v>
      </c>
      <c r="G648">
        <v>30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region_summary__39[[#This Row],[APPROVED BY Pengawas]]+region_summary__39[[#This Row],[EDITED BY Admin Kabupaten]]</f>
        <v>178</v>
      </c>
    </row>
    <row r="649" spans="1:13" x14ac:dyDescent="0.25">
      <c r="A649" s="4" t="s">
        <v>32</v>
      </c>
      <c r="B649">
        <v>7172011003000600</v>
      </c>
      <c r="C649">
        <v>204</v>
      </c>
      <c r="D649">
        <v>85</v>
      </c>
      <c r="E649">
        <v>1</v>
      </c>
      <c r="F649">
        <v>0</v>
      </c>
      <c r="G649">
        <v>118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region_summary__39[[#This Row],[APPROVED BY Pengawas]]+region_summary__39[[#This Row],[EDITED BY Admin Kabupaten]]</f>
        <v>85</v>
      </c>
    </row>
    <row r="650" spans="1:13" x14ac:dyDescent="0.25">
      <c r="A650" s="4" t="s">
        <v>32</v>
      </c>
      <c r="B650">
        <v>7172011003000500</v>
      </c>
      <c r="C650">
        <v>127</v>
      </c>
      <c r="D650">
        <v>0</v>
      </c>
      <c r="E650">
        <v>0</v>
      </c>
      <c r="F650">
        <v>0</v>
      </c>
      <c r="G650">
        <v>124</v>
      </c>
      <c r="H650">
        <v>0</v>
      </c>
      <c r="I650">
        <v>0</v>
      </c>
      <c r="J650">
        <v>0</v>
      </c>
      <c r="K650">
        <v>3</v>
      </c>
      <c r="L650">
        <v>0</v>
      </c>
      <c r="M650">
        <f>region_summary__39[[#This Row],[APPROVED BY Pengawas]]+region_summary__39[[#This Row],[EDITED BY Admin Kabupaten]]</f>
        <v>0</v>
      </c>
    </row>
    <row r="651" spans="1:13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region_summary__39[[#This Row],[APPROVED BY Pengawas]]+region_summary__39[[#This Row],[EDITED BY Admin Kabupaten]]</f>
        <v>0</v>
      </c>
    </row>
    <row r="652" spans="1:13" x14ac:dyDescent="0.25">
      <c r="A652" s="4" t="s">
        <v>33</v>
      </c>
      <c r="B652">
        <v>7172011003003300</v>
      </c>
      <c r="C652">
        <v>124</v>
      </c>
      <c r="D652">
        <v>6</v>
      </c>
      <c r="E652">
        <v>0</v>
      </c>
      <c r="F652">
        <v>0</v>
      </c>
      <c r="G652">
        <v>118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region_summary__39[[#This Row],[APPROVED BY Pengawas]]+region_summary__39[[#This Row],[EDITED BY Admin Kabupaten]]</f>
        <v>6</v>
      </c>
    </row>
    <row r="653" spans="1:13" x14ac:dyDescent="0.25">
      <c r="A653" s="4" t="s">
        <v>33</v>
      </c>
      <c r="B653">
        <v>7172011003003503</v>
      </c>
      <c r="C653">
        <v>123</v>
      </c>
      <c r="D653">
        <v>39</v>
      </c>
      <c r="E653">
        <v>11</v>
      </c>
      <c r="F653">
        <v>0</v>
      </c>
      <c r="G653">
        <v>68</v>
      </c>
      <c r="H653">
        <v>0</v>
      </c>
      <c r="I653">
        <v>5</v>
      </c>
      <c r="J653">
        <v>0</v>
      </c>
      <c r="K653">
        <v>0</v>
      </c>
      <c r="L653">
        <v>0</v>
      </c>
      <c r="M653">
        <f>region_summary__39[[#This Row],[APPROVED BY Pengawas]]+region_summary__39[[#This Row],[EDITED BY Admin Kabupaten]]</f>
        <v>39</v>
      </c>
    </row>
    <row r="654" spans="1:13" x14ac:dyDescent="0.25">
      <c r="A654" s="4" t="s">
        <v>33</v>
      </c>
      <c r="B654">
        <v>7172011014001702</v>
      </c>
      <c r="C654">
        <v>119</v>
      </c>
      <c r="D654">
        <v>116</v>
      </c>
      <c r="E654">
        <v>2</v>
      </c>
      <c r="F654">
        <v>0</v>
      </c>
      <c r="G654">
        <v>0</v>
      </c>
      <c r="H654">
        <v>0</v>
      </c>
      <c r="I654">
        <v>0</v>
      </c>
      <c r="J654">
        <v>1</v>
      </c>
      <c r="K654">
        <v>0</v>
      </c>
      <c r="L654">
        <v>0</v>
      </c>
      <c r="M654">
        <f>region_summary__39[[#This Row],[APPROVED BY Pengawas]]+region_summary__39[[#This Row],[EDITED BY Admin Kabupaten]]</f>
        <v>116</v>
      </c>
    </row>
    <row r="655" spans="1:13" x14ac:dyDescent="0.25">
      <c r="A655" s="4" t="s">
        <v>33</v>
      </c>
      <c r="B655">
        <v>7172011003003200</v>
      </c>
      <c r="C655">
        <v>116</v>
      </c>
      <c r="D655">
        <v>0</v>
      </c>
      <c r="E655">
        <v>0</v>
      </c>
      <c r="F655">
        <v>0</v>
      </c>
      <c r="G655">
        <v>114</v>
      </c>
      <c r="H655">
        <v>0</v>
      </c>
      <c r="I655">
        <v>1</v>
      </c>
      <c r="J655">
        <v>1</v>
      </c>
      <c r="K655">
        <v>0</v>
      </c>
      <c r="L655">
        <v>0</v>
      </c>
      <c r="M655">
        <f>region_summary__39[[#This Row],[APPROVED BY Pengawas]]+region_summary__39[[#This Row],[EDITED BY Admin Kabupaten]]</f>
        <v>0</v>
      </c>
    </row>
    <row r="656" spans="1:13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region_summary__39[[#This Row],[APPROVED BY Pengawas]]+region_summary__39[[#This Row],[EDITED BY Admin Kabupaten]]</f>
        <v>0</v>
      </c>
    </row>
    <row r="657" spans="1:13" x14ac:dyDescent="0.25">
      <c r="A657" s="4" t="s">
        <v>33</v>
      </c>
      <c r="B657">
        <v>7172011003003502</v>
      </c>
      <c r="C657">
        <v>73</v>
      </c>
      <c r="D657">
        <v>67</v>
      </c>
      <c r="E657">
        <v>5</v>
      </c>
      <c r="F657">
        <v>0</v>
      </c>
      <c r="G657">
        <v>0</v>
      </c>
      <c r="H657">
        <v>0</v>
      </c>
      <c r="I657">
        <v>1</v>
      </c>
      <c r="J657">
        <v>0</v>
      </c>
      <c r="K657">
        <v>0</v>
      </c>
      <c r="L657">
        <v>0</v>
      </c>
      <c r="M657">
        <f>region_summary__39[[#This Row],[APPROVED BY Pengawas]]+region_summary__39[[#This Row],[EDITED BY Admin Kabupaten]]</f>
        <v>67</v>
      </c>
    </row>
    <row r="658" spans="1:13" x14ac:dyDescent="0.25">
      <c r="A658" s="4" t="s">
        <v>33</v>
      </c>
      <c r="B658">
        <v>7172011003003400</v>
      </c>
      <c r="C658">
        <v>67</v>
      </c>
      <c r="D658">
        <v>0</v>
      </c>
      <c r="E658">
        <v>0</v>
      </c>
      <c r="F658">
        <v>0</v>
      </c>
      <c r="G658">
        <v>17</v>
      </c>
      <c r="H658">
        <v>0</v>
      </c>
      <c r="I658">
        <v>33</v>
      </c>
      <c r="J658">
        <v>17</v>
      </c>
      <c r="K658">
        <v>0</v>
      </c>
      <c r="L658">
        <v>0</v>
      </c>
      <c r="M658">
        <f>region_summary__39[[#This Row],[APPROVED BY Pengawas]]+region_summary__39[[#This Row],[EDITED BY Admin Kabupaten]]</f>
        <v>0</v>
      </c>
    </row>
    <row r="659" spans="1:13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region_summary__39[[#This Row],[APPROVED BY Pengawas]]+region_summary__39[[#This Row],[EDITED BY Admin Kabupaten]]</f>
        <v>0</v>
      </c>
    </row>
    <row r="660" spans="1:13" x14ac:dyDescent="0.25">
      <c r="A660" s="4" t="s">
        <v>34</v>
      </c>
      <c r="B660">
        <v>7172011003001400</v>
      </c>
      <c r="C660">
        <v>121</v>
      </c>
      <c r="D660">
        <v>60</v>
      </c>
      <c r="E660">
        <v>8</v>
      </c>
      <c r="F660">
        <v>2</v>
      </c>
      <c r="G660">
        <v>51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region_summary__39[[#This Row],[APPROVED BY Pengawas]]+region_summary__39[[#This Row],[EDITED BY Admin Kabupaten]]</f>
        <v>62</v>
      </c>
    </row>
    <row r="661" spans="1:13" x14ac:dyDescent="0.25">
      <c r="A661" s="4" t="s">
        <v>34</v>
      </c>
      <c r="B661">
        <v>7172011003001600</v>
      </c>
      <c r="C661">
        <v>121</v>
      </c>
      <c r="D661">
        <v>104</v>
      </c>
      <c r="E661">
        <v>1</v>
      </c>
      <c r="F661">
        <v>1</v>
      </c>
      <c r="G661">
        <v>13</v>
      </c>
      <c r="H661">
        <v>0</v>
      </c>
      <c r="I661">
        <v>1</v>
      </c>
      <c r="J661">
        <v>1</v>
      </c>
      <c r="K661">
        <v>0</v>
      </c>
      <c r="L661">
        <v>0</v>
      </c>
      <c r="M661">
        <f>region_summary__39[[#This Row],[APPROVED BY Pengawas]]+region_summary__39[[#This Row],[EDITED BY Admin Kabupaten]]</f>
        <v>105</v>
      </c>
    </row>
    <row r="662" spans="1:13" x14ac:dyDescent="0.25">
      <c r="A662" s="4" t="s">
        <v>34</v>
      </c>
      <c r="B662">
        <v>7172011003001500</v>
      </c>
      <c r="C662">
        <v>113</v>
      </c>
      <c r="D662">
        <v>89</v>
      </c>
      <c r="E662">
        <v>8</v>
      </c>
      <c r="F662">
        <v>4</v>
      </c>
      <c r="G662">
        <v>11</v>
      </c>
      <c r="H662">
        <v>0</v>
      </c>
      <c r="I662">
        <v>1</v>
      </c>
      <c r="J662">
        <v>0</v>
      </c>
      <c r="K662">
        <v>0</v>
      </c>
      <c r="L662">
        <v>0</v>
      </c>
      <c r="M662">
        <f>region_summary__39[[#This Row],[APPROVED BY Pengawas]]+region_summary__39[[#This Row],[EDITED BY Admin Kabupaten]]</f>
        <v>93</v>
      </c>
    </row>
    <row r="663" spans="1:13" x14ac:dyDescent="0.25">
      <c r="A663" s="4" t="s">
        <v>34</v>
      </c>
      <c r="B663">
        <v>7172011003001200</v>
      </c>
      <c r="C663">
        <v>109</v>
      </c>
      <c r="D663">
        <v>21</v>
      </c>
      <c r="E663">
        <v>0</v>
      </c>
      <c r="F663">
        <v>0</v>
      </c>
      <c r="G663">
        <v>70</v>
      </c>
      <c r="H663">
        <v>0</v>
      </c>
      <c r="I663">
        <v>0</v>
      </c>
      <c r="J663">
        <v>0</v>
      </c>
      <c r="K663">
        <v>18</v>
      </c>
      <c r="L663">
        <v>0</v>
      </c>
      <c r="M663">
        <f>region_summary__39[[#This Row],[APPROVED BY Pengawas]]+region_summary__39[[#This Row],[EDITED BY Admin Kabupaten]]</f>
        <v>21</v>
      </c>
    </row>
    <row r="664" spans="1:13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region_summary__39[[#This Row],[APPROVED BY Pengawas]]+region_summary__39[[#This Row],[EDITED BY Admin Kabupaten]]</f>
        <v>0</v>
      </c>
    </row>
    <row r="665" spans="1:13" x14ac:dyDescent="0.25">
      <c r="A665" s="4" t="s">
        <v>40</v>
      </c>
      <c r="B665">
        <v>7172011004001200</v>
      </c>
      <c r="C665">
        <v>177</v>
      </c>
      <c r="D665">
        <v>59</v>
      </c>
      <c r="E665">
        <v>58</v>
      </c>
      <c r="F665">
        <v>0</v>
      </c>
      <c r="G665">
        <v>53</v>
      </c>
      <c r="H665">
        <v>0</v>
      </c>
      <c r="I665">
        <v>0</v>
      </c>
      <c r="J665">
        <v>0</v>
      </c>
      <c r="K665">
        <v>7</v>
      </c>
      <c r="L665">
        <v>0</v>
      </c>
      <c r="M665">
        <f>region_summary__39[[#This Row],[APPROVED BY Pengawas]]+region_summary__39[[#This Row],[EDITED BY Admin Kabupaten]]</f>
        <v>59</v>
      </c>
    </row>
    <row r="666" spans="1:13" x14ac:dyDescent="0.25">
      <c r="A666" s="4" t="s">
        <v>40</v>
      </c>
      <c r="B666">
        <v>7172011004000900</v>
      </c>
      <c r="C666">
        <v>150</v>
      </c>
      <c r="D666">
        <v>4</v>
      </c>
      <c r="E666">
        <v>0</v>
      </c>
      <c r="F666">
        <v>0</v>
      </c>
      <c r="G666">
        <v>125</v>
      </c>
      <c r="H666">
        <v>0</v>
      </c>
      <c r="I666">
        <v>12</v>
      </c>
      <c r="J666">
        <v>0</v>
      </c>
      <c r="K666">
        <v>9</v>
      </c>
      <c r="L666">
        <v>0</v>
      </c>
      <c r="M666">
        <f>region_summary__39[[#This Row],[APPROVED BY Pengawas]]+region_summary__39[[#This Row],[EDITED BY Admin Kabupaten]]</f>
        <v>4</v>
      </c>
    </row>
    <row r="667" spans="1:13" x14ac:dyDescent="0.25">
      <c r="A667" s="4" t="s">
        <v>40</v>
      </c>
      <c r="B667">
        <v>7172011004000700</v>
      </c>
      <c r="C667">
        <v>140</v>
      </c>
      <c r="D667">
        <v>132</v>
      </c>
      <c r="E667">
        <v>2</v>
      </c>
      <c r="F667">
        <v>1</v>
      </c>
      <c r="G667">
        <v>1</v>
      </c>
      <c r="H667">
        <v>0</v>
      </c>
      <c r="I667">
        <v>2</v>
      </c>
      <c r="J667">
        <v>1</v>
      </c>
      <c r="K667">
        <v>1</v>
      </c>
      <c r="L667">
        <v>0</v>
      </c>
      <c r="M667">
        <f>region_summary__39[[#This Row],[APPROVED BY Pengawas]]+region_summary__39[[#This Row],[EDITED BY Admin Kabupaten]]</f>
        <v>133</v>
      </c>
    </row>
    <row r="668" spans="1:13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region_summary__39[[#This Row],[APPROVED BY Pengawas]]+region_summary__39[[#This Row],[EDITED BY Admin Kabupaten]]</f>
        <v>0</v>
      </c>
    </row>
    <row r="669" spans="1:13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region_summary__39[[#This Row],[APPROVED BY Pengawas]]+region_summary__39[[#This Row],[EDITED BY Admin Kabupaten]]</f>
        <v>0</v>
      </c>
    </row>
    <row r="670" spans="1:13" x14ac:dyDescent="0.25">
      <c r="A670" s="4" t="s">
        <v>43</v>
      </c>
      <c r="B670">
        <v>7172011011001600</v>
      </c>
      <c r="C670">
        <v>223</v>
      </c>
      <c r="D670">
        <v>72</v>
      </c>
      <c r="E670">
        <v>20</v>
      </c>
      <c r="F670">
        <v>0</v>
      </c>
      <c r="G670">
        <v>131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region_summary__39[[#This Row],[APPROVED BY Pengawas]]+region_summary__39[[#This Row],[EDITED BY Admin Kabupaten]]</f>
        <v>72</v>
      </c>
    </row>
    <row r="671" spans="1:13" x14ac:dyDescent="0.25">
      <c r="A671" s="4" t="s">
        <v>43</v>
      </c>
      <c r="B671">
        <v>7172011011001500</v>
      </c>
      <c r="C671">
        <v>91</v>
      </c>
      <c r="D671">
        <v>3</v>
      </c>
      <c r="E671">
        <v>2</v>
      </c>
      <c r="F671">
        <v>0</v>
      </c>
      <c r="G671">
        <v>86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region_summary__39[[#This Row],[APPROVED BY Pengawas]]+region_summary__39[[#This Row],[EDITED BY Admin Kabupaten]]</f>
        <v>3</v>
      </c>
    </row>
    <row r="672" spans="1:13" x14ac:dyDescent="0.25">
      <c r="A672" s="4" t="s">
        <v>43</v>
      </c>
      <c r="B672">
        <v>7172011011000600</v>
      </c>
      <c r="C672">
        <v>70</v>
      </c>
      <c r="D672">
        <v>57</v>
      </c>
      <c r="E672">
        <v>0</v>
      </c>
      <c r="F672">
        <v>0</v>
      </c>
      <c r="G672">
        <v>13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region_summary__39[[#This Row],[APPROVED BY Pengawas]]+region_summary__39[[#This Row],[EDITED BY Admin Kabupaten]]</f>
        <v>57</v>
      </c>
    </row>
    <row r="673" spans="1:13" x14ac:dyDescent="0.25">
      <c r="A673" s="4" t="s">
        <v>43</v>
      </c>
      <c r="B673">
        <v>7172011011000900</v>
      </c>
      <c r="C673">
        <v>64</v>
      </c>
      <c r="D673">
        <v>51</v>
      </c>
      <c r="E673">
        <v>2</v>
      </c>
      <c r="F673">
        <v>0</v>
      </c>
      <c r="G673">
        <v>10</v>
      </c>
      <c r="H673">
        <v>0</v>
      </c>
      <c r="I673">
        <v>1</v>
      </c>
      <c r="J673">
        <v>0</v>
      </c>
      <c r="K673">
        <v>0</v>
      </c>
      <c r="L673">
        <v>0</v>
      </c>
      <c r="M673">
        <f>region_summary__39[[#This Row],[APPROVED BY Pengawas]]+region_summary__39[[#This Row],[EDITED BY Admin Kabupaten]]</f>
        <v>51</v>
      </c>
    </row>
    <row r="674" spans="1:13" x14ac:dyDescent="0.25">
      <c r="A674" s="4" t="s">
        <v>43</v>
      </c>
      <c r="B674">
        <v>7172011011001400</v>
      </c>
      <c r="C674">
        <v>55</v>
      </c>
      <c r="D674">
        <v>22</v>
      </c>
      <c r="E674">
        <v>1</v>
      </c>
      <c r="F674">
        <v>0</v>
      </c>
      <c r="G674">
        <v>32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region_summary__39[[#This Row],[APPROVED BY Pengawas]]+region_summary__39[[#This Row],[EDITED BY Admin Kabupaten]]</f>
        <v>22</v>
      </c>
    </row>
    <row r="675" spans="1:13" x14ac:dyDescent="0.25">
      <c r="A675" s="4" t="s">
        <v>43</v>
      </c>
      <c r="B675">
        <v>7172011011001100</v>
      </c>
      <c r="C675">
        <v>53</v>
      </c>
      <c r="D675">
        <v>12</v>
      </c>
      <c r="E675">
        <v>4</v>
      </c>
      <c r="F675">
        <v>0</v>
      </c>
      <c r="G675">
        <v>37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region_summary__39[[#This Row],[APPROVED BY Pengawas]]+region_summary__39[[#This Row],[EDITED BY Admin Kabupaten]]</f>
        <v>12</v>
      </c>
    </row>
    <row r="676" spans="1:13" x14ac:dyDescent="0.25">
      <c r="A676" s="4" t="s">
        <v>43</v>
      </c>
      <c r="B676">
        <v>7172011011000800</v>
      </c>
      <c r="C676">
        <v>52</v>
      </c>
      <c r="D676">
        <v>26</v>
      </c>
      <c r="E676">
        <v>3</v>
      </c>
      <c r="F676">
        <v>0</v>
      </c>
      <c r="G676">
        <v>22</v>
      </c>
      <c r="H676">
        <v>0</v>
      </c>
      <c r="I676">
        <v>0</v>
      </c>
      <c r="J676">
        <v>0</v>
      </c>
      <c r="K676">
        <v>1</v>
      </c>
      <c r="L676">
        <v>0</v>
      </c>
      <c r="M676">
        <f>region_summary__39[[#This Row],[APPROVED BY Pengawas]]+region_summary__39[[#This Row],[EDITED BY Admin Kabupaten]]</f>
        <v>26</v>
      </c>
    </row>
    <row r="677" spans="1:13" x14ac:dyDescent="0.25">
      <c r="A677" s="4" t="s">
        <v>43</v>
      </c>
      <c r="B677">
        <v>7172011011001300</v>
      </c>
      <c r="C677">
        <v>48</v>
      </c>
      <c r="D677">
        <v>9</v>
      </c>
      <c r="E677">
        <v>1</v>
      </c>
      <c r="F677">
        <v>0</v>
      </c>
      <c r="G677">
        <v>38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region_summary__39[[#This Row],[APPROVED BY Pengawas]]+region_summary__39[[#This Row],[EDITED BY Admin Kabupaten]]</f>
        <v>9</v>
      </c>
    </row>
    <row r="678" spans="1:13" x14ac:dyDescent="0.25">
      <c r="A678" s="4" t="s">
        <v>43</v>
      </c>
      <c r="B678">
        <v>7172011011001200</v>
      </c>
      <c r="C678">
        <v>43</v>
      </c>
      <c r="D678">
        <v>15</v>
      </c>
      <c r="E678">
        <v>0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region_summary__39[[#This Row],[APPROVED BY Pengawas]]+region_summary__39[[#This Row],[EDITED BY Admin Kabupaten]]</f>
        <v>15</v>
      </c>
    </row>
    <row r="679" spans="1:13" x14ac:dyDescent="0.25">
      <c r="A679" s="4" t="s">
        <v>43</v>
      </c>
      <c r="B679">
        <v>7172011011001000</v>
      </c>
      <c r="C679">
        <v>37</v>
      </c>
      <c r="D679">
        <v>20</v>
      </c>
      <c r="E679">
        <v>0</v>
      </c>
      <c r="F679">
        <v>0</v>
      </c>
      <c r="G679">
        <v>17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region_summary__39[[#This Row],[APPROVED BY Pengawas]]+region_summary__39[[#This Row],[EDITED BY Admin Kabupaten]]</f>
        <v>20</v>
      </c>
    </row>
    <row r="680" spans="1:13" x14ac:dyDescent="0.25">
      <c r="A680" s="4" t="s">
        <v>43</v>
      </c>
      <c r="B680">
        <v>7172011011000700</v>
      </c>
      <c r="C680">
        <v>29</v>
      </c>
      <c r="D680">
        <v>20</v>
      </c>
      <c r="E680">
        <v>4</v>
      </c>
      <c r="F680">
        <v>0</v>
      </c>
      <c r="G680">
        <v>4</v>
      </c>
      <c r="H680">
        <v>0</v>
      </c>
      <c r="I680">
        <v>0</v>
      </c>
      <c r="J680">
        <v>0</v>
      </c>
      <c r="K680">
        <v>1</v>
      </c>
      <c r="L680">
        <v>0</v>
      </c>
      <c r="M680">
        <f>region_summary__39[[#This Row],[APPROVED BY Pengawas]]+region_summary__39[[#This Row],[EDITED BY Admin Kabupaten]]</f>
        <v>20</v>
      </c>
    </row>
    <row r="681" spans="1:13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region_summary__39[[#This Row],[APPROVED BY Pengawas]]+region_summary__39[[#This Row],[EDITED BY Admin Kabupaten]]</f>
        <v>2</v>
      </c>
    </row>
    <row r="682" spans="1:13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region_summary__39[[#This Row],[APPROVED BY Pengawas]]+region_summary__39[[#This Row],[EDITED BY Admin Kabupaten]]</f>
        <v>1</v>
      </c>
    </row>
    <row r="683" spans="1:13" x14ac:dyDescent="0.25">
      <c r="A683" s="4" t="s">
        <v>47</v>
      </c>
      <c r="B683">
        <v>7172011014000600</v>
      </c>
      <c r="C683">
        <v>189</v>
      </c>
      <c r="D683">
        <v>120</v>
      </c>
      <c r="E683">
        <v>0</v>
      </c>
      <c r="F683">
        <v>0</v>
      </c>
      <c r="G683">
        <v>2</v>
      </c>
      <c r="H683">
        <v>0</v>
      </c>
      <c r="I683">
        <v>16</v>
      </c>
      <c r="J683">
        <v>0</v>
      </c>
      <c r="K683">
        <v>51</v>
      </c>
      <c r="L683">
        <v>0</v>
      </c>
      <c r="M683">
        <f>region_summary__39[[#This Row],[APPROVED BY Pengawas]]+region_summary__39[[#This Row],[EDITED BY Admin Kabupaten]]</f>
        <v>120</v>
      </c>
    </row>
    <row r="684" spans="1:13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0</v>
      </c>
      <c r="L684">
        <v>1</v>
      </c>
      <c r="M684">
        <f>region_summary__39[[#This Row],[APPROVED BY Pengawas]]+region_summary__39[[#This Row],[EDITED BY Admin Kabupaten]]</f>
        <v>0</v>
      </c>
    </row>
    <row r="685" spans="1:13" x14ac:dyDescent="0.25">
      <c r="A685" s="4" t="s">
        <v>47</v>
      </c>
      <c r="B685">
        <v>7172011014000200</v>
      </c>
      <c r="C685">
        <v>148</v>
      </c>
      <c r="D685">
        <v>129</v>
      </c>
      <c r="E685">
        <v>5</v>
      </c>
      <c r="F685">
        <v>0</v>
      </c>
      <c r="G685">
        <v>13</v>
      </c>
      <c r="H685">
        <v>0</v>
      </c>
      <c r="I685">
        <v>0</v>
      </c>
      <c r="J685">
        <v>0</v>
      </c>
      <c r="K685">
        <v>1</v>
      </c>
      <c r="L685">
        <v>0</v>
      </c>
      <c r="M685">
        <f>region_summary__39[[#This Row],[APPROVED BY Pengawas]]+region_summary__39[[#This Row],[EDITED BY Admin Kabupaten]]</f>
        <v>129</v>
      </c>
    </row>
    <row r="686" spans="1:13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region_summary__39[[#This Row],[APPROVED BY Pengawas]]+region_summary__39[[#This Row],[EDITED BY Admin Kabupaten]]</f>
        <v>0</v>
      </c>
    </row>
    <row r="687" spans="1:13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region_summary__39[[#This Row],[APPROVED BY Pengawas]]+region_summary__39[[#This Row],[EDITED BY Admin Kabupaten]]</f>
        <v>0</v>
      </c>
    </row>
    <row r="688" spans="1:13" x14ac:dyDescent="0.25">
      <c r="A688" s="4" t="s">
        <v>48</v>
      </c>
      <c r="B688">
        <v>7172011014001200</v>
      </c>
      <c r="C688">
        <v>235</v>
      </c>
      <c r="D688">
        <v>101</v>
      </c>
      <c r="E688">
        <v>16</v>
      </c>
      <c r="F688">
        <v>0</v>
      </c>
      <c r="G688">
        <v>28</v>
      </c>
      <c r="H688">
        <v>0</v>
      </c>
      <c r="I688">
        <v>0</v>
      </c>
      <c r="J688">
        <v>1</v>
      </c>
      <c r="K688">
        <v>89</v>
      </c>
      <c r="L688">
        <v>0</v>
      </c>
      <c r="M688">
        <f>region_summary__39[[#This Row],[APPROVED BY Pengawas]]+region_summary__39[[#This Row],[EDITED BY Admin Kabupaten]]</f>
        <v>101</v>
      </c>
    </row>
    <row r="689" spans="1:13" x14ac:dyDescent="0.25">
      <c r="A689" s="4" t="s">
        <v>48</v>
      </c>
      <c r="B689">
        <v>7172011014001100</v>
      </c>
      <c r="C689">
        <v>183</v>
      </c>
      <c r="D689">
        <v>0</v>
      </c>
      <c r="E689">
        <v>8</v>
      </c>
      <c r="F689">
        <v>0</v>
      </c>
      <c r="G689">
        <v>62</v>
      </c>
      <c r="H689">
        <v>0</v>
      </c>
      <c r="I689">
        <v>0</v>
      </c>
      <c r="J689">
        <v>0</v>
      </c>
      <c r="K689">
        <v>113</v>
      </c>
      <c r="L689">
        <v>0</v>
      </c>
      <c r="M689">
        <f>region_summary__39[[#This Row],[APPROVED BY Pengawas]]+region_summary__39[[#This Row],[EDITED BY Admin Kabupaten]]</f>
        <v>0</v>
      </c>
    </row>
    <row r="690" spans="1:13" x14ac:dyDescent="0.25">
      <c r="A690" s="4" t="s">
        <v>48</v>
      </c>
      <c r="B690">
        <v>7172011014000700</v>
      </c>
      <c r="C690">
        <v>125</v>
      </c>
      <c r="D690">
        <v>0</v>
      </c>
      <c r="E690">
        <v>4</v>
      </c>
      <c r="F690">
        <v>0</v>
      </c>
      <c r="G690">
        <v>119</v>
      </c>
      <c r="H690">
        <v>0</v>
      </c>
      <c r="I690">
        <v>0</v>
      </c>
      <c r="J690">
        <v>0</v>
      </c>
      <c r="K690">
        <v>2</v>
      </c>
      <c r="L690">
        <v>0</v>
      </c>
      <c r="M690">
        <f>region_summary__39[[#This Row],[APPROVED BY Pengawas]]+region_summary__39[[#This Row],[EDITED BY Admin Kabupaten]]</f>
        <v>0</v>
      </c>
    </row>
    <row r="691" spans="1:13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region_summary__39[[#This Row],[APPROVED BY Pengawas]]+region_summary__39[[#This Row],[EDITED BY Admin Kabupaten]]</f>
        <v>0</v>
      </c>
    </row>
    <row r="692" spans="1:13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region_summary__39[[#This Row],[APPROVED BY Pengawas]]+region_summary__39[[#This Row],[EDITED BY Admin Kabupaten]]</f>
        <v>0</v>
      </c>
    </row>
    <row r="693" spans="1:13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region_summary__39[[#This Row],[APPROVED BY Pengawas]]+region_summary__39[[#This Row],[EDITED BY Admin Kabupaten]]</f>
        <v>0</v>
      </c>
    </row>
    <row r="694" spans="1:13" x14ac:dyDescent="0.25">
      <c r="A694" s="4" t="s">
        <v>51</v>
      </c>
      <c r="B694">
        <v>7172012001000500</v>
      </c>
      <c r="C694">
        <v>188</v>
      </c>
      <c r="D694">
        <v>180</v>
      </c>
      <c r="E694">
        <v>4</v>
      </c>
      <c r="F694">
        <v>0</v>
      </c>
      <c r="G694">
        <v>4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region_summary__39[[#This Row],[APPROVED BY Pengawas]]+region_summary__39[[#This Row],[EDITED BY Admin Kabupaten]]</f>
        <v>180</v>
      </c>
    </row>
    <row r="695" spans="1:13" x14ac:dyDescent="0.25">
      <c r="A695" s="4" t="s">
        <v>51</v>
      </c>
      <c r="B695">
        <v>7172012001001001</v>
      </c>
      <c r="C695">
        <v>162</v>
      </c>
      <c r="D695">
        <v>15</v>
      </c>
      <c r="E695">
        <v>2</v>
      </c>
      <c r="F695">
        <v>0</v>
      </c>
      <c r="G695">
        <v>86</v>
      </c>
      <c r="H695">
        <v>0</v>
      </c>
      <c r="I695">
        <v>0</v>
      </c>
      <c r="J695">
        <v>0</v>
      </c>
      <c r="K695">
        <v>59</v>
      </c>
      <c r="L695">
        <v>0</v>
      </c>
      <c r="M695">
        <f>region_summary__39[[#This Row],[APPROVED BY Pengawas]]+region_summary__39[[#This Row],[EDITED BY Admin Kabupaten]]</f>
        <v>15</v>
      </c>
    </row>
    <row r="696" spans="1:13" x14ac:dyDescent="0.25">
      <c r="A696" s="4" t="s">
        <v>51</v>
      </c>
      <c r="B696">
        <v>7172012001000601</v>
      </c>
      <c r="C696">
        <v>142</v>
      </c>
      <c r="D696">
        <v>0</v>
      </c>
      <c r="E696">
        <v>0</v>
      </c>
      <c r="F696">
        <v>0</v>
      </c>
      <c r="G696">
        <v>142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region_summary__39[[#This Row],[APPROVED BY Pengawas]]+region_summary__39[[#This Row],[EDITED BY Admin Kabupaten]]</f>
        <v>0</v>
      </c>
    </row>
    <row r="697" spans="1:13" x14ac:dyDescent="0.25">
      <c r="A697" s="4" t="s">
        <v>52</v>
      </c>
      <c r="B697">
        <v>7172012001000700</v>
      </c>
      <c r="C697">
        <v>300</v>
      </c>
      <c r="D697">
        <v>193</v>
      </c>
      <c r="E697">
        <v>7</v>
      </c>
      <c r="F697">
        <v>0</v>
      </c>
      <c r="G697">
        <v>96</v>
      </c>
      <c r="H697">
        <v>0</v>
      </c>
      <c r="I697">
        <v>2</v>
      </c>
      <c r="J697">
        <v>0</v>
      </c>
      <c r="K697">
        <v>2</v>
      </c>
      <c r="L697">
        <v>0</v>
      </c>
      <c r="M697">
        <f>region_summary__39[[#This Row],[APPROVED BY Pengawas]]+region_summary__39[[#This Row],[EDITED BY Admin Kabupaten]]</f>
        <v>193</v>
      </c>
    </row>
    <row r="698" spans="1:13" x14ac:dyDescent="0.25">
      <c r="A698" s="4" t="s">
        <v>52</v>
      </c>
      <c r="B698">
        <v>7172012001000602</v>
      </c>
      <c r="C698">
        <v>227</v>
      </c>
      <c r="D698">
        <v>71</v>
      </c>
      <c r="E698">
        <v>2</v>
      </c>
      <c r="F698">
        <v>0</v>
      </c>
      <c r="G698">
        <v>154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region_summary__39[[#This Row],[APPROVED BY Pengawas]]+region_summary__39[[#This Row],[EDITED BY Admin Kabupaten]]</f>
        <v>71</v>
      </c>
    </row>
    <row r="699" spans="1:13" x14ac:dyDescent="0.25">
      <c r="A699" s="4" t="s">
        <v>49</v>
      </c>
      <c r="B699">
        <v>7172012002000101</v>
      </c>
      <c r="C699">
        <v>157</v>
      </c>
      <c r="D699">
        <v>64</v>
      </c>
      <c r="E699">
        <v>5</v>
      </c>
      <c r="F699">
        <v>0</v>
      </c>
      <c r="G699">
        <v>41</v>
      </c>
      <c r="H699">
        <v>0</v>
      </c>
      <c r="I699">
        <v>0</v>
      </c>
      <c r="J699">
        <v>0</v>
      </c>
      <c r="K699">
        <v>47</v>
      </c>
      <c r="L699">
        <v>0</v>
      </c>
      <c r="M699">
        <f>region_summary__39[[#This Row],[APPROVED BY Pengawas]]+region_summary__39[[#This Row],[EDITED BY Admin Kabupaten]]</f>
        <v>64</v>
      </c>
    </row>
    <row r="700" spans="1:13" x14ac:dyDescent="0.25">
      <c r="A700" s="4" t="s">
        <v>49</v>
      </c>
      <c r="B700">
        <v>7172012002000500</v>
      </c>
      <c r="C700">
        <v>134</v>
      </c>
      <c r="D700">
        <v>6</v>
      </c>
      <c r="E700">
        <v>0</v>
      </c>
      <c r="F700">
        <v>0</v>
      </c>
      <c r="G700">
        <v>102</v>
      </c>
      <c r="H700">
        <v>0</v>
      </c>
      <c r="I700">
        <v>0</v>
      </c>
      <c r="J700">
        <v>0</v>
      </c>
      <c r="K700">
        <v>26</v>
      </c>
      <c r="L700">
        <v>0</v>
      </c>
      <c r="M700">
        <f>region_summary__39[[#This Row],[APPROVED BY Pengawas]]+region_summary__39[[#This Row],[EDITED BY Admin Kabupaten]]</f>
        <v>6</v>
      </c>
    </row>
    <row r="701" spans="1:13" x14ac:dyDescent="0.25">
      <c r="A701" s="4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region_summary__39[[#This Row],[APPROVED BY Pengawas]]+region_summary__39[[#This Row],[EDITED BY Admin Kabupaten]]</f>
        <v>125</v>
      </c>
    </row>
    <row r="702" spans="1:13" x14ac:dyDescent="0.25">
      <c r="A702" s="4" t="s">
        <v>49</v>
      </c>
      <c r="B702">
        <v>7172012001001100</v>
      </c>
      <c r="C702">
        <v>94</v>
      </c>
      <c r="D702">
        <v>4</v>
      </c>
      <c r="E702">
        <v>5</v>
      </c>
      <c r="F702">
        <v>0</v>
      </c>
      <c r="G702">
        <v>74</v>
      </c>
      <c r="H702">
        <v>0</v>
      </c>
      <c r="I702">
        <v>0</v>
      </c>
      <c r="J702">
        <v>0</v>
      </c>
      <c r="K702">
        <v>11</v>
      </c>
      <c r="L702">
        <v>0</v>
      </c>
      <c r="M702">
        <f>region_summary__39[[#This Row],[APPROVED BY Pengawas]]+region_summary__39[[#This Row],[EDITED BY Admin Kabupaten]]</f>
        <v>4</v>
      </c>
    </row>
    <row r="703" spans="1:13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region_summary__39[[#This Row],[APPROVED BY Pengawas]]+region_summary__39[[#This Row],[EDITED BY Admin Kabupaten]]</f>
        <v>0</v>
      </c>
    </row>
    <row r="704" spans="1:13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region_summary__39[[#This Row],[APPROVED BY Pengawas]]+region_summary__39[[#This Row],[EDITED BY Admin Kabupaten]]</f>
        <v>0</v>
      </c>
    </row>
    <row r="705" spans="1:13" x14ac:dyDescent="0.25">
      <c r="A705" s="4" t="s">
        <v>53</v>
      </c>
      <c r="B705">
        <v>7172012002000200</v>
      </c>
      <c r="C705">
        <v>186</v>
      </c>
      <c r="D705">
        <v>176</v>
      </c>
      <c r="E705">
        <v>2</v>
      </c>
      <c r="F705">
        <v>0</v>
      </c>
      <c r="G705">
        <v>8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region_summary__39[[#This Row],[APPROVED BY Pengawas]]+region_summary__39[[#This Row],[EDITED BY Admin Kabupaten]]</f>
        <v>176</v>
      </c>
    </row>
    <row r="706" spans="1:13" x14ac:dyDescent="0.25">
      <c r="A706" s="4" t="s">
        <v>53</v>
      </c>
      <c r="B706">
        <v>7172012002000900</v>
      </c>
      <c r="C706">
        <v>144</v>
      </c>
      <c r="D706">
        <v>94</v>
      </c>
      <c r="E706">
        <v>1</v>
      </c>
      <c r="F706">
        <v>0</v>
      </c>
      <c r="G706">
        <v>49</v>
      </c>
      <c r="H706">
        <v>0</v>
      </c>
      <c r="I706">
        <v>0</v>
      </c>
      <c r="J706">
        <v>0</v>
      </c>
      <c r="K706">
        <v>0</v>
      </c>
      <c r="L706">
        <v>0</v>
      </c>
      <c r="M706">
        <f>region_summary__39[[#This Row],[APPROVED BY Pengawas]]+region_summary__39[[#This Row],[EDITED BY Admin Kabupaten]]</f>
        <v>94</v>
      </c>
    </row>
    <row r="707" spans="1:13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region_summary__39[[#This Row],[APPROVED BY Pengawas]]+region_summary__39[[#This Row],[EDITED BY Admin Kabupaten]]</f>
        <v>0</v>
      </c>
    </row>
    <row r="708" spans="1:13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region_summary__39[[#This Row],[APPROVED BY Pengawas]]+region_summary__39[[#This Row],[EDITED BY Admin Kabupaten]]</f>
        <v>0</v>
      </c>
    </row>
    <row r="709" spans="1:13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region_summary__39[[#This Row],[APPROVED BY Pengawas]]+region_summary__39[[#This Row],[EDITED BY Admin Kabupaten]]</f>
        <v>0</v>
      </c>
    </row>
    <row r="710" spans="1:13" x14ac:dyDescent="0.25">
      <c r="A710" s="4" t="s">
        <v>58</v>
      </c>
      <c r="B710">
        <v>7172012003000400</v>
      </c>
      <c r="C710">
        <v>139</v>
      </c>
      <c r="D710">
        <v>115</v>
      </c>
      <c r="E710">
        <v>5</v>
      </c>
      <c r="F710">
        <v>0</v>
      </c>
      <c r="G710">
        <v>19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region_summary__39[[#This Row],[APPROVED BY Pengawas]]+region_summary__39[[#This Row],[EDITED BY Admin Kabupaten]]</f>
        <v>115</v>
      </c>
    </row>
    <row r="711" spans="1:13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region_summary__39[[#This Row],[APPROVED BY Pengawas]]+region_summary__39[[#This Row],[EDITED BY Admin Kabupaten]]</f>
        <v>0</v>
      </c>
    </row>
    <row r="712" spans="1:13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region_summary__39[[#This Row],[APPROVED BY Pengawas]]+region_summary__39[[#This Row],[EDITED BY Admin Kabupaten]]</f>
        <v>0</v>
      </c>
    </row>
    <row r="713" spans="1:13" x14ac:dyDescent="0.25">
      <c r="A713" s="4" t="s">
        <v>58</v>
      </c>
      <c r="B713">
        <v>7172012003000300</v>
      </c>
      <c r="C713">
        <v>73</v>
      </c>
      <c r="D713">
        <v>68</v>
      </c>
      <c r="E713">
        <v>0</v>
      </c>
      <c r="F713">
        <v>0</v>
      </c>
      <c r="G713">
        <v>5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region_summary__39[[#This Row],[APPROVED BY Pengawas]]+region_summary__39[[#This Row],[EDITED BY Admin Kabupaten]]</f>
        <v>68</v>
      </c>
    </row>
    <row r="714" spans="1:13" x14ac:dyDescent="0.25">
      <c r="A714" s="4" t="s">
        <v>58</v>
      </c>
      <c r="B714">
        <v>7172012003000700</v>
      </c>
      <c r="C714">
        <v>68</v>
      </c>
      <c r="D714">
        <v>9</v>
      </c>
      <c r="E714">
        <v>0</v>
      </c>
      <c r="F714">
        <v>0</v>
      </c>
      <c r="G714">
        <v>59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region_summary__39[[#This Row],[APPROVED BY Pengawas]]+region_summary__39[[#This Row],[EDITED BY Admin Kabupaten]]</f>
        <v>9</v>
      </c>
    </row>
    <row r="715" spans="1:13" x14ac:dyDescent="0.25">
      <c r="A715" s="4" t="s">
        <v>58</v>
      </c>
      <c r="B715">
        <v>7172012003000200</v>
      </c>
      <c r="C715">
        <v>66</v>
      </c>
      <c r="D715">
        <v>62</v>
      </c>
      <c r="E715">
        <v>2</v>
      </c>
      <c r="F715">
        <v>0</v>
      </c>
      <c r="G715">
        <v>2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region_summary__39[[#This Row],[APPROVED BY Pengawas]]+region_summary__39[[#This Row],[EDITED BY Admin Kabupaten]]</f>
        <v>62</v>
      </c>
    </row>
    <row r="716" spans="1:13" x14ac:dyDescent="0.25">
      <c r="A716" s="4" t="s">
        <v>58</v>
      </c>
      <c r="B716">
        <v>7172012004000200</v>
      </c>
      <c r="C716">
        <v>65</v>
      </c>
      <c r="D716">
        <v>0</v>
      </c>
      <c r="E716">
        <v>0</v>
      </c>
      <c r="F716">
        <v>0</v>
      </c>
      <c r="G716">
        <v>65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region_summary__39[[#This Row],[APPROVED BY Pengawas]]+region_summary__39[[#This Row],[EDITED BY Admin Kabupaten]]</f>
        <v>0</v>
      </c>
    </row>
    <row r="717" spans="1:13" x14ac:dyDescent="0.25">
      <c r="A717" s="4" t="s">
        <v>57</v>
      </c>
      <c r="B717">
        <v>7172012003000800</v>
      </c>
      <c r="C717">
        <v>132</v>
      </c>
      <c r="D717">
        <v>20</v>
      </c>
      <c r="E717">
        <v>6</v>
      </c>
      <c r="F717">
        <v>0</v>
      </c>
      <c r="G717">
        <v>105</v>
      </c>
      <c r="H717">
        <v>0</v>
      </c>
      <c r="I717">
        <v>0</v>
      </c>
      <c r="J717">
        <v>0</v>
      </c>
      <c r="K717">
        <v>1</v>
      </c>
      <c r="L717">
        <v>0</v>
      </c>
      <c r="M717">
        <f>region_summary__39[[#This Row],[APPROVED BY Pengawas]]+region_summary__39[[#This Row],[EDITED BY Admin Kabupaten]]</f>
        <v>20</v>
      </c>
    </row>
    <row r="718" spans="1:13" x14ac:dyDescent="0.25">
      <c r="A718" s="4" t="s">
        <v>57</v>
      </c>
      <c r="B718">
        <v>7172012003001100</v>
      </c>
      <c r="C718">
        <v>123</v>
      </c>
      <c r="D718">
        <v>113</v>
      </c>
      <c r="E718">
        <v>0</v>
      </c>
      <c r="F718">
        <v>1</v>
      </c>
      <c r="G718">
        <v>9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region_summary__39[[#This Row],[APPROVED BY Pengawas]]+region_summary__39[[#This Row],[EDITED BY Admin Kabupaten]]</f>
        <v>114</v>
      </c>
    </row>
    <row r="719" spans="1:13" x14ac:dyDescent="0.25">
      <c r="A719" s="4" t="s">
        <v>57</v>
      </c>
      <c r="B719">
        <v>7172012003000600</v>
      </c>
      <c r="C719">
        <v>90</v>
      </c>
      <c r="D719">
        <v>71</v>
      </c>
      <c r="E719">
        <v>1</v>
      </c>
      <c r="F719">
        <v>0</v>
      </c>
      <c r="G719">
        <v>15</v>
      </c>
      <c r="H719">
        <v>0</v>
      </c>
      <c r="I719">
        <v>0</v>
      </c>
      <c r="J719">
        <v>0</v>
      </c>
      <c r="K719">
        <v>3</v>
      </c>
      <c r="L719">
        <v>0</v>
      </c>
      <c r="M719">
        <f>region_summary__39[[#This Row],[APPROVED BY Pengawas]]+region_summary__39[[#This Row],[EDITED BY Admin Kabupaten]]</f>
        <v>71</v>
      </c>
    </row>
    <row r="720" spans="1:13" x14ac:dyDescent="0.25">
      <c r="A720" s="4" t="s">
        <v>57</v>
      </c>
      <c r="B720">
        <v>7172012003001200</v>
      </c>
      <c r="C720">
        <v>84</v>
      </c>
      <c r="D720">
        <v>6</v>
      </c>
      <c r="E720">
        <v>0</v>
      </c>
      <c r="F720">
        <v>0</v>
      </c>
      <c r="G720">
        <v>78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region_summary__39[[#This Row],[APPROVED BY Pengawas]]+region_summary__39[[#This Row],[EDITED BY Admin Kabupaten]]</f>
        <v>6</v>
      </c>
    </row>
    <row r="721" spans="1:13" x14ac:dyDescent="0.25">
      <c r="A721" s="4" t="s">
        <v>57</v>
      </c>
      <c r="B721">
        <v>7172012003001000</v>
      </c>
      <c r="C721">
        <v>64</v>
      </c>
      <c r="D721">
        <v>1</v>
      </c>
      <c r="E721">
        <v>0</v>
      </c>
      <c r="F721">
        <v>0</v>
      </c>
      <c r="G721">
        <v>63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region_summary__39[[#This Row],[APPROVED BY Pengawas]]+region_summary__39[[#This Row],[EDITED BY Admin Kabupaten]]</f>
        <v>1</v>
      </c>
    </row>
    <row r="722" spans="1:13" x14ac:dyDescent="0.25">
      <c r="A722" s="4" t="s">
        <v>57</v>
      </c>
      <c r="B722">
        <v>7172012003000500</v>
      </c>
      <c r="C722">
        <v>62</v>
      </c>
      <c r="D722">
        <v>28</v>
      </c>
      <c r="E722">
        <v>3</v>
      </c>
      <c r="F722">
        <v>0</v>
      </c>
      <c r="G722">
        <v>31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region_summary__39[[#This Row],[APPROVED BY Pengawas]]+region_summary__39[[#This Row],[EDITED BY Admin Kabupaten]]</f>
        <v>28</v>
      </c>
    </row>
    <row r="723" spans="1:13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region_summary__39[[#This Row],[APPROVED BY Pengawas]]+region_summary__39[[#This Row],[EDITED BY Admin Kabupaten]]</f>
        <v>0</v>
      </c>
    </row>
    <row r="724" spans="1:13" x14ac:dyDescent="0.25">
      <c r="A724" s="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region_summary__39[[#This Row],[APPROVED BY Pengawas]]+region_summary__39[[#This Row],[EDITED BY Admin Kabupaten]]</f>
        <v>53</v>
      </c>
    </row>
    <row r="725" spans="1:13" x14ac:dyDescent="0.25">
      <c r="A725" s="4" t="s">
        <v>238</v>
      </c>
      <c r="B725">
        <v>7172012004000500</v>
      </c>
      <c r="C725">
        <v>170</v>
      </c>
      <c r="D725">
        <v>95</v>
      </c>
      <c r="E725">
        <v>1</v>
      </c>
      <c r="F725">
        <v>0</v>
      </c>
      <c r="G725">
        <v>14</v>
      </c>
      <c r="H725">
        <v>0</v>
      </c>
      <c r="I725">
        <v>0</v>
      </c>
      <c r="J725">
        <v>0</v>
      </c>
      <c r="K725">
        <v>60</v>
      </c>
      <c r="L725">
        <v>0</v>
      </c>
      <c r="M725">
        <f>region_summary__39[[#This Row],[APPROVED BY Pengawas]]+region_summary__39[[#This Row],[EDITED BY Admin Kabupaten]]</f>
        <v>95</v>
      </c>
    </row>
    <row r="726" spans="1:13" x14ac:dyDescent="0.25">
      <c r="A726" s="4" t="s">
        <v>238</v>
      </c>
      <c r="B726">
        <v>7172012004000600</v>
      </c>
      <c r="C726">
        <v>151</v>
      </c>
      <c r="D726">
        <v>44</v>
      </c>
      <c r="E726">
        <v>23</v>
      </c>
      <c r="F726">
        <v>0</v>
      </c>
      <c r="G726">
        <v>74</v>
      </c>
      <c r="H726">
        <v>0</v>
      </c>
      <c r="I726">
        <v>0</v>
      </c>
      <c r="J726">
        <v>0</v>
      </c>
      <c r="K726">
        <v>10</v>
      </c>
      <c r="L726">
        <v>0</v>
      </c>
      <c r="M726">
        <f>region_summary__39[[#This Row],[APPROVED BY Pengawas]]+region_summary__39[[#This Row],[EDITED BY Admin Kabupaten]]</f>
        <v>44</v>
      </c>
    </row>
    <row r="727" spans="1:13" x14ac:dyDescent="0.25">
      <c r="A727" s="4" t="s">
        <v>238</v>
      </c>
      <c r="B727">
        <v>7172012004000700</v>
      </c>
      <c r="C727">
        <v>112</v>
      </c>
      <c r="D727">
        <v>90</v>
      </c>
      <c r="E727">
        <v>1</v>
      </c>
      <c r="F727">
        <v>0</v>
      </c>
      <c r="G727">
        <v>21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region_summary__39[[#This Row],[APPROVED BY Pengawas]]+region_summary__39[[#This Row],[EDITED BY Admin Kabupaten]]</f>
        <v>90</v>
      </c>
    </row>
    <row r="728" spans="1:13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90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region_summary__39[[#This Row],[APPROVED BY Pengawas]]+region_summary__39[[#This Row],[EDITED BY Admin Kabupaten]]</f>
        <v>0</v>
      </c>
    </row>
    <row r="729" spans="1:13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region_summary__39[[#This Row],[APPROVED BY Pengawas]]+region_summary__39[[#This Row],[EDITED BY Admin Kabupaten]]</f>
        <v>0</v>
      </c>
    </row>
    <row r="730" spans="1:13" x14ac:dyDescent="0.25">
      <c r="A730" s="4" t="s">
        <v>238</v>
      </c>
      <c r="B730">
        <v>7172012004000800</v>
      </c>
      <c r="C730">
        <v>77</v>
      </c>
      <c r="D730">
        <v>67</v>
      </c>
      <c r="E730">
        <v>0</v>
      </c>
      <c r="F730">
        <v>0</v>
      </c>
      <c r="G730">
        <v>10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region_summary__39[[#This Row],[APPROVED BY Pengawas]]+region_summary__39[[#This Row],[EDITED BY Admin Kabupaten]]</f>
        <v>67</v>
      </c>
    </row>
    <row r="731" spans="1:13" x14ac:dyDescent="0.25">
      <c r="A731" s="4" t="s">
        <v>61</v>
      </c>
      <c r="B731">
        <v>7172012004001201</v>
      </c>
      <c r="C731">
        <v>240</v>
      </c>
      <c r="D731">
        <v>18</v>
      </c>
      <c r="E731">
        <v>4</v>
      </c>
      <c r="F731">
        <v>0</v>
      </c>
      <c r="G731">
        <v>218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region_summary__39[[#This Row],[APPROVED BY Pengawas]]+region_summary__39[[#This Row],[EDITED BY Admin Kabupaten]]</f>
        <v>18</v>
      </c>
    </row>
    <row r="732" spans="1:13" x14ac:dyDescent="0.25">
      <c r="A732" s="4" t="s">
        <v>61</v>
      </c>
      <c r="B732">
        <v>7172012004001100</v>
      </c>
      <c r="C732">
        <v>180</v>
      </c>
      <c r="D732">
        <v>138</v>
      </c>
      <c r="E732">
        <v>0</v>
      </c>
      <c r="F732">
        <v>0</v>
      </c>
      <c r="G732">
        <v>42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region_summary__39[[#This Row],[APPROVED BY Pengawas]]+region_summary__39[[#This Row],[EDITED BY Admin Kabupaten]]</f>
        <v>138</v>
      </c>
    </row>
    <row r="733" spans="1:13" x14ac:dyDescent="0.25">
      <c r="A733" s="4" t="s">
        <v>61</v>
      </c>
      <c r="B733">
        <v>7172012004001202</v>
      </c>
      <c r="C733">
        <v>127</v>
      </c>
      <c r="D733">
        <v>59</v>
      </c>
      <c r="E733">
        <v>3</v>
      </c>
      <c r="F733">
        <v>0</v>
      </c>
      <c r="G733">
        <v>65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region_summary__39[[#This Row],[APPROVED BY Pengawas]]+region_summary__39[[#This Row],[EDITED BY Admin Kabupaten]]</f>
        <v>59</v>
      </c>
    </row>
    <row r="734" spans="1:13" x14ac:dyDescent="0.25">
      <c r="A734" s="4" t="s">
        <v>61</v>
      </c>
      <c r="B734">
        <v>7172012004001003</v>
      </c>
      <c r="C734">
        <v>93</v>
      </c>
      <c r="D734">
        <v>19</v>
      </c>
      <c r="E734">
        <v>0</v>
      </c>
      <c r="F734">
        <v>0</v>
      </c>
      <c r="G734">
        <v>74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region_summary__39[[#This Row],[APPROVED BY Pengawas]]+region_summary__39[[#This Row],[EDITED BY Admin Kabupaten]]</f>
        <v>19</v>
      </c>
    </row>
    <row r="735" spans="1:13" x14ac:dyDescent="0.25">
      <c r="A735" s="4" t="s">
        <v>61</v>
      </c>
      <c r="B735">
        <v>7172012004001002</v>
      </c>
      <c r="C735">
        <v>67</v>
      </c>
      <c r="D735">
        <v>49</v>
      </c>
      <c r="E735">
        <v>0</v>
      </c>
      <c r="F735">
        <v>0</v>
      </c>
      <c r="G735">
        <v>18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region_summary__39[[#This Row],[APPROVED BY Pengawas]]+region_summary__39[[#This Row],[EDITED BY Admin Kabupaten]]</f>
        <v>49</v>
      </c>
    </row>
    <row r="736" spans="1:13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region_summary__39[[#This Row],[APPROVED BY Pengawas]]+region_summary__39[[#This Row],[EDITED BY Admin Kabupaten]]</f>
        <v>0</v>
      </c>
    </row>
    <row r="737" spans="1:13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region_summary__39[[#This Row],[APPROVED BY Pengawas]]+region_summary__39[[#This Row],[EDITED BY Admin Kabupaten]]</f>
        <v>0</v>
      </c>
    </row>
    <row r="738" spans="1:13" x14ac:dyDescent="0.25">
      <c r="A738" s="4" t="s">
        <v>66</v>
      </c>
      <c r="B738">
        <v>7172012005000400</v>
      </c>
      <c r="C738">
        <v>62</v>
      </c>
      <c r="D738">
        <v>48</v>
      </c>
      <c r="E738">
        <v>2</v>
      </c>
      <c r="F738">
        <v>0</v>
      </c>
      <c r="G738">
        <v>9</v>
      </c>
      <c r="H738">
        <v>0</v>
      </c>
      <c r="I738">
        <v>0</v>
      </c>
      <c r="J738">
        <v>0</v>
      </c>
      <c r="K738">
        <v>3</v>
      </c>
      <c r="L738">
        <v>0</v>
      </c>
      <c r="M738">
        <f>region_summary__39[[#This Row],[APPROVED BY Pengawas]]+region_summary__39[[#This Row],[EDITED BY Admin Kabupaten]]</f>
        <v>48</v>
      </c>
    </row>
    <row r="739" spans="1:13" x14ac:dyDescent="0.25">
      <c r="A739" s="4" t="s">
        <v>66</v>
      </c>
      <c r="B739">
        <v>7172012005000600</v>
      </c>
      <c r="C739">
        <v>59</v>
      </c>
      <c r="D739">
        <v>27</v>
      </c>
      <c r="E739">
        <v>1</v>
      </c>
      <c r="F739">
        <v>0</v>
      </c>
      <c r="G739">
        <v>4</v>
      </c>
      <c r="H739">
        <v>0</v>
      </c>
      <c r="I739">
        <v>0</v>
      </c>
      <c r="J739">
        <v>0</v>
      </c>
      <c r="K739">
        <v>27</v>
      </c>
      <c r="L739">
        <v>0</v>
      </c>
      <c r="M739">
        <f>region_summary__39[[#This Row],[APPROVED BY Pengawas]]+region_summary__39[[#This Row],[EDITED BY Admin Kabupaten]]</f>
        <v>27</v>
      </c>
    </row>
    <row r="740" spans="1:13" x14ac:dyDescent="0.25">
      <c r="A740" s="4" t="s">
        <v>66</v>
      </c>
      <c r="B740">
        <v>7172012005000500</v>
      </c>
      <c r="C740">
        <v>56</v>
      </c>
      <c r="D740">
        <v>50</v>
      </c>
      <c r="E740">
        <v>0</v>
      </c>
      <c r="F740">
        <v>0</v>
      </c>
      <c r="G740">
        <v>5</v>
      </c>
      <c r="H740">
        <v>0</v>
      </c>
      <c r="I740">
        <v>0</v>
      </c>
      <c r="J740">
        <v>0</v>
      </c>
      <c r="K740">
        <v>1</v>
      </c>
      <c r="L740">
        <v>0</v>
      </c>
      <c r="M740">
        <f>region_summary__39[[#This Row],[APPROVED BY Pengawas]]+region_summary__39[[#This Row],[EDITED BY Admin Kabupaten]]</f>
        <v>50</v>
      </c>
    </row>
    <row r="741" spans="1:13" x14ac:dyDescent="0.25">
      <c r="A741" s="4" t="s">
        <v>66</v>
      </c>
      <c r="B741">
        <v>7172012005002400</v>
      </c>
      <c r="C741">
        <v>52</v>
      </c>
      <c r="D741">
        <v>15</v>
      </c>
      <c r="E741">
        <v>1</v>
      </c>
      <c r="F741">
        <v>0</v>
      </c>
      <c r="G741">
        <v>14</v>
      </c>
      <c r="H741">
        <v>0</v>
      </c>
      <c r="I741">
        <v>0</v>
      </c>
      <c r="J741">
        <v>0</v>
      </c>
      <c r="K741">
        <v>22</v>
      </c>
      <c r="L741">
        <v>0</v>
      </c>
      <c r="M741">
        <f>region_summary__39[[#This Row],[APPROVED BY Pengawas]]+region_summary__39[[#This Row],[EDITED BY Admin Kabupaten]]</f>
        <v>15</v>
      </c>
    </row>
    <row r="742" spans="1:13" x14ac:dyDescent="0.25">
      <c r="A742" s="4" t="s">
        <v>66</v>
      </c>
      <c r="B742">
        <v>7172012005002200</v>
      </c>
      <c r="C742">
        <v>47</v>
      </c>
      <c r="D742">
        <v>0</v>
      </c>
      <c r="E742">
        <v>1</v>
      </c>
      <c r="F742">
        <v>0</v>
      </c>
      <c r="G742">
        <v>26</v>
      </c>
      <c r="H742">
        <v>0</v>
      </c>
      <c r="I742">
        <v>0</v>
      </c>
      <c r="J742">
        <v>0</v>
      </c>
      <c r="K742">
        <v>20</v>
      </c>
      <c r="L742">
        <v>0</v>
      </c>
      <c r="M742">
        <f>region_summary__39[[#This Row],[APPROVED BY Pengawas]]+region_summary__39[[#This Row],[EDITED BY Admin Kabupaten]]</f>
        <v>0</v>
      </c>
    </row>
    <row r="743" spans="1:13" x14ac:dyDescent="0.25">
      <c r="A743" s="4" t="s">
        <v>66</v>
      </c>
      <c r="B743">
        <v>7172012005002300</v>
      </c>
      <c r="C743">
        <v>45</v>
      </c>
      <c r="D743">
        <v>0</v>
      </c>
      <c r="E743">
        <v>0</v>
      </c>
      <c r="F743">
        <v>0</v>
      </c>
      <c r="G743">
        <v>45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region_summary__39[[#This Row],[APPROVED BY Pengawas]]+region_summary__39[[#This Row],[EDITED BY Admin Kabupaten]]</f>
        <v>0</v>
      </c>
    </row>
    <row r="744" spans="1:13" x14ac:dyDescent="0.25">
      <c r="A744" s="4" t="s">
        <v>66</v>
      </c>
      <c r="B744">
        <v>7172012005000300</v>
      </c>
      <c r="C744">
        <v>42</v>
      </c>
      <c r="D744">
        <v>39</v>
      </c>
      <c r="E744">
        <v>0</v>
      </c>
      <c r="F744">
        <v>0</v>
      </c>
      <c r="G744">
        <v>2</v>
      </c>
      <c r="H744">
        <v>0</v>
      </c>
      <c r="I744">
        <v>0</v>
      </c>
      <c r="J744">
        <v>1</v>
      </c>
      <c r="K744">
        <v>0</v>
      </c>
      <c r="L744">
        <v>0</v>
      </c>
      <c r="M744">
        <f>region_summary__39[[#This Row],[APPROVED BY Pengawas]]+region_summary__39[[#This Row],[EDITED BY Admin Kabupaten]]</f>
        <v>39</v>
      </c>
    </row>
    <row r="745" spans="1:13" x14ac:dyDescent="0.25">
      <c r="A745" s="4" t="s">
        <v>66</v>
      </c>
      <c r="B745">
        <v>7172012005002100</v>
      </c>
      <c r="C745">
        <v>36</v>
      </c>
      <c r="D745">
        <v>0</v>
      </c>
      <c r="E745">
        <v>3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19</v>
      </c>
      <c r="L745">
        <v>0</v>
      </c>
      <c r="M745">
        <f>region_summary__39[[#This Row],[APPROVED BY Pengawas]]+region_summary__39[[#This Row],[EDITED BY Admin Kabupaten]]</f>
        <v>0</v>
      </c>
    </row>
    <row r="746" spans="1:13" x14ac:dyDescent="0.25">
      <c r="A746" s="4" t="s">
        <v>66</v>
      </c>
      <c r="B746">
        <v>7172012005002000</v>
      </c>
      <c r="C746">
        <v>26</v>
      </c>
      <c r="D746">
        <v>0</v>
      </c>
      <c r="E746">
        <v>1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region_summary__39[[#This Row],[APPROVED BY Pengawas]]+region_summary__39[[#This Row],[EDITED BY Admin Kabupaten]]</f>
        <v>0</v>
      </c>
    </row>
    <row r="747" spans="1:13" x14ac:dyDescent="0.25">
      <c r="A747" s="4" t="s">
        <v>68</v>
      </c>
      <c r="B747">
        <v>7172012007002000</v>
      </c>
      <c r="C747">
        <v>127</v>
      </c>
      <c r="D747">
        <v>122</v>
      </c>
      <c r="E747">
        <v>2</v>
      </c>
      <c r="F747">
        <v>0</v>
      </c>
      <c r="G747">
        <v>3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region_summary__39[[#This Row],[APPROVED BY Pengawas]]+region_summary__39[[#This Row],[EDITED BY Admin Kabupaten]]</f>
        <v>122</v>
      </c>
    </row>
    <row r="748" spans="1:13" x14ac:dyDescent="0.25">
      <c r="A748" s="4" t="s">
        <v>68</v>
      </c>
      <c r="B748">
        <v>7172012007001800</v>
      </c>
      <c r="C748">
        <v>126</v>
      </c>
      <c r="D748">
        <v>63</v>
      </c>
      <c r="E748">
        <v>4</v>
      </c>
      <c r="F748">
        <v>0</v>
      </c>
      <c r="G748">
        <v>55</v>
      </c>
      <c r="H748">
        <v>0</v>
      </c>
      <c r="I748">
        <v>0</v>
      </c>
      <c r="J748">
        <v>0</v>
      </c>
      <c r="K748">
        <v>4</v>
      </c>
      <c r="L748">
        <v>0</v>
      </c>
      <c r="M748">
        <f>region_summary__39[[#This Row],[APPROVED BY Pengawas]]+region_summary__39[[#This Row],[EDITED BY Admin Kabupaten]]</f>
        <v>63</v>
      </c>
    </row>
    <row r="749" spans="1:13" x14ac:dyDescent="0.25">
      <c r="A749" s="4" t="s">
        <v>68</v>
      </c>
      <c r="B749">
        <v>7172012007001700</v>
      </c>
      <c r="C749">
        <v>116</v>
      </c>
      <c r="D749">
        <v>2</v>
      </c>
      <c r="E749">
        <v>1</v>
      </c>
      <c r="F749">
        <v>0</v>
      </c>
      <c r="G749">
        <v>109</v>
      </c>
      <c r="H749">
        <v>0</v>
      </c>
      <c r="I749">
        <v>0</v>
      </c>
      <c r="J749">
        <v>0</v>
      </c>
      <c r="K749">
        <v>4</v>
      </c>
      <c r="L749">
        <v>0</v>
      </c>
      <c r="M749">
        <f>region_summary__39[[#This Row],[APPROVED BY Pengawas]]+region_summary__39[[#This Row],[EDITED BY Admin Kabupaten]]</f>
        <v>2</v>
      </c>
    </row>
    <row r="750" spans="1:13" x14ac:dyDescent="0.25">
      <c r="A750" s="4" t="s">
        <v>68</v>
      </c>
      <c r="B750">
        <v>7172012007002100</v>
      </c>
      <c r="C750">
        <v>108</v>
      </c>
      <c r="D750">
        <v>87</v>
      </c>
      <c r="E750">
        <v>4</v>
      </c>
      <c r="F750">
        <v>0</v>
      </c>
      <c r="G750">
        <v>15</v>
      </c>
      <c r="H750">
        <v>0</v>
      </c>
      <c r="I750">
        <v>0</v>
      </c>
      <c r="J750">
        <v>0</v>
      </c>
      <c r="K750">
        <v>2</v>
      </c>
      <c r="L750">
        <v>0</v>
      </c>
      <c r="M750">
        <f>region_summary__39[[#This Row],[APPROVED BY Pengawas]]+region_summary__39[[#This Row],[EDITED BY Admin Kabupaten]]</f>
        <v>87</v>
      </c>
    </row>
    <row r="751" spans="1:13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92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region_summary__39[[#This Row],[APPROVED BY Pengawas]]+region_summary__39[[#This Row],[EDITED BY Admin Kabupaten]]</f>
        <v>0</v>
      </c>
    </row>
    <row r="752" spans="1:13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region_summary__39[[#This Row],[APPROVED BY Pengawas]]+region_summary__39[[#This Row],[EDITED BY Admin Kabupaten]]</f>
        <v>0</v>
      </c>
    </row>
    <row r="753" spans="1:13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region_summary__39[[#This Row],[APPROVED BY Pengawas]]+region_summary__39[[#This Row],[EDITED BY Admin Kabupaten]]</f>
        <v>0</v>
      </c>
    </row>
    <row r="754" spans="1:13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region_summary__39[[#This Row],[APPROVED BY Pengawas]]+region_summary__39[[#This Row],[EDITED BY Admin Kabupaten]]</f>
        <v>0</v>
      </c>
    </row>
    <row r="755" spans="1:13" x14ac:dyDescent="0.25">
      <c r="A755" s="4" t="s">
        <v>69</v>
      </c>
      <c r="B755">
        <v>7172012006000801</v>
      </c>
      <c r="C755">
        <v>156</v>
      </c>
      <c r="D755">
        <v>94</v>
      </c>
      <c r="E755">
        <v>4</v>
      </c>
      <c r="F755">
        <v>0</v>
      </c>
      <c r="G755">
        <v>58</v>
      </c>
      <c r="H755">
        <v>0</v>
      </c>
      <c r="I755">
        <v>0</v>
      </c>
      <c r="J755">
        <v>0</v>
      </c>
      <c r="K755">
        <v>0</v>
      </c>
      <c r="L755">
        <v>0</v>
      </c>
      <c r="M755">
        <f>region_summary__39[[#This Row],[APPROVED BY Pengawas]]+region_summary__39[[#This Row],[EDITED BY Admin Kabupaten]]</f>
        <v>94</v>
      </c>
    </row>
    <row r="756" spans="1:13" x14ac:dyDescent="0.25">
      <c r="A756" s="4" t="s">
        <v>69</v>
      </c>
      <c r="B756">
        <v>7172012006000700</v>
      </c>
      <c r="C756">
        <v>135</v>
      </c>
      <c r="D756">
        <v>0</v>
      </c>
      <c r="E756">
        <v>0</v>
      </c>
      <c r="F756">
        <v>0</v>
      </c>
      <c r="G756">
        <v>135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region_summary__39[[#This Row],[APPROVED BY Pengawas]]+region_summary__39[[#This Row],[EDITED BY Admin Kabupaten]]</f>
        <v>0</v>
      </c>
    </row>
    <row r="757" spans="1:13" x14ac:dyDescent="0.25">
      <c r="A757" s="4" t="s">
        <v>69</v>
      </c>
      <c r="B757">
        <v>7172012006000901</v>
      </c>
      <c r="C757">
        <v>130</v>
      </c>
      <c r="D757">
        <v>0</v>
      </c>
      <c r="E757">
        <v>0</v>
      </c>
      <c r="F757">
        <v>0</v>
      </c>
      <c r="G757">
        <v>130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region_summary__39[[#This Row],[APPROVED BY Pengawas]]+region_summary__39[[#This Row],[EDITED BY Admin Kabupaten]]</f>
        <v>0</v>
      </c>
    </row>
    <row r="758" spans="1:13" x14ac:dyDescent="0.25">
      <c r="A758" s="4" t="s">
        <v>69</v>
      </c>
      <c r="B758">
        <v>7172012006000802</v>
      </c>
      <c r="C758">
        <v>121</v>
      </c>
      <c r="D758">
        <v>115</v>
      </c>
      <c r="E758">
        <v>5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region_summary__39[[#This Row],[APPROVED BY Pengawas]]+region_summary__39[[#This Row],[EDITED BY Admin Kabupaten]]</f>
        <v>116</v>
      </c>
    </row>
    <row r="759" spans="1:13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f>region_summary__39[[#This Row],[APPROVED BY Pengawas]]+region_summary__39[[#This Row],[EDITED BY Admin Kabupaten]]</f>
        <v>0</v>
      </c>
    </row>
    <row r="760" spans="1:13" x14ac:dyDescent="0.25">
      <c r="A760" s="4" t="s">
        <v>69</v>
      </c>
      <c r="B760">
        <v>7172012006000500</v>
      </c>
      <c r="C760">
        <v>75</v>
      </c>
      <c r="D760">
        <v>74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region_summary__39[[#This Row],[APPROVED BY Pengawas]]+region_summary__39[[#This Row],[EDITED BY Admin Kabupaten]]</f>
        <v>74</v>
      </c>
    </row>
    <row r="761" spans="1:13" x14ac:dyDescent="0.25">
      <c r="A761" s="4" t="s">
        <v>55</v>
      </c>
      <c r="B761">
        <v>7172012006001800</v>
      </c>
      <c r="C761">
        <v>163</v>
      </c>
      <c r="D761">
        <v>141</v>
      </c>
      <c r="E761">
        <v>0</v>
      </c>
      <c r="F761">
        <v>0</v>
      </c>
      <c r="G761">
        <v>21</v>
      </c>
      <c r="H761">
        <v>0</v>
      </c>
      <c r="I761">
        <v>0</v>
      </c>
      <c r="J761">
        <v>0</v>
      </c>
      <c r="K761">
        <v>1</v>
      </c>
      <c r="L761">
        <v>0</v>
      </c>
      <c r="M761">
        <f>region_summary__39[[#This Row],[APPROVED BY Pengawas]]+region_summary__39[[#This Row],[EDITED BY Admin Kabupaten]]</f>
        <v>141</v>
      </c>
    </row>
    <row r="762" spans="1:13" x14ac:dyDescent="0.25">
      <c r="A762" s="4" t="s">
        <v>55</v>
      </c>
      <c r="B762">
        <v>7172012006001700</v>
      </c>
      <c r="C762">
        <v>145</v>
      </c>
      <c r="D762">
        <v>20</v>
      </c>
      <c r="E762">
        <v>0</v>
      </c>
      <c r="F762">
        <v>0</v>
      </c>
      <c r="G762">
        <v>125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region_summary__39[[#This Row],[APPROVED BY Pengawas]]+region_summary__39[[#This Row],[EDITED BY Admin Kabupaten]]</f>
        <v>20</v>
      </c>
    </row>
    <row r="763" spans="1:13" x14ac:dyDescent="0.25">
      <c r="A763" s="4" t="s">
        <v>55</v>
      </c>
      <c r="B763">
        <v>7172012006001900</v>
      </c>
      <c r="C763">
        <v>132</v>
      </c>
      <c r="D763">
        <v>33</v>
      </c>
      <c r="E763">
        <v>0</v>
      </c>
      <c r="F763">
        <v>0</v>
      </c>
      <c r="G763">
        <v>99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region_summary__39[[#This Row],[APPROVED BY Pengawas]]+region_summary__39[[#This Row],[EDITED BY Admin Kabupaten]]</f>
        <v>33</v>
      </c>
    </row>
    <row r="764" spans="1:13" x14ac:dyDescent="0.25">
      <c r="A764" s="4" t="s">
        <v>55</v>
      </c>
      <c r="B764">
        <v>7172012006001400</v>
      </c>
      <c r="C764">
        <v>107</v>
      </c>
      <c r="D764">
        <v>59</v>
      </c>
      <c r="E764">
        <v>0</v>
      </c>
      <c r="F764">
        <v>0</v>
      </c>
      <c r="G764">
        <v>48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region_summary__39[[#This Row],[APPROVED BY Pengawas]]+region_summary__39[[#This Row],[EDITED BY Admin Kabupaten]]</f>
        <v>59</v>
      </c>
    </row>
    <row r="765" spans="1:13" x14ac:dyDescent="0.25">
      <c r="A765" s="4" t="s">
        <v>55</v>
      </c>
      <c r="B765">
        <v>7172012002001200</v>
      </c>
      <c r="C765">
        <v>55</v>
      </c>
      <c r="D765">
        <v>4</v>
      </c>
      <c r="E765">
        <v>1</v>
      </c>
      <c r="F765">
        <v>0</v>
      </c>
      <c r="G765">
        <v>49</v>
      </c>
      <c r="H765">
        <v>0</v>
      </c>
      <c r="I765">
        <v>0</v>
      </c>
      <c r="J765">
        <v>0</v>
      </c>
      <c r="K765">
        <v>1</v>
      </c>
      <c r="L765">
        <v>0</v>
      </c>
      <c r="M765">
        <f>region_summary__39[[#This Row],[APPROVED BY Pengawas]]+region_summary__39[[#This Row],[EDITED BY Admin Kabupaten]]</f>
        <v>4</v>
      </c>
    </row>
    <row r="766" spans="1:13" x14ac:dyDescent="0.25">
      <c r="A766" s="4" t="s">
        <v>73</v>
      </c>
      <c r="B766">
        <v>7172012007001300</v>
      </c>
      <c r="C766">
        <v>170</v>
      </c>
      <c r="D766">
        <v>103</v>
      </c>
      <c r="E766">
        <v>3</v>
      </c>
      <c r="F766">
        <v>1</v>
      </c>
      <c r="G766">
        <v>63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region_summary__39[[#This Row],[APPROVED BY Pengawas]]+region_summary__39[[#This Row],[EDITED BY Admin Kabupaten]]</f>
        <v>104</v>
      </c>
    </row>
    <row r="767" spans="1:13" x14ac:dyDescent="0.25">
      <c r="A767" s="4" t="s">
        <v>73</v>
      </c>
      <c r="B767">
        <v>7172012007001400</v>
      </c>
      <c r="C767">
        <v>110</v>
      </c>
      <c r="D767">
        <v>52</v>
      </c>
      <c r="E767">
        <v>3</v>
      </c>
      <c r="F767">
        <v>0</v>
      </c>
      <c r="G767">
        <v>55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region_summary__39[[#This Row],[APPROVED BY Pengawas]]+region_summary__39[[#This Row],[EDITED BY Admin Kabupaten]]</f>
        <v>52</v>
      </c>
    </row>
    <row r="768" spans="1:13" x14ac:dyDescent="0.25">
      <c r="A768" s="4" t="s">
        <v>73</v>
      </c>
      <c r="B768">
        <v>7172012007001500</v>
      </c>
      <c r="C768">
        <v>103</v>
      </c>
      <c r="D768">
        <v>84</v>
      </c>
      <c r="E768">
        <v>3</v>
      </c>
      <c r="F768">
        <v>1</v>
      </c>
      <c r="G768">
        <v>15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region_summary__39[[#This Row],[APPROVED BY Pengawas]]+region_summary__39[[#This Row],[EDITED BY Admin Kabupaten]]</f>
        <v>85</v>
      </c>
    </row>
    <row r="769" spans="1:13" x14ac:dyDescent="0.25">
      <c r="A769" s="4" t="s">
        <v>73</v>
      </c>
      <c r="B769">
        <v>7172012007001200</v>
      </c>
      <c r="C769">
        <v>85</v>
      </c>
      <c r="D769">
        <v>11</v>
      </c>
      <c r="E769">
        <v>0</v>
      </c>
      <c r="F769">
        <v>0</v>
      </c>
      <c r="G769">
        <v>74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region_summary__39[[#This Row],[APPROVED BY Pengawas]]+region_summary__39[[#This Row],[EDITED BY Admin Kabupaten]]</f>
        <v>11</v>
      </c>
    </row>
    <row r="770" spans="1:13" x14ac:dyDescent="0.25">
      <c r="A770" s="4" t="s">
        <v>73</v>
      </c>
      <c r="B770">
        <v>7172012007001600</v>
      </c>
      <c r="C770">
        <v>81</v>
      </c>
      <c r="D770">
        <v>6</v>
      </c>
      <c r="E770">
        <v>0</v>
      </c>
      <c r="F770">
        <v>0</v>
      </c>
      <c r="G770">
        <v>75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region_summary__39[[#This Row],[APPROVED BY Pengawas]]+region_summary__39[[#This Row],[EDITED BY Admin Kabupaten]]</f>
        <v>6</v>
      </c>
    </row>
    <row r="771" spans="1:13" x14ac:dyDescent="0.25">
      <c r="A771" s="4" t="s">
        <v>73</v>
      </c>
      <c r="B771">
        <v>7172012007001900</v>
      </c>
      <c r="C771">
        <v>78</v>
      </c>
      <c r="D771">
        <v>4</v>
      </c>
      <c r="E771">
        <v>0</v>
      </c>
      <c r="F771">
        <v>0</v>
      </c>
      <c r="G771">
        <v>73</v>
      </c>
      <c r="H771">
        <v>0</v>
      </c>
      <c r="I771">
        <v>0</v>
      </c>
      <c r="J771">
        <v>0</v>
      </c>
      <c r="K771">
        <v>1</v>
      </c>
      <c r="L771">
        <v>0</v>
      </c>
      <c r="M771">
        <f>region_summary__39[[#This Row],[APPROVED BY Pengawas]]+region_summary__39[[#This Row],[EDITED BY Admin Kabupaten]]</f>
        <v>4</v>
      </c>
    </row>
    <row r="772" spans="1:13" x14ac:dyDescent="0.25">
      <c r="A772" s="4" t="s">
        <v>77</v>
      </c>
      <c r="B772">
        <v>7172021003000200</v>
      </c>
      <c r="C772">
        <v>113</v>
      </c>
      <c r="D772">
        <v>113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region_summary__39[[#This Row],[APPROVED BY Pengawas]]+region_summary__39[[#This Row],[EDITED BY Admin Kabupaten]]</f>
        <v>113</v>
      </c>
    </row>
    <row r="773" spans="1:13" x14ac:dyDescent="0.25">
      <c r="A773" s="4" t="s">
        <v>77</v>
      </c>
      <c r="B773">
        <v>7172021003000400</v>
      </c>
      <c r="C773">
        <v>106</v>
      </c>
      <c r="D773">
        <v>75</v>
      </c>
      <c r="E773">
        <v>2</v>
      </c>
      <c r="F773">
        <v>0</v>
      </c>
      <c r="G773">
        <v>29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region_summary__39[[#This Row],[APPROVED BY Pengawas]]+region_summary__39[[#This Row],[EDITED BY Admin Kabupaten]]</f>
        <v>75</v>
      </c>
    </row>
    <row r="774" spans="1:13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region_summary__39[[#This Row],[APPROVED BY Pengawas]]+region_summary__39[[#This Row],[EDITED BY Admin Kabupaten]]</f>
        <v>0</v>
      </c>
    </row>
    <row r="775" spans="1:13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region_summary__39[[#This Row],[APPROVED BY Pengawas]]+region_summary__39[[#This Row],[EDITED BY Admin Kabupaten]]</f>
        <v>0</v>
      </c>
    </row>
    <row r="776" spans="1:13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region_summary__39[[#This Row],[APPROVED BY Pengawas]]+region_summary__39[[#This Row],[EDITED BY Admin Kabupaten]]</f>
        <v>0</v>
      </c>
    </row>
    <row r="777" spans="1:13" x14ac:dyDescent="0.25">
      <c r="A777" s="4" t="s">
        <v>80</v>
      </c>
      <c r="B777">
        <v>7172021006001200</v>
      </c>
      <c r="C777">
        <v>88</v>
      </c>
      <c r="D777">
        <v>11</v>
      </c>
      <c r="E777">
        <v>0</v>
      </c>
      <c r="F777">
        <v>0</v>
      </c>
      <c r="G777">
        <v>76</v>
      </c>
      <c r="H777">
        <v>0</v>
      </c>
      <c r="I777">
        <v>0</v>
      </c>
      <c r="J777">
        <v>0</v>
      </c>
      <c r="K777">
        <v>1</v>
      </c>
      <c r="L777">
        <v>0</v>
      </c>
      <c r="M777">
        <f>region_summary__39[[#This Row],[APPROVED BY Pengawas]]+region_summary__39[[#This Row],[EDITED BY Admin Kabupaten]]</f>
        <v>11</v>
      </c>
    </row>
    <row r="778" spans="1:13" x14ac:dyDescent="0.25">
      <c r="A778" s="4" t="s">
        <v>80</v>
      </c>
      <c r="B778">
        <v>7172021006001400</v>
      </c>
      <c r="C778">
        <v>81</v>
      </c>
      <c r="D778">
        <v>44</v>
      </c>
      <c r="E778">
        <v>7</v>
      </c>
      <c r="F778">
        <v>0</v>
      </c>
      <c r="G778">
        <v>30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f>region_summary__39[[#This Row],[APPROVED BY Pengawas]]+region_summary__39[[#This Row],[EDITED BY Admin Kabupaten]]</f>
        <v>44</v>
      </c>
    </row>
    <row r="779" spans="1:13" x14ac:dyDescent="0.25">
      <c r="A779" s="4" t="s">
        <v>80</v>
      </c>
      <c r="B779">
        <v>7172021006001500</v>
      </c>
      <c r="C779">
        <v>66</v>
      </c>
      <c r="D779">
        <v>0</v>
      </c>
      <c r="E779">
        <v>0</v>
      </c>
      <c r="F779">
        <v>0</v>
      </c>
      <c r="G779">
        <v>65</v>
      </c>
      <c r="H779">
        <v>0</v>
      </c>
      <c r="I779">
        <v>0</v>
      </c>
      <c r="J779">
        <v>0</v>
      </c>
      <c r="K779">
        <v>1</v>
      </c>
      <c r="L779">
        <v>0</v>
      </c>
      <c r="M779">
        <f>region_summary__39[[#This Row],[APPROVED BY Pengawas]]+region_summary__39[[#This Row],[EDITED BY Admin Kabupaten]]</f>
        <v>0</v>
      </c>
    </row>
    <row r="780" spans="1:13" x14ac:dyDescent="0.25">
      <c r="A780" s="4" t="s">
        <v>80</v>
      </c>
      <c r="B780">
        <v>7172021006000900</v>
      </c>
      <c r="C780">
        <v>58</v>
      </c>
      <c r="D780">
        <v>38</v>
      </c>
      <c r="E780">
        <v>0</v>
      </c>
      <c r="F780">
        <v>0</v>
      </c>
      <c r="G780">
        <v>19</v>
      </c>
      <c r="H780">
        <v>0</v>
      </c>
      <c r="I780">
        <v>0</v>
      </c>
      <c r="J780">
        <v>0</v>
      </c>
      <c r="K780">
        <v>1</v>
      </c>
      <c r="L780">
        <v>0</v>
      </c>
      <c r="M780">
        <f>region_summary__39[[#This Row],[APPROVED BY Pengawas]]+region_summary__39[[#This Row],[EDITED BY Admin Kabupaten]]</f>
        <v>38</v>
      </c>
    </row>
    <row r="781" spans="1:13" x14ac:dyDescent="0.25">
      <c r="A781" s="4" t="s">
        <v>80</v>
      </c>
      <c r="B781">
        <v>7172021006001000</v>
      </c>
      <c r="C781">
        <v>58</v>
      </c>
      <c r="D781">
        <v>5</v>
      </c>
      <c r="E781">
        <v>0</v>
      </c>
      <c r="F781">
        <v>0</v>
      </c>
      <c r="G781">
        <v>48</v>
      </c>
      <c r="H781">
        <v>0</v>
      </c>
      <c r="I781">
        <v>0</v>
      </c>
      <c r="J781">
        <v>1</v>
      </c>
      <c r="K781">
        <v>4</v>
      </c>
      <c r="L781">
        <v>0</v>
      </c>
      <c r="M781">
        <f>region_summary__39[[#This Row],[APPROVED BY Pengawas]]+region_summary__39[[#This Row],[EDITED BY Admin Kabupaten]]</f>
        <v>5</v>
      </c>
    </row>
    <row r="782" spans="1:13" x14ac:dyDescent="0.25">
      <c r="A782" s="4" t="s">
        <v>80</v>
      </c>
      <c r="B782">
        <v>7172021006000800</v>
      </c>
      <c r="C782">
        <v>53</v>
      </c>
      <c r="D782">
        <v>48</v>
      </c>
      <c r="E782">
        <v>2</v>
      </c>
      <c r="F782">
        <v>0</v>
      </c>
      <c r="G782">
        <v>3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region_summary__39[[#This Row],[APPROVED BY Pengawas]]+region_summary__39[[#This Row],[EDITED BY Admin Kabupaten]]</f>
        <v>48</v>
      </c>
    </row>
    <row r="783" spans="1:13" x14ac:dyDescent="0.25">
      <c r="A783" s="4" t="s">
        <v>80</v>
      </c>
      <c r="B783">
        <v>7172021006001300</v>
      </c>
      <c r="C783">
        <v>45</v>
      </c>
      <c r="D783">
        <v>24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1</v>
      </c>
      <c r="K783">
        <v>20</v>
      </c>
      <c r="L783">
        <v>0</v>
      </c>
      <c r="M783">
        <f>region_summary__39[[#This Row],[APPROVED BY Pengawas]]+region_summary__39[[#This Row],[EDITED BY Admin Kabupaten]]</f>
        <v>24</v>
      </c>
    </row>
    <row r="784" spans="1:13" x14ac:dyDescent="0.25">
      <c r="A784" s="4" t="s">
        <v>80</v>
      </c>
      <c r="B784">
        <v>7172021006001100</v>
      </c>
      <c r="C784">
        <v>41</v>
      </c>
      <c r="D784">
        <v>1</v>
      </c>
      <c r="E784">
        <v>0</v>
      </c>
      <c r="F784">
        <v>0</v>
      </c>
      <c r="G784">
        <v>36</v>
      </c>
      <c r="H784">
        <v>0</v>
      </c>
      <c r="I784">
        <v>0</v>
      </c>
      <c r="J784">
        <v>0</v>
      </c>
      <c r="K784">
        <v>4</v>
      </c>
      <c r="L784">
        <v>0</v>
      </c>
      <c r="M784">
        <f>region_summary__39[[#This Row],[APPROVED BY Pengawas]]+region_summary__39[[#This Row],[EDITED BY Admin Kabupaten]]</f>
        <v>1</v>
      </c>
    </row>
    <row r="785" spans="1:13" x14ac:dyDescent="0.25">
      <c r="A785" s="4" t="s">
        <v>239</v>
      </c>
      <c r="B785">
        <v>7172021006002200</v>
      </c>
      <c r="C785">
        <v>82</v>
      </c>
      <c r="D785">
        <v>26</v>
      </c>
      <c r="E785">
        <v>6</v>
      </c>
      <c r="F785">
        <v>0</v>
      </c>
      <c r="G785">
        <v>49</v>
      </c>
      <c r="H785">
        <v>0</v>
      </c>
      <c r="I785">
        <v>0</v>
      </c>
      <c r="J785">
        <v>0</v>
      </c>
      <c r="K785">
        <v>1</v>
      </c>
      <c r="L785">
        <v>0</v>
      </c>
      <c r="M785">
        <f>region_summary__39[[#This Row],[APPROVED BY Pengawas]]+region_summary__39[[#This Row],[EDITED BY Admin Kabupaten]]</f>
        <v>26</v>
      </c>
    </row>
    <row r="786" spans="1:13" x14ac:dyDescent="0.25">
      <c r="A786" s="4" t="s">
        <v>239</v>
      </c>
      <c r="B786">
        <v>7172021006001600</v>
      </c>
      <c r="C786">
        <v>74</v>
      </c>
      <c r="D786">
        <v>54</v>
      </c>
      <c r="E786">
        <v>12</v>
      </c>
      <c r="F786">
        <v>0</v>
      </c>
      <c r="G786">
        <v>8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region_summary__39[[#This Row],[APPROVED BY Pengawas]]+region_summary__39[[#This Row],[EDITED BY Admin Kabupaten]]</f>
        <v>54</v>
      </c>
    </row>
    <row r="787" spans="1:13" x14ac:dyDescent="0.25">
      <c r="A787" s="4" t="s">
        <v>239</v>
      </c>
      <c r="B787">
        <v>7172021006001800</v>
      </c>
      <c r="C787">
        <v>58</v>
      </c>
      <c r="D787">
        <v>17</v>
      </c>
      <c r="E787">
        <v>7</v>
      </c>
      <c r="F787">
        <v>0</v>
      </c>
      <c r="G787">
        <v>34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region_summary__39[[#This Row],[APPROVED BY Pengawas]]+region_summary__39[[#This Row],[EDITED BY Admin Kabupaten]]</f>
        <v>17</v>
      </c>
    </row>
    <row r="788" spans="1:13" x14ac:dyDescent="0.25">
      <c r="A788" s="4" t="s">
        <v>239</v>
      </c>
      <c r="B788">
        <v>7172021007000400</v>
      </c>
      <c r="C788">
        <v>55</v>
      </c>
      <c r="D788">
        <v>4</v>
      </c>
      <c r="E788">
        <v>1</v>
      </c>
      <c r="F788">
        <v>0</v>
      </c>
      <c r="G788">
        <v>49</v>
      </c>
      <c r="H788">
        <v>0</v>
      </c>
      <c r="I788">
        <v>0</v>
      </c>
      <c r="J788">
        <v>1</v>
      </c>
      <c r="K788">
        <v>0</v>
      </c>
      <c r="L788">
        <v>0</v>
      </c>
      <c r="M788">
        <f>region_summary__39[[#This Row],[APPROVED BY Pengawas]]+region_summary__39[[#This Row],[EDITED BY Admin Kabupaten]]</f>
        <v>4</v>
      </c>
    </row>
    <row r="789" spans="1:13" x14ac:dyDescent="0.25">
      <c r="A789" s="4" t="s">
        <v>239</v>
      </c>
      <c r="B789">
        <v>7172021007000100</v>
      </c>
      <c r="C789">
        <v>52</v>
      </c>
      <c r="D789">
        <v>42</v>
      </c>
      <c r="E789">
        <v>6</v>
      </c>
      <c r="F789">
        <v>0</v>
      </c>
      <c r="G789">
        <v>4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region_summary__39[[#This Row],[APPROVED BY Pengawas]]+region_summary__39[[#This Row],[EDITED BY Admin Kabupaten]]</f>
        <v>42</v>
      </c>
    </row>
    <row r="790" spans="1:13" x14ac:dyDescent="0.25">
      <c r="A790" s="4" t="s">
        <v>239</v>
      </c>
      <c r="B790">
        <v>7172021006001700</v>
      </c>
      <c r="C790">
        <v>45</v>
      </c>
      <c r="D790">
        <v>43</v>
      </c>
      <c r="E790">
        <v>1</v>
      </c>
      <c r="F790">
        <v>0</v>
      </c>
      <c r="G790">
        <v>1</v>
      </c>
      <c r="H790">
        <v>0</v>
      </c>
      <c r="I790">
        <v>0</v>
      </c>
      <c r="J790">
        <v>0</v>
      </c>
      <c r="K790">
        <v>0</v>
      </c>
      <c r="L790">
        <v>0</v>
      </c>
      <c r="M790">
        <f>region_summary__39[[#This Row],[APPROVED BY Pengawas]]+region_summary__39[[#This Row],[EDITED BY Admin Kabupaten]]</f>
        <v>43</v>
      </c>
    </row>
    <row r="791" spans="1:13" x14ac:dyDescent="0.25">
      <c r="A791" s="4" t="s">
        <v>239</v>
      </c>
      <c r="B791">
        <v>7172021007000500</v>
      </c>
      <c r="C791">
        <v>42</v>
      </c>
      <c r="D791">
        <v>7</v>
      </c>
      <c r="E791">
        <v>1</v>
      </c>
      <c r="F791">
        <v>0</v>
      </c>
      <c r="G791">
        <v>34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region_summary__39[[#This Row],[APPROVED BY Pengawas]]+region_summary__39[[#This Row],[EDITED BY Admin Kabupaten]]</f>
        <v>7</v>
      </c>
    </row>
    <row r="792" spans="1:13" x14ac:dyDescent="0.25">
      <c r="A792" s="4" t="s">
        <v>239</v>
      </c>
      <c r="B792">
        <v>7172021007000200</v>
      </c>
      <c r="C792">
        <v>39</v>
      </c>
      <c r="D792">
        <v>8</v>
      </c>
      <c r="E792">
        <v>2</v>
      </c>
      <c r="F792">
        <v>0</v>
      </c>
      <c r="G792">
        <v>29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region_summary__39[[#This Row],[APPROVED BY Pengawas]]+region_summary__39[[#This Row],[EDITED BY Admin Kabupaten]]</f>
        <v>8</v>
      </c>
    </row>
    <row r="793" spans="1:13" x14ac:dyDescent="0.25">
      <c r="A793" s="4" t="s">
        <v>239</v>
      </c>
      <c r="B793">
        <v>7172021007000300</v>
      </c>
      <c r="C793">
        <v>39</v>
      </c>
      <c r="D793">
        <v>4</v>
      </c>
      <c r="E793">
        <v>5</v>
      </c>
      <c r="F793">
        <v>0</v>
      </c>
      <c r="G793">
        <v>30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region_summary__39[[#This Row],[APPROVED BY Pengawas]]+region_summary__39[[#This Row],[EDITED BY Admin Kabupaten]]</f>
        <v>4</v>
      </c>
    </row>
    <row r="794" spans="1:13" x14ac:dyDescent="0.25">
      <c r="A794" s="4" t="s">
        <v>239</v>
      </c>
      <c r="B794">
        <v>7172021007000600</v>
      </c>
      <c r="C794">
        <v>31</v>
      </c>
      <c r="D794">
        <v>7</v>
      </c>
      <c r="E794">
        <v>1</v>
      </c>
      <c r="F794">
        <v>0</v>
      </c>
      <c r="G794">
        <v>23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region_summary__39[[#This Row],[APPROVED BY Pengawas]]+region_summary__39[[#This Row],[EDITED BY Admin Kabupaten]]</f>
        <v>7</v>
      </c>
    </row>
    <row r="795" spans="1:13" x14ac:dyDescent="0.25">
      <c r="A795" s="4" t="s">
        <v>82</v>
      </c>
      <c r="B795">
        <v>7172022001000200</v>
      </c>
      <c r="C795">
        <v>106</v>
      </c>
      <c r="D795">
        <v>87</v>
      </c>
      <c r="E795">
        <v>9</v>
      </c>
      <c r="F795">
        <v>1</v>
      </c>
      <c r="G795">
        <v>8</v>
      </c>
      <c r="H795">
        <v>0</v>
      </c>
      <c r="I795">
        <v>0</v>
      </c>
      <c r="J795">
        <v>0</v>
      </c>
      <c r="K795">
        <v>1</v>
      </c>
      <c r="L795">
        <v>0</v>
      </c>
      <c r="M795">
        <f>region_summary__39[[#This Row],[APPROVED BY Pengawas]]+region_summary__39[[#This Row],[EDITED BY Admin Kabupaten]]</f>
        <v>88</v>
      </c>
    </row>
    <row r="796" spans="1:13" x14ac:dyDescent="0.25">
      <c r="A796" s="4" t="s">
        <v>82</v>
      </c>
      <c r="B796">
        <v>7172022001000300</v>
      </c>
      <c r="C796">
        <v>98</v>
      </c>
      <c r="D796">
        <v>35</v>
      </c>
      <c r="E796">
        <v>5</v>
      </c>
      <c r="F796">
        <v>0</v>
      </c>
      <c r="G796">
        <v>56</v>
      </c>
      <c r="H796">
        <v>0</v>
      </c>
      <c r="I796">
        <v>0</v>
      </c>
      <c r="J796">
        <v>0</v>
      </c>
      <c r="K796">
        <v>2</v>
      </c>
      <c r="L796">
        <v>0</v>
      </c>
      <c r="M796">
        <f>region_summary__39[[#This Row],[APPROVED BY Pengawas]]+region_summary__39[[#This Row],[EDITED BY Admin Kabupaten]]</f>
        <v>35</v>
      </c>
    </row>
    <row r="797" spans="1:13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region_summary__39[[#This Row],[APPROVED BY Pengawas]]+region_summary__39[[#This Row],[EDITED BY Admin Kabupaten]]</f>
        <v>0</v>
      </c>
    </row>
    <row r="798" spans="1:13" x14ac:dyDescent="0.25">
      <c r="A798" s="4" t="s">
        <v>82</v>
      </c>
      <c r="B798">
        <v>7172022001000100</v>
      </c>
      <c r="C798">
        <v>85</v>
      </c>
      <c r="D798">
        <v>70</v>
      </c>
      <c r="E798">
        <v>8</v>
      </c>
      <c r="F798">
        <v>0</v>
      </c>
      <c r="G798">
        <v>5</v>
      </c>
      <c r="H798">
        <v>0</v>
      </c>
      <c r="I798">
        <v>0</v>
      </c>
      <c r="J798">
        <v>0</v>
      </c>
      <c r="K798">
        <v>2</v>
      </c>
      <c r="L798">
        <v>0</v>
      </c>
      <c r="M798">
        <f>region_summary__39[[#This Row],[APPROVED BY Pengawas]]+region_summary__39[[#This Row],[EDITED BY Admin Kabupaten]]</f>
        <v>70</v>
      </c>
    </row>
    <row r="799" spans="1:13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region_summary__39[[#This Row],[APPROVED BY Pengawas]]+region_summary__39[[#This Row],[EDITED BY Admin Kabupaten]]</f>
        <v>0</v>
      </c>
    </row>
    <row r="800" spans="1:13" x14ac:dyDescent="0.25">
      <c r="A800" s="4" t="s">
        <v>84</v>
      </c>
      <c r="B800">
        <v>7172022002000100</v>
      </c>
      <c r="C800">
        <v>89</v>
      </c>
      <c r="D800">
        <v>48</v>
      </c>
      <c r="E800">
        <v>3</v>
      </c>
      <c r="F800">
        <v>0</v>
      </c>
      <c r="G800">
        <v>28</v>
      </c>
      <c r="H800">
        <v>0</v>
      </c>
      <c r="I800">
        <v>0</v>
      </c>
      <c r="J800">
        <v>1</v>
      </c>
      <c r="K800">
        <v>9</v>
      </c>
      <c r="L800">
        <v>0</v>
      </c>
      <c r="M800">
        <f>region_summary__39[[#This Row],[APPROVED BY Pengawas]]+region_summary__39[[#This Row],[EDITED BY Admin Kabupaten]]</f>
        <v>48</v>
      </c>
    </row>
    <row r="801" spans="1:13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region_summary__39[[#This Row],[APPROVED BY Pengawas]]+region_summary__39[[#This Row],[EDITED BY Admin Kabupaten]]</f>
        <v>0</v>
      </c>
    </row>
    <row r="802" spans="1:13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  <c r="L802">
        <v>0</v>
      </c>
      <c r="M802">
        <f>region_summary__39[[#This Row],[APPROVED BY Pengawas]]+region_summary__39[[#This Row],[EDITED BY Admin Kabupaten]]</f>
        <v>0</v>
      </c>
    </row>
    <row r="803" spans="1:13" x14ac:dyDescent="0.25">
      <c r="A803" s="4" t="s">
        <v>84</v>
      </c>
      <c r="B803">
        <v>7172022006000100</v>
      </c>
      <c r="C803">
        <v>53</v>
      </c>
      <c r="D803">
        <v>12</v>
      </c>
      <c r="E803">
        <v>3</v>
      </c>
      <c r="F803">
        <v>0</v>
      </c>
      <c r="G803">
        <v>38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region_summary__39[[#This Row],[APPROVED BY Pengawas]]+region_summary__39[[#This Row],[EDITED BY Admin Kabupaten]]</f>
        <v>12</v>
      </c>
    </row>
    <row r="804" spans="1:13" x14ac:dyDescent="0.25">
      <c r="A804" s="4" t="s">
        <v>84</v>
      </c>
      <c r="B804">
        <v>7172022006000400</v>
      </c>
      <c r="C804">
        <v>48</v>
      </c>
      <c r="D804">
        <v>10</v>
      </c>
      <c r="E804">
        <v>8</v>
      </c>
      <c r="F804">
        <v>0</v>
      </c>
      <c r="G804">
        <v>26</v>
      </c>
      <c r="H804">
        <v>0</v>
      </c>
      <c r="I804">
        <v>2</v>
      </c>
      <c r="J804">
        <v>0</v>
      </c>
      <c r="K804">
        <v>2</v>
      </c>
      <c r="L804">
        <v>0</v>
      </c>
      <c r="M804">
        <f>region_summary__39[[#This Row],[APPROVED BY Pengawas]]+region_summary__39[[#This Row],[EDITED BY Admin Kabupaten]]</f>
        <v>10</v>
      </c>
    </row>
    <row r="805" spans="1:13" x14ac:dyDescent="0.25">
      <c r="A805" s="4" t="s">
        <v>84</v>
      </c>
      <c r="B805">
        <v>7172022006000500</v>
      </c>
      <c r="C805">
        <v>46</v>
      </c>
      <c r="D805">
        <v>7</v>
      </c>
      <c r="E805">
        <v>6</v>
      </c>
      <c r="F805">
        <v>0</v>
      </c>
      <c r="G805">
        <v>27</v>
      </c>
      <c r="H805">
        <v>0</v>
      </c>
      <c r="I805">
        <v>0</v>
      </c>
      <c r="J805">
        <v>0</v>
      </c>
      <c r="K805">
        <v>6</v>
      </c>
      <c r="L805">
        <v>0</v>
      </c>
      <c r="M805">
        <f>region_summary__39[[#This Row],[APPROVED BY Pengawas]]+region_summary__39[[#This Row],[EDITED BY Admin Kabupaten]]</f>
        <v>7</v>
      </c>
    </row>
    <row r="806" spans="1:13" x14ac:dyDescent="0.25">
      <c r="A806" s="4" t="s">
        <v>84</v>
      </c>
      <c r="B806">
        <v>7172022006000600</v>
      </c>
      <c r="C806">
        <v>46</v>
      </c>
      <c r="D806">
        <v>2</v>
      </c>
      <c r="E806">
        <v>0</v>
      </c>
      <c r="F806">
        <v>0</v>
      </c>
      <c r="G806">
        <v>40</v>
      </c>
      <c r="H806">
        <v>0</v>
      </c>
      <c r="I806">
        <v>0</v>
      </c>
      <c r="J806">
        <v>0</v>
      </c>
      <c r="K806">
        <v>4</v>
      </c>
      <c r="L806">
        <v>0</v>
      </c>
      <c r="M806">
        <f>region_summary__39[[#This Row],[APPROVED BY Pengawas]]+region_summary__39[[#This Row],[EDITED BY Admin Kabupaten]]</f>
        <v>2</v>
      </c>
    </row>
    <row r="807" spans="1:13" x14ac:dyDescent="0.25">
      <c r="A807" s="4" t="s">
        <v>84</v>
      </c>
      <c r="B807">
        <v>7172022006000300</v>
      </c>
      <c r="C807">
        <v>39</v>
      </c>
      <c r="D807">
        <v>2</v>
      </c>
      <c r="E807">
        <v>7</v>
      </c>
      <c r="F807">
        <v>0</v>
      </c>
      <c r="G807">
        <v>30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f>region_summary__39[[#This Row],[APPROVED BY Pengawas]]+region_summary__39[[#This Row],[EDITED BY Admin Kabupaten]]</f>
        <v>2</v>
      </c>
    </row>
    <row r="808" spans="1:13" x14ac:dyDescent="0.25">
      <c r="A808" s="4" t="s">
        <v>84</v>
      </c>
      <c r="B808">
        <v>7172022002000300</v>
      </c>
      <c r="C808">
        <v>35</v>
      </c>
      <c r="D808">
        <v>1</v>
      </c>
      <c r="E808">
        <v>0</v>
      </c>
      <c r="F808">
        <v>0</v>
      </c>
      <c r="G808">
        <v>34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region_summary__39[[#This Row],[APPROVED BY Pengawas]]+region_summary__39[[#This Row],[EDITED BY Admin Kabupaten]]</f>
        <v>1</v>
      </c>
    </row>
    <row r="809" spans="1:13" x14ac:dyDescent="0.25">
      <c r="A809" s="4" t="s">
        <v>86</v>
      </c>
      <c r="B809">
        <v>7172022009000500</v>
      </c>
      <c r="C809">
        <v>71</v>
      </c>
      <c r="D809">
        <v>66</v>
      </c>
      <c r="E809">
        <v>0</v>
      </c>
      <c r="F809">
        <v>0</v>
      </c>
      <c r="G809">
        <v>4</v>
      </c>
      <c r="H809">
        <v>0</v>
      </c>
      <c r="I809">
        <v>0</v>
      </c>
      <c r="J809">
        <v>0</v>
      </c>
      <c r="K809">
        <v>1</v>
      </c>
      <c r="L809">
        <v>0</v>
      </c>
      <c r="M809">
        <f>region_summary__39[[#This Row],[APPROVED BY Pengawas]]+region_summary__39[[#This Row],[EDITED BY Admin Kabupaten]]</f>
        <v>66</v>
      </c>
    </row>
    <row r="810" spans="1:13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region_summary__39[[#This Row],[APPROVED BY Pengawas]]+region_summary__39[[#This Row],[EDITED BY Admin Kabupaten]]</f>
        <v>0</v>
      </c>
    </row>
    <row r="811" spans="1:13" x14ac:dyDescent="0.25">
      <c r="A811" s="4" t="s">
        <v>86</v>
      </c>
      <c r="B811">
        <v>7172022003000100</v>
      </c>
      <c r="C811">
        <v>54</v>
      </c>
      <c r="D811">
        <v>50</v>
      </c>
      <c r="E811">
        <v>0</v>
      </c>
      <c r="F811">
        <v>0</v>
      </c>
      <c r="G811">
        <v>3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region_summary__39[[#This Row],[APPROVED BY Pengawas]]+region_summary__39[[#This Row],[EDITED BY Admin Kabupaten]]</f>
        <v>50</v>
      </c>
    </row>
    <row r="812" spans="1:13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44</v>
      </c>
      <c r="H812">
        <v>0</v>
      </c>
      <c r="I812">
        <v>0</v>
      </c>
      <c r="J812">
        <v>0</v>
      </c>
      <c r="K812">
        <v>2</v>
      </c>
      <c r="L812">
        <v>0</v>
      </c>
      <c r="M812">
        <f>region_summary__39[[#This Row],[APPROVED BY Pengawas]]+region_summary__39[[#This Row],[EDITED BY Admin Kabupaten]]</f>
        <v>0</v>
      </c>
    </row>
    <row r="813" spans="1:13" x14ac:dyDescent="0.25">
      <c r="A813" s="4" t="s">
        <v>86</v>
      </c>
      <c r="B813">
        <v>7172022010000100</v>
      </c>
      <c r="C813">
        <v>45</v>
      </c>
      <c r="D813">
        <v>37</v>
      </c>
      <c r="E813">
        <v>1</v>
      </c>
      <c r="F813">
        <v>0</v>
      </c>
      <c r="G813">
        <v>6</v>
      </c>
      <c r="H813">
        <v>0</v>
      </c>
      <c r="I813">
        <v>0</v>
      </c>
      <c r="J813">
        <v>0</v>
      </c>
      <c r="K813">
        <v>1</v>
      </c>
      <c r="L813">
        <v>0</v>
      </c>
      <c r="M813">
        <f>region_summary__39[[#This Row],[APPROVED BY Pengawas]]+region_summary__39[[#This Row],[EDITED BY Admin Kabupaten]]</f>
        <v>37</v>
      </c>
    </row>
    <row r="814" spans="1:13" x14ac:dyDescent="0.25">
      <c r="A814" s="4" t="s">
        <v>86</v>
      </c>
      <c r="B814">
        <v>7172022010000500</v>
      </c>
      <c r="C814">
        <v>45</v>
      </c>
      <c r="D814">
        <v>0</v>
      </c>
      <c r="E814">
        <v>0</v>
      </c>
      <c r="F814">
        <v>0</v>
      </c>
      <c r="G814">
        <v>45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region_summary__39[[#This Row],[APPROVED BY Pengawas]]+region_summary__39[[#This Row],[EDITED BY Admin Kabupaten]]</f>
        <v>0</v>
      </c>
    </row>
    <row r="815" spans="1:13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region_summary__39[[#This Row],[APPROVED BY Pengawas]]+region_summary__39[[#This Row],[EDITED BY Admin Kabupaten]]</f>
        <v>0</v>
      </c>
    </row>
    <row r="816" spans="1:13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region_summary__39[[#This Row],[APPROVED BY Pengawas]]+region_summary__39[[#This Row],[EDITED BY Admin Kabupaten]]</f>
        <v>0</v>
      </c>
    </row>
    <row r="817" spans="1:13" x14ac:dyDescent="0.25">
      <c r="A817" s="4" t="s">
        <v>86</v>
      </c>
      <c r="B817">
        <v>7172022010000200</v>
      </c>
      <c r="C817">
        <v>33</v>
      </c>
      <c r="D817">
        <v>23</v>
      </c>
      <c r="E817">
        <v>0</v>
      </c>
      <c r="F817">
        <v>0</v>
      </c>
      <c r="G817">
        <v>10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region_summary__39[[#This Row],[APPROVED BY Pengawas]]+region_summary__39[[#This Row],[EDITED BY Admin Kabupaten]]</f>
        <v>23</v>
      </c>
    </row>
    <row r="818" spans="1:13" x14ac:dyDescent="0.25">
      <c r="A818" s="4" t="s">
        <v>87</v>
      </c>
      <c r="B818">
        <v>7172022005000200</v>
      </c>
      <c r="C818">
        <v>59</v>
      </c>
      <c r="D818">
        <v>30</v>
      </c>
      <c r="E818">
        <v>0</v>
      </c>
      <c r="F818">
        <v>0</v>
      </c>
      <c r="G818">
        <v>29</v>
      </c>
      <c r="H818">
        <v>0</v>
      </c>
      <c r="I818">
        <v>0</v>
      </c>
      <c r="J818">
        <v>0</v>
      </c>
      <c r="K818">
        <v>0</v>
      </c>
      <c r="L818">
        <v>0</v>
      </c>
      <c r="M818">
        <f>region_summary__39[[#This Row],[APPROVED BY Pengawas]]+region_summary__39[[#This Row],[EDITED BY Admin Kabupaten]]</f>
        <v>30</v>
      </c>
    </row>
    <row r="819" spans="1:13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region_summary__39[[#This Row],[APPROVED BY Pengawas]]+region_summary__39[[#This Row],[EDITED BY Admin Kabupaten]]</f>
        <v>0</v>
      </c>
    </row>
    <row r="820" spans="1:13" x14ac:dyDescent="0.25">
      <c r="A820" s="4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region_summary__39[[#This Row],[APPROVED BY Pengawas]]+region_summary__39[[#This Row],[EDITED BY Admin Kabupaten]]</f>
        <v>48</v>
      </c>
    </row>
    <row r="821" spans="1:13" x14ac:dyDescent="0.25">
      <c r="A821" s="4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f>region_summary__39[[#This Row],[APPROVED BY Pengawas]]+region_summary__39[[#This Row],[EDITED BY Admin Kabupaten]]</f>
        <v>47</v>
      </c>
    </row>
    <row r="822" spans="1:13" x14ac:dyDescent="0.25">
      <c r="A822" s="4" t="s">
        <v>87</v>
      </c>
      <c r="B822">
        <v>7172022005000100</v>
      </c>
      <c r="C822">
        <v>45</v>
      </c>
      <c r="D822">
        <v>39</v>
      </c>
      <c r="E822">
        <v>0</v>
      </c>
      <c r="F822">
        <v>0</v>
      </c>
      <c r="G822">
        <v>6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region_summary__39[[#This Row],[APPROVED BY Pengawas]]+region_summary__39[[#This Row],[EDITED BY Admin Kabupaten]]</f>
        <v>39</v>
      </c>
    </row>
    <row r="823" spans="1:13" x14ac:dyDescent="0.25">
      <c r="A823" s="4" t="s">
        <v>87</v>
      </c>
      <c r="B823">
        <v>7172022005000400</v>
      </c>
      <c r="C823">
        <v>40</v>
      </c>
      <c r="D823">
        <v>4</v>
      </c>
      <c r="E823">
        <v>1</v>
      </c>
      <c r="F823">
        <v>0</v>
      </c>
      <c r="G823">
        <v>35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region_summary__39[[#This Row],[APPROVED BY Pengawas]]+region_summary__39[[#This Row],[EDITED BY Admin Kabupaten]]</f>
        <v>4</v>
      </c>
    </row>
    <row r="824" spans="1:13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region_summary__39[[#This Row],[APPROVED BY Pengawas]]+region_summary__39[[#This Row],[EDITED BY Admin Kabupaten]]</f>
        <v>0</v>
      </c>
    </row>
    <row r="825" spans="1:13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region_summary__39[[#This Row],[APPROVED BY Pengawas]]+region_summary__39[[#This Row],[EDITED BY Admin Kabupaten]]</f>
        <v>0</v>
      </c>
    </row>
    <row r="826" spans="1:13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region_summary__39[[#This Row],[APPROVED BY Pengawas]]+region_summary__39[[#This Row],[EDITED BY Admin Kabupaten]]</f>
        <v>0</v>
      </c>
    </row>
    <row r="827" spans="1:13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region_summary__39[[#This Row],[APPROVED BY Pengawas]]+region_summary__39[[#This Row],[EDITED BY Admin Kabupaten]]</f>
        <v>0</v>
      </c>
    </row>
    <row r="828" spans="1:13" x14ac:dyDescent="0.25">
      <c r="A828" s="4" t="s">
        <v>240</v>
      </c>
      <c r="B828">
        <v>7172022007000300</v>
      </c>
      <c r="C828">
        <v>70</v>
      </c>
      <c r="D828">
        <v>26</v>
      </c>
      <c r="E828">
        <v>1</v>
      </c>
      <c r="F828">
        <v>0</v>
      </c>
      <c r="G828">
        <v>43</v>
      </c>
      <c r="H828">
        <v>0</v>
      </c>
      <c r="I828">
        <v>0</v>
      </c>
      <c r="J828">
        <v>0</v>
      </c>
      <c r="K828">
        <v>0</v>
      </c>
      <c r="L828">
        <v>0</v>
      </c>
      <c r="M828">
        <f>region_summary__39[[#This Row],[APPROVED BY Pengawas]]+region_summary__39[[#This Row],[EDITED BY Admin Kabupaten]]</f>
        <v>26</v>
      </c>
    </row>
    <row r="829" spans="1:13" x14ac:dyDescent="0.25">
      <c r="A829" s="4" t="s">
        <v>240</v>
      </c>
      <c r="B829">
        <v>7172022008000100</v>
      </c>
      <c r="C829">
        <v>70</v>
      </c>
      <c r="D829">
        <v>53</v>
      </c>
      <c r="E829">
        <v>1</v>
      </c>
      <c r="F829">
        <v>0</v>
      </c>
      <c r="G829">
        <v>13</v>
      </c>
      <c r="H829">
        <v>0</v>
      </c>
      <c r="I829">
        <v>1</v>
      </c>
      <c r="J829">
        <v>0</v>
      </c>
      <c r="K829">
        <v>2</v>
      </c>
      <c r="L829">
        <v>0</v>
      </c>
      <c r="M829">
        <f>region_summary__39[[#This Row],[APPROVED BY Pengawas]]+region_summary__39[[#This Row],[EDITED BY Admin Kabupaten]]</f>
        <v>53</v>
      </c>
    </row>
    <row r="830" spans="1:13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region_summary__39[[#This Row],[APPROVED BY Pengawas]]+region_summary__39[[#This Row],[EDITED BY Admin Kabupaten]]</f>
        <v>0</v>
      </c>
    </row>
    <row r="831" spans="1:13" x14ac:dyDescent="0.25">
      <c r="A831" s="4" t="s">
        <v>240</v>
      </c>
      <c r="B831">
        <v>7172022008000300</v>
      </c>
      <c r="C831">
        <v>62</v>
      </c>
      <c r="D831">
        <v>56</v>
      </c>
      <c r="E831">
        <v>1</v>
      </c>
      <c r="F831">
        <v>0</v>
      </c>
      <c r="G831">
        <v>5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region_summary__39[[#This Row],[APPROVED BY Pengawas]]+region_summary__39[[#This Row],[EDITED BY Admin Kabupaten]]</f>
        <v>56</v>
      </c>
    </row>
    <row r="832" spans="1:13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59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region_summary__39[[#This Row],[APPROVED BY Pengawas]]+region_summary__39[[#This Row],[EDITED BY Admin Kabupaten]]</f>
        <v>0</v>
      </c>
    </row>
    <row r="833" spans="1:13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region_summary__39[[#This Row],[APPROVED BY Pengawas]]+region_summary__39[[#This Row],[EDITED BY Admin Kabupaten]]</f>
        <v>0</v>
      </c>
    </row>
    <row r="834" spans="1:13" x14ac:dyDescent="0.25">
      <c r="A834" s="4" t="s">
        <v>240</v>
      </c>
      <c r="B834">
        <v>7172022008000200</v>
      </c>
      <c r="C834">
        <v>51</v>
      </c>
      <c r="D834">
        <v>45</v>
      </c>
      <c r="E834">
        <v>1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region_summary__39[[#This Row],[APPROVED BY Pengawas]]+region_summary__39[[#This Row],[EDITED BY Admin Kabupaten]]</f>
        <v>45</v>
      </c>
    </row>
    <row r="835" spans="1:13" x14ac:dyDescent="0.25">
      <c r="A835" s="4" t="s">
        <v>94</v>
      </c>
      <c r="B835">
        <v>7172030007001900</v>
      </c>
      <c r="C835">
        <v>84</v>
      </c>
      <c r="D835">
        <v>11</v>
      </c>
      <c r="E835">
        <v>0</v>
      </c>
      <c r="F835">
        <v>0</v>
      </c>
      <c r="G835">
        <v>73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region_summary__39[[#This Row],[APPROVED BY Pengawas]]+region_summary__39[[#This Row],[EDITED BY Admin Kabupaten]]</f>
        <v>11</v>
      </c>
    </row>
    <row r="836" spans="1:13" x14ac:dyDescent="0.25">
      <c r="A836" s="4" t="s">
        <v>94</v>
      </c>
      <c r="B836">
        <v>7172030007001800</v>
      </c>
      <c r="C836">
        <v>79</v>
      </c>
      <c r="D836">
        <v>13</v>
      </c>
      <c r="E836">
        <v>0</v>
      </c>
      <c r="F836">
        <v>0</v>
      </c>
      <c r="G836">
        <v>66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region_summary__39[[#This Row],[APPROVED BY Pengawas]]+region_summary__39[[#This Row],[EDITED BY Admin Kabupaten]]</f>
        <v>13</v>
      </c>
    </row>
    <row r="837" spans="1:13" x14ac:dyDescent="0.25">
      <c r="A837" s="4" t="s">
        <v>94</v>
      </c>
      <c r="B837">
        <v>7172030007001500</v>
      </c>
      <c r="C837">
        <v>77</v>
      </c>
      <c r="D837">
        <v>12</v>
      </c>
      <c r="E837">
        <v>0</v>
      </c>
      <c r="F837">
        <v>0</v>
      </c>
      <c r="G837">
        <v>65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region_summary__39[[#This Row],[APPROVED BY Pengawas]]+region_summary__39[[#This Row],[EDITED BY Admin Kabupaten]]</f>
        <v>12</v>
      </c>
    </row>
    <row r="838" spans="1:13" x14ac:dyDescent="0.25">
      <c r="A838" s="4" t="s">
        <v>94</v>
      </c>
      <c r="B838">
        <v>7172030007001700</v>
      </c>
      <c r="C838">
        <v>76</v>
      </c>
      <c r="D838">
        <v>12</v>
      </c>
      <c r="E838">
        <v>0</v>
      </c>
      <c r="F838">
        <v>0</v>
      </c>
      <c r="G838">
        <v>64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region_summary__39[[#This Row],[APPROVED BY Pengawas]]+region_summary__39[[#This Row],[EDITED BY Admin Kabupaten]]</f>
        <v>12</v>
      </c>
    </row>
    <row r="839" spans="1:13" x14ac:dyDescent="0.25">
      <c r="A839" s="4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region_summary__39[[#This Row],[APPROVED BY Pengawas]]+region_summary__39[[#This Row],[EDITED BY Admin Kabupaten]]</f>
        <v>58</v>
      </c>
    </row>
    <row r="840" spans="1:13" x14ac:dyDescent="0.25">
      <c r="A840" s="4" t="s">
        <v>94</v>
      </c>
      <c r="B840">
        <v>7172030007001200</v>
      </c>
      <c r="C840">
        <v>54</v>
      </c>
      <c r="D840">
        <v>54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region_summary__39[[#This Row],[APPROVED BY Pengawas]]+region_summary__39[[#This Row],[EDITED BY Admin Kabupaten]]</f>
        <v>54</v>
      </c>
    </row>
    <row r="841" spans="1:13" x14ac:dyDescent="0.25">
      <c r="A841" s="4" t="s">
        <v>94</v>
      </c>
      <c r="B841">
        <v>7172030007001600</v>
      </c>
      <c r="C841">
        <v>53</v>
      </c>
      <c r="D841">
        <v>14</v>
      </c>
      <c r="E841">
        <v>1</v>
      </c>
      <c r="F841">
        <v>0</v>
      </c>
      <c r="G841">
        <v>38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region_summary__39[[#This Row],[APPROVED BY Pengawas]]+region_summary__39[[#This Row],[EDITED BY Admin Kabupaten]]</f>
        <v>14</v>
      </c>
    </row>
    <row r="842" spans="1:13" x14ac:dyDescent="0.25">
      <c r="A842" s="4" t="s">
        <v>94</v>
      </c>
      <c r="B842">
        <v>7172030007001300</v>
      </c>
      <c r="C842">
        <v>45</v>
      </c>
      <c r="D842">
        <v>43</v>
      </c>
      <c r="E842">
        <v>2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f>region_summary__39[[#This Row],[APPROVED BY Pengawas]]+region_summary__39[[#This Row],[EDITED BY Admin Kabupaten]]</f>
        <v>43</v>
      </c>
    </row>
    <row r="843" spans="1:13" x14ac:dyDescent="0.25">
      <c r="A843" s="4" t="s">
        <v>94</v>
      </c>
      <c r="B843">
        <v>7172030007001400</v>
      </c>
      <c r="C843">
        <v>42</v>
      </c>
      <c r="D843">
        <v>27</v>
      </c>
      <c r="E843">
        <v>0</v>
      </c>
      <c r="F843">
        <v>0</v>
      </c>
      <c r="G843">
        <v>15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region_summary__39[[#This Row],[APPROVED BY Pengawas]]+region_summary__39[[#This Row],[EDITED BY Admin Kabupaten]]</f>
        <v>27</v>
      </c>
    </row>
    <row r="844" spans="1:13" x14ac:dyDescent="0.25">
      <c r="A844" s="4" t="s">
        <v>96</v>
      </c>
      <c r="B844">
        <v>7172030009000100</v>
      </c>
      <c r="C844">
        <v>104</v>
      </c>
      <c r="D844">
        <v>15</v>
      </c>
      <c r="E844">
        <v>0</v>
      </c>
      <c r="F844">
        <v>0</v>
      </c>
      <c r="G844">
        <v>89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region_summary__39[[#This Row],[APPROVED BY Pengawas]]+region_summary__39[[#This Row],[EDITED BY Admin Kabupaten]]</f>
        <v>15</v>
      </c>
    </row>
    <row r="845" spans="1:13" x14ac:dyDescent="0.25">
      <c r="A845" s="4" t="s">
        <v>96</v>
      </c>
      <c r="B845">
        <v>7172030017000500</v>
      </c>
      <c r="C845">
        <v>88</v>
      </c>
      <c r="D845">
        <v>76</v>
      </c>
      <c r="E845">
        <v>2</v>
      </c>
      <c r="F845">
        <v>2</v>
      </c>
      <c r="G845">
        <v>0</v>
      </c>
      <c r="H845">
        <v>0</v>
      </c>
      <c r="I845">
        <v>8</v>
      </c>
      <c r="J845">
        <v>0</v>
      </c>
      <c r="K845">
        <v>0</v>
      </c>
      <c r="L845">
        <v>0</v>
      </c>
      <c r="M845">
        <f>region_summary__39[[#This Row],[APPROVED BY Pengawas]]+region_summary__39[[#This Row],[EDITED BY Admin Kabupaten]]</f>
        <v>78</v>
      </c>
    </row>
    <row r="846" spans="1:13" x14ac:dyDescent="0.25">
      <c r="A846" s="4" t="s">
        <v>96</v>
      </c>
      <c r="B846">
        <v>7172030017000100</v>
      </c>
      <c r="C846">
        <v>82</v>
      </c>
      <c r="D846">
        <v>49</v>
      </c>
      <c r="E846">
        <v>23</v>
      </c>
      <c r="F846">
        <v>1</v>
      </c>
      <c r="G846">
        <v>0</v>
      </c>
      <c r="H846">
        <v>0</v>
      </c>
      <c r="I846">
        <v>0</v>
      </c>
      <c r="J846">
        <v>0</v>
      </c>
      <c r="K846">
        <v>9</v>
      </c>
      <c r="L846">
        <v>0</v>
      </c>
      <c r="M846">
        <f>region_summary__39[[#This Row],[APPROVED BY Pengawas]]+region_summary__39[[#This Row],[EDITED BY Admin Kabupaten]]</f>
        <v>50</v>
      </c>
    </row>
    <row r="847" spans="1:13" x14ac:dyDescent="0.25">
      <c r="A847" s="4" t="s">
        <v>96</v>
      </c>
      <c r="B847">
        <v>7172030009000200</v>
      </c>
      <c r="C847">
        <v>59</v>
      </c>
      <c r="D847">
        <v>8</v>
      </c>
      <c r="E847">
        <v>0</v>
      </c>
      <c r="F847">
        <v>0</v>
      </c>
      <c r="G847">
        <v>51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region_summary__39[[#This Row],[APPROVED BY Pengawas]]+region_summary__39[[#This Row],[EDITED BY Admin Kabupaten]]</f>
        <v>8</v>
      </c>
    </row>
    <row r="848" spans="1:13" x14ac:dyDescent="0.25">
      <c r="A848" s="4" t="s">
        <v>96</v>
      </c>
      <c r="B848">
        <v>7172030009000500</v>
      </c>
      <c r="C848">
        <v>56</v>
      </c>
      <c r="D848">
        <v>12</v>
      </c>
      <c r="E848">
        <v>0</v>
      </c>
      <c r="F848">
        <v>0</v>
      </c>
      <c r="G848">
        <v>44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region_summary__39[[#This Row],[APPROVED BY Pengawas]]+region_summary__39[[#This Row],[EDITED BY Admin Kabupaten]]</f>
        <v>12</v>
      </c>
    </row>
    <row r="849" spans="1:13" x14ac:dyDescent="0.25">
      <c r="A849" s="4" t="s">
        <v>96</v>
      </c>
      <c r="B849">
        <v>7172030009000300</v>
      </c>
      <c r="C849">
        <v>45</v>
      </c>
      <c r="D849">
        <v>2</v>
      </c>
      <c r="E849">
        <v>0</v>
      </c>
      <c r="F849">
        <v>0</v>
      </c>
      <c r="G849">
        <v>43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region_summary__39[[#This Row],[APPROVED BY Pengawas]]+region_summary__39[[#This Row],[EDITED BY Admin Kabupaten]]</f>
        <v>2</v>
      </c>
    </row>
    <row r="850" spans="1:13" x14ac:dyDescent="0.25">
      <c r="A850" s="4" t="s">
        <v>96</v>
      </c>
      <c r="B850">
        <v>7172030009000600</v>
      </c>
      <c r="C850">
        <v>43</v>
      </c>
      <c r="D850">
        <v>10</v>
      </c>
      <c r="E850">
        <v>0</v>
      </c>
      <c r="F850">
        <v>0</v>
      </c>
      <c r="G850">
        <v>33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region_summary__39[[#This Row],[APPROVED BY Pengawas]]+region_summary__39[[#This Row],[EDITED BY Admin Kabupaten]]</f>
        <v>10</v>
      </c>
    </row>
    <row r="851" spans="1:13" x14ac:dyDescent="0.25">
      <c r="A851" s="4" t="s">
        <v>96</v>
      </c>
      <c r="B851">
        <v>7172030009000400</v>
      </c>
      <c r="C851">
        <v>37</v>
      </c>
      <c r="D851">
        <v>16</v>
      </c>
      <c r="E851">
        <v>0</v>
      </c>
      <c r="F851">
        <v>1</v>
      </c>
      <c r="G851">
        <v>0</v>
      </c>
      <c r="H851">
        <v>0</v>
      </c>
      <c r="I851">
        <v>0</v>
      </c>
      <c r="J851">
        <v>0</v>
      </c>
      <c r="K851">
        <v>20</v>
      </c>
      <c r="L851">
        <v>0</v>
      </c>
      <c r="M851">
        <f>region_summary__39[[#This Row],[APPROVED BY Pengawas]]+region_summary__39[[#This Row],[EDITED BY Admin Kabupaten]]</f>
        <v>17</v>
      </c>
    </row>
    <row r="852" spans="1:13" x14ac:dyDescent="0.25">
      <c r="A852" s="4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</v>
      </c>
      <c r="L852">
        <v>0</v>
      </c>
      <c r="M852">
        <f>region_summary__39[[#This Row],[APPROVED BY Pengawas]]+region_summary__39[[#This Row],[EDITED BY Admin Kabupaten]]</f>
        <v>0</v>
      </c>
    </row>
    <row r="853" spans="1:13" x14ac:dyDescent="0.25">
      <c r="A853" s="4" t="s">
        <v>96</v>
      </c>
      <c r="B853">
        <v>7172030017000300</v>
      </c>
      <c r="C853">
        <v>32</v>
      </c>
      <c r="D853">
        <v>14</v>
      </c>
      <c r="E853">
        <v>0</v>
      </c>
      <c r="F853">
        <v>0</v>
      </c>
      <c r="G853">
        <v>1</v>
      </c>
      <c r="H853">
        <v>0</v>
      </c>
      <c r="I853">
        <v>0</v>
      </c>
      <c r="J853">
        <v>0</v>
      </c>
      <c r="K853">
        <v>17</v>
      </c>
      <c r="L853">
        <v>0</v>
      </c>
      <c r="M853">
        <f>region_summary__39[[#This Row],[APPROVED BY Pengawas]]+region_summary__39[[#This Row],[EDITED BY Admin Kabupaten]]</f>
        <v>14</v>
      </c>
    </row>
    <row r="854" spans="1:13" x14ac:dyDescent="0.25">
      <c r="A854" s="4" t="s">
        <v>96</v>
      </c>
      <c r="B854">
        <v>7172030017000200</v>
      </c>
      <c r="C854">
        <v>24</v>
      </c>
      <c r="D854">
        <v>22</v>
      </c>
      <c r="E854">
        <v>1</v>
      </c>
      <c r="F854">
        <v>0</v>
      </c>
      <c r="G854">
        <v>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region_summary__39[[#This Row],[APPROVED BY Pengawas]]+region_summary__39[[#This Row],[EDITED BY Admin Kabupaten]]</f>
        <v>22</v>
      </c>
    </row>
    <row r="855" spans="1:13" x14ac:dyDescent="0.25">
      <c r="A855" s="4" t="s">
        <v>96</v>
      </c>
      <c r="B855">
        <v>7172030009000700</v>
      </c>
      <c r="C855">
        <v>22</v>
      </c>
      <c r="D855">
        <v>4</v>
      </c>
      <c r="E855">
        <v>8</v>
      </c>
      <c r="F855">
        <v>0</v>
      </c>
      <c r="G855">
        <v>10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region_summary__39[[#This Row],[APPROVED BY Pengawas]]+region_summary__39[[#This Row],[EDITED BY Admin Kabupaten]]</f>
        <v>4</v>
      </c>
    </row>
    <row r="856" spans="1:13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region_summary__39[[#This Row],[APPROVED BY Pengawas]]+region_summary__39[[#This Row],[EDITED BY Admin Kabupaten]]</f>
        <v>0</v>
      </c>
    </row>
    <row r="857" spans="1:13" x14ac:dyDescent="0.25">
      <c r="A857" s="4" t="s">
        <v>98</v>
      </c>
      <c r="B857">
        <v>7172030012001400</v>
      </c>
      <c r="C857">
        <v>108</v>
      </c>
      <c r="D857">
        <v>37</v>
      </c>
      <c r="E857">
        <v>0</v>
      </c>
      <c r="F857">
        <v>0</v>
      </c>
      <c r="G857">
        <v>71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region_summary__39[[#This Row],[APPROVED BY Pengawas]]+region_summary__39[[#This Row],[EDITED BY Admin Kabupaten]]</f>
        <v>37</v>
      </c>
    </row>
    <row r="858" spans="1:13" x14ac:dyDescent="0.25">
      <c r="A858" s="4" t="s">
        <v>98</v>
      </c>
      <c r="B858">
        <v>7172030012001000</v>
      </c>
      <c r="C858">
        <v>104</v>
      </c>
      <c r="D858">
        <v>69</v>
      </c>
      <c r="E858">
        <v>9</v>
      </c>
      <c r="F858">
        <v>0</v>
      </c>
      <c r="G858">
        <v>26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region_summary__39[[#This Row],[APPROVED BY Pengawas]]+region_summary__39[[#This Row],[EDITED BY Admin Kabupaten]]</f>
        <v>69</v>
      </c>
    </row>
    <row r="859" spans="1:13" x14ac:dyDescent="0.25">
      <c r="A859" s="4" t="s">
        <v>98</v>
      </c>
      <c r="B859">
        <v>7172030012000800</v>
      </c>
      <c r="C859">
        <v>99</v>
      </c>
      <c r="D859">
        <v>35</v>
      </c>
      <c r="E859">
        <v>0</v>
      </c>
      <c r="F859">
        <v>0</v>
      </c>
      <c r="G859">
        <v>64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region_summary__39[[#This Row],[APPROVED BY Pengawas]]+region_summary__39[[#This Row],[EDITED BY Admin Kabupaten]]</f>
        <v>35</v>
      </c>
    </row>
    <row r="860" spans="1:13" x14ac:dyDescent="0.25">
      <c r="A860" s="4" t="s">
        <v>98</v>
      </c>
      <c r="B860">
        <v>7172030012001100</v>
      </c>
      <c r="C860">
        <v>97</v>
      </c>
      <c r="D860">
        <v>62</v>
      </c>
      <c r="E860">
        <v>28</v>
      </c>
      <c r="F860">
        <v>0</v>
      </c>
      <c r="G860">
        <v>4</v>
      </c>
      <c r="H860">
        <v>0</v>
      </c>
      <c r="I860">
        <v>0</v>
      </c>
      <c r="J860">
        <v>0</v>
      </c>
      <c r="K860">
        <v>3</v>
      </c>
      <c r="L860">
        <v>0</v>
      </c>
      <c r="M860">
        <f>region_summary__39[[#This Row],[APPROVED BY Pengawas]]+region_summary__39[[#This Row],[EDITED BY Admin Kabupaten]]</f>
        <v>62</v>
      </c>
    </row>
    <row r="861" spans="1:13" x14ac:dyDescent="0.25">
      <c r="A861" s="4" t="s">
        <v>98</v>
      </c>
      <c r="B861">
        <v>7172030012000600</v>
      </c>
      <c r="C861">
        <v>91</v>
      </c>
      <c r="D861">
        <v>51</v>
      </c>
      <c r="E861">
        <v>6</v>
      </c>
      <c r="F861">
        <v>0</v>
      </c>
      <c r="G861">
        <v>34</v>
      </c>
      <c r="H861">
        <v>0</v>
      </c>
      <c r="I861">
        <v>0</v>
      </c>
      <c r="J861">
        <v>0</v>
      </c>
      <c r="K861">
        <v>0</v>
      </c>
      <c r="L861">
        <v>0</v>
      </c>
      <c r="M861">
        <f>region_summary__39[[#This Row],[APPROVED BY Pengawas]]+region_summary__39[[#This Row],[EDITED BY Admin Kabupaten]]</f>
        <v>51</v>
      </c>
    </row>
    <row r="862" spans="1:13" x14ac:dyDescent="0.25">
      <c r="A862" s="4" t="s">
        <v>98</v>
      </c>
      <c r="B862">
        <v>7172030012001300</v>
      </c>
      <c r="C862">
        <v>61</v>
      </c>
      <c r="D862">
        <v>10</v>
      </c>
      <c r="E862">
        <v>0</v>
      </c>
      <c r="F862">
        <v>0</v>
      </c>
      <c r="G862">
        <v>51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region_summary__39[[#This Row],[APPROVED BY Pengawas]]+region_summary__39[[#This Row],[EDITED BY Admin Kabupaten]]</f>
        <v>10</v>
      </c>
    </row>
    <row r="863" spans="1:13" x14ac:dyDescent="0.25">
      <c r="A863" s="4" t="s">
        <v>98</v>
      </c>
      <c r="B863">
        <v>7172030012001500</v>
      </c>
      <c r="C863">
        <v>51</v>
      </c>
      <c r="D863">
        <v>42</v>
      </c>
      <c r="E863">
        <v>0</v>
      </c>
      <c r="F863">
        <v>0</v>
      </c>
      <c r="G863">
        <v>9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region_summary__39[[#This Row],[APPROVED BY Pengawas]]+region_summary__39[[#This Row],[EDITED BY Admin Kabupaten]]</f>
        <v>42</v>
      </c>
    </row>
    <row r="864" spans="1:13" x14ac:dyDescent="0.25">
      <c r="A864" s="4" t="s">
        <v>241</v>
      </c>
      <c r="B864">
        <v>7172030013001000</v>
      </c>
      <c r="C864">
        <v>111</v>
      </c>
      <c r="D864">
        <v>35</v>
      </c>
      <c r="E864">
        <v>0</v>
      </c>
      <c r="F864">
        <v>0</v>
      </c>
      <c r="G864">
        <v>58</v>
      </c>
      <c r="H864">
        <v>0</v>
      </c>
      <c r="I864">
        <v>0</v>
      </c>
      <c r="J864">
        <v>0</v>
      </c>
      <c r="K864">
        <v>18</v>
      </c>
      <c r="L864">
        <v>0</v>
      </c>
      <c r="M864">
        <f>region_summary__39[[#This Row],[APPROVED BY Pengawas]]+region_summary__39[[#This Row],[EDITED BY Admin Kabupaten]]</f>
        <v>35</v>
      </c>
    </row>
    <row r="865" spans="1:13" x14ac:dyDescent="0.25">
      <c r="A865" s="4" t="s">
        <v>241</v>
      </c>
      <c r="B865">
        <v>7172030013000200</v>
      </c>
      <c r="C865">
        <v>88</v>
      </c>
      <c r="D865">
        <v>82</v>
      </c>
      <c r="E865">
        <v>0</v>
      </c>
      <c r="F865">
        <v>0</v>
      </c>
      <c r="G865">
        <v>4</v>
      </c>
      <c r="H865">
        <v>0</v>
      </c>
      <c r="I865">
        <v>0</v>
      </c>
      <c r="J865">
        <v>0</v>
      </c>
      <c r="K865">
        <v>2</v>
      </c>
      <c r="L865">
        <v>0</v>
      </c>
      <c r="M865">
        <f>region_summary__39[[#This Row],[APPROVED BY Pengawas]]+region_summary__39[[#This Row],[EDITED BY Admin Kabupaten]]</f>
        <v>82</v>
      </c>
    </row>
    <row r="866" spans="1:13" x14ac:dyDescent="0.25">
      <c r="A866" s="4" t="s">
        <v>241</v>
      </c>
      <c r="B866">
        <v>7172030013001200</v>
      </c>
      <c r="C866">
        <v>76</v>
      </c>
      <c r="D866">
        <v>16</v>
      </c>
      <c r="E866">
        <v>0</v>
      </c>
      <c r="F866">
        <v>0</v>
      </c>
      <c r="G866">
        <v>53</v>
      </c>
      <c r="H866">
        <v>0</v>
      </c>
      <c r="I866">
        <v>0</v>
      </c>
      <c r="J866">
        <v>0</v>
      </c>
      <c r="K866">
        <v>7</v>
      </c>
      <c r="L866">
        <v>0</v>
      </c>
      <c r="M866">
        <f>region_summary__39[[#This Row],[APPROVED BY Pengawas]]+region_summary__39[[#This Row],[EDITED BY Admin Kabupaten]]</f>
        <v>16</v>
      </c>
    </row>
    <row r="867" spans="1:13" x14ac:dyDescent="0.25">
      <c r="A867" s="4" t="s">
        <v>241</v>
      </c>
      <c r="B867">
        <v>7172030013000600</v>
      </c>
      <c r="C867">
        <v>63</v>
      </c>
      <c r="D867">
        <v>16</v>
      </c>
      <c r="E867">
        <v>0</v>
      </c>
      <c r="F867">
        <v>0</v>
      </c>
      <c r="G867">
        <v>37</v>
      </c>
      <c r="H867">
        <v>0</v>
      </c>
      <c r="I867">
        <v>0</v>
      </c>
      <c r="J867">
        <v>0</v>
      </c>
      <c r="K867">
        <v>10</v>
      </c>
      <c r="L867">
        <v>0</v>
      </c>
      <c r="M867">
        <f>region_summary__39[[#This Row],[APPROVED BY Pengawas]]+region_summary__39[[#This Row],[EDITED BY Admin Kabupaten]]</f>
        <v>16</v>
      </c>
    </row>
    <row r="868" spans="1:13" x14ac:dyDescent="0.25">
      <c r="A868" s="4" t="s">
        <v>241</v>
      </c>
      <c r="B868">
        <v>7172030013000400</v>
      </c>
      <c r="C868">
        <v>57</v>
      </c>
      <c r="D868">
        <v>43</v>
      </c>
      <c r="E868">
        <v>0</v>
      </c>
      <c r="F868">
        <v>0</v>
      </c>
      <c r="G868">
        <v>14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region_summary__39[[#This Row],[APPROVED BY Pengawas]]+region_summary__39[[#This Row],[EDITED BY Admin Kabupaten]]</f>
        <v>43</v>
      </c>
    </row>
    <row r="869" spans="1:13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region_summary__39[[#This Row],[APPROVED BY Pengawas]]+region_summary__39[[#This Row],[EDITED BY Admin Kabupaten]]</f>
        <v>12</v>
      </c>
    </row>
    <row r="870" spans="1:13" x14ac:dyDescent="0.25">
      <c r="A870" s="4" t="s">
        <v>241</v>
      </c>
      <c r="B870">
        <v>7172030013000900</v>
      </c>
      <c r="C870">
        <v>53</v>
      </c>
      <c r="D870">
        <v>4</v>
      </c>
      <c r="E870">
        <v>0</v>
      </c>
      <c r="F870">
        <v>0</v>
      </c>
      <c r="G870">
        <v>48</v>
      </c>
      <c r="H870">
        <v>0</v>
      </c>
      <c r="I870">
        <v>0</v>
      </c>
      <c r="J870">
        <v>0</v>
      </c>
      <c r="K870">
        <v>1</v>
      </c>
      <c r="L870">
        <v>0</v>
      </c>
      <c r="M870">
        <f>region_summary__39[[#This Row],[APPROVED BY Pengawas]]+region_summary__39[[#This Row],[EDITED BY Admin Kabupaten]]</f>
        <v>4</v>
      </c>
    </row>
    <row r="871" spans="1:13" x14ac:dyDescent="0.25">
      <c r="A871" s="4" t="s">
        <v>241</v>
      </c>
      <c r="B871">
        <v>7172030013000800</v>
      </c>
      <c r="C871">
        <v>42</v>
      </c>
      <c r="D871">
        <v>10</v>
      </c>
      <c r="E871">
        <v>0</v>
      </c>
      <c r="F871">
        <v>0</v>
      </c>
      <c r="G871">
        <v>32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region_summary__39[[#This Row],[APPROVED BY Pengawas]]+region_summary__39[[#This Row],[EDITED BY Admin Kabupaten]]</f>
        <v>10</v>
      </c>
    </row>
    <row r="872" spans="1:13" x14ac:dyDescent="0.25">
      <c r="A872" s="4" t="s">
        <v>241</v>
      </c>
      <c r="B872">
        <v>7172030013000700</v>
      </c>
      <c r="C872">
        <v>34</v>
      </c>
      <c r="D872">
        <v>13</v>
      </c>
      <c r="E872">
        <v>0</v>
      </c>
      <c r="F872">
        <v>0</v>
      </c>
      <c r="G872">
        <v>20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region_summary__39[[#This Row],[APPROVED BY Pengawas]]+region_summary__39[[#This Row],[EDITED BY Admin Kabupaten]]</f>
        <v>13</v>
      </c>
    </row>
    <row r="873" spans="1:13" x14ac:dyDescent="0.25">
      <c r="A873" s="4" t="s">
        <v>242</v>
      </c>
      <c r="B873">
        <v>7172030013001300</v>
      </c>
      <c r="C873">
        <v>132</v>
      </c>
      <c r="D873">
        <v>114</v>
      </c>
      <c r="E873">
        <v>0</v>
      </c>
      <c r="F873">
        <v>0</v>
      </c>
      <c r="G873">
        <v>17</v>
      </c>
      <c r="H873">
        <v>1</v>
      </c>
      <c r="I873">
        <v>0</v>
      </c>
      <c r="J873">
        <v>0</v>
      </c>
      <c r="K873">
        <v>0</v>
      </c>
      <c r="L873">
        <v>0</v>
      </c>
      <c r="M873">
        <f>region_summary__39[[#This Row],[APPROVED BY Pengawas]]+region_summary__39[[#This Row],[EDITED BY Admin Kabupaten]]</f>
        <v>114</v>
      </c>
    </row>
    <row r="874" spans="1:13" x14ac:dyDescent="0.25">
      <c r="A874" s="4" t="s">
        <v>242</v>
      </c>
      <c r="B874">
        <v>7172030013001500</v>
      </c>
      <c r="C874">
        <v>130</v>
      </c>
      <c r="D874">
        <v>39</v>
      </c>
      <c r="E874">
        <v>0</v>
      </c>
      <c r="F874">
        <v>0</v>
      </c>
      <c r="G874">
        <v>91</v>
      </c>
      <c r="H874">
        <v>0</v>
      </c>
      <c r="I874">
        <v>0</v>
      </c>
      <c r="J874">
        <v>0</v>
      </c>
      <c r="K874">
        <v>0</v>
      </c>
      <c r="L874">
        <v>0</v>
      </c>
      <c r="M874">
        <f>region_summary__39[[#This Row],[APPROVED BY Pengawas]]+region_summary__39[[#This Row],[EDITED BY Admin Kabupaten]]</f>
        <v>39</v>
      </c>
    </row>
    <row r="875" spans="1:13" x14ac:dyDescent="0.25">
      <c r="A875" s="4" t="s">
        <v>242</v>
      </c>
      <c r="B875">
        <v>7172030013001600</v>
      </c>
      <c r="C875">
        <v>95</v>
      </c>
      <c r="D875">
        <v>20</v>
      </c>
      <c r="E875">
        <v>0</v>
      </c>
      <c r="F875">
        <v>0</v>
      </c>
      <c r="G875">
        <v>75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region_summary__39[[#This Row],[APPROVED BY Pengawas]]+region_summary__39[[#This Row],[EDITED BY Admin Kabupaten]]</f>
        <v>20</v>
      </c>
    </row>
    <row r="876" spans="1:13" x14ac:dyDescent="0.25">
      <c r="A876" s="4" t="s">
        <v>242</v>
      </c>
      <c r="B876">
        <v>7172030014000100</v>
      </c>
      <c r="C876">
        <v>75</v>
      </c>
      <c r="D876">
        <v>19</v>
      </c>
      <c r="E876">
        <v>0</v>
      </c>
      <c r="F876">
        <v>0</v>
      </c>
      <c r="G876">
        <v>56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region_summary__39[[#This Row],[APPROVED BY Pengawas]]+region_summary__39[[#This Row],[EDITED BY Admin Kabupaten]]</f>
        <v>19</v>
      </c>
    </row>
    <row r="877" spans="1:13" x14ac:dyDescent="0.25">
      <c r="A877" s="4" t="s">
        <v>242</v>
      </c>
      <c r="B877">
        <v>7172030013001400</v>
      </c>
      <c r="C877">
        <v>70</v>
      </c>
      <c r="D877">
        <v>9</v>
      </c>
      <c r="E877">
        <v>0</v>
      </c>
      <c r="F877">
        <v>0</v>
      </c>
      <c r="G877">
        <v>61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region_summary__39[[#This Row],[APPROVED BY Pengawas]]+region_summary__39[[#This Row],[EDITED BY Admin Kabupaten]]</f>
        <v>9</v>
      </c>
    </row>
    <row r="878" spans="1:13" x14ac:dyDescent="0.25">
      <c r="A878" s="4" t="s">
        <v>242</v>
      </c>
      <c r="B878">
        <v>7172030013001100</v>
      </c>
      <c r="C878">
        <v>58</v>
      </c>
      <c r="D878">
        <v>5</v>
      </c>
      <c r="E878">
        <v>0</v>
      </c>
      <c r="F878">
        <v>0</v>
      </c>
      <c r="G878">
        <v>53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region_summary__39[[#This Row],[APPROVED BY Pengawas]]+region_summary__39[[#This Row],[EDITED BY Admin Kabupaten]]</f>
        <v>5</v>
      </c>
    </row>
    <row r="879" spans="1:13" x14ac:dyDescent="0.25">
      <c r="A879" s="4" t="s">
        <v>242</v>
      </c>
      <c r="B879">
        <v>7172030014000200</v>
      </c>
      <c r="C879">
        <v>58</v>
      </c>
      <c r="D879">
        <v>57</v>
      </c>
      <c r="E879">
        <v>0</v>
      </c>
      <c r="F879">
        <v>0</v>
      </c>
      <c r="G879">
        <v>1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region_summary__39[[#This Row],[APPROVED BY Pengawas]]+region_summary__39[[#This Row],[EDITED BY Admin Kabupaten]]</f>
        <v>57</v>
      </c>
    </row>
    <row r="880" spans="1:13" x14ac:dyDescent="0.25">
      <c r="A880" s="4" t="s">
        <v>102</v>
      </c>
      <c r="B880">
        <v>7172030014000500</v>
      </c>
      <c r="C880">
        <v>108</v>
      </c>
      <c r="D880">
        <v>60</v>
      </c>
      <c r="E880">
        <v>5</v>
      </c>
      <c r="F880">
        <v>0</v>
      </c>
      <c r="G880">
        <v>43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region_summary__39[[#This Row],[APPROVED BY Pengawas]]+region_summary__39[[#This Row],[EDITED BY Admin Kabupaten]]</f>
        <v>60</v>
      </c>
    </row>
    <row r="881" spans="1:13" x14ac:dyDescent="0.25">
      <c r="A881" s="4" t="s">
        <v>102</v>
      </c>
      <c r="B881">
        <v>7172030014000900</v>
      </c>
      <c r="C881">
        <v>105</v>
      </c>
      <c r="D881">
        <v>25</v>
      </c>
      <c r="E881">
        <v>0</v>
      </c>
      <c r="F881">
        <v>0</v>
      </c>
      <c r="G881">
        <v>80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region_summary__39[[#This Row],[APPROVED BY Pengawas]]+region_summary__39[[#This Row],[EDITED BY Admin Kabupaten]]</f>
        <v>25</v>
      </c>
    </row>
    <row r="882" spans="1:13" x14ac:dyDescent="0.25">
      <c r="A882" s="4" t="s">
        <v>102</v>
      </c>
      <c r="B882">
        <v>7172030014000300</v>
      </c>
      <c r="C882">
        <v>96</v>
      </c>
      <c r="D882">
        <v>95</v>
      </c>
      <c r="E882">
        <v>0</v>
      </c>
      <c r="F882">
        <v>0</v>
      </c>
      <c r="G882">
        <v>1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region_summary__39[[#This Row],[APPROVED BY Pengawas]]+region_summary__39[[#This Row],[EDITED BY Admin Kabupaten]]</f>
        <v>95</v>
      </c>
    </row>
    <row r="883" spans="1:13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region_summary__39[[#This Row],[APPROVED BY Pengawas]]+region_summary__39[[#This Row],[EDITED BY Admin Kabupaten]]</f>
        <v>0</v>
      </c>
    </row>
    <row r="884" spans="1:13" x14ac:dyDescent="0.25">
      <c r="A884" s="4" t="s">
        <v>102</v>
      </c>
      <c r="B884">
        <v>7172030014000700</v>
      </c>
      <c r="C884">
        <v>90</v>
      </c>
      <c r="D884">
        <v>4</v>
      </c>
      <c r="E884">
        <v>0</v>
      </c>
      <c r="F884">
        <v>0</v>
      </c>
      <c r="G884">
        <v>86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region_summary__39[[#This Row],[APPROVED BY Pengawas]]+region_summary__39[[#This Row],[EDITED BY Admin Kabupaten]]</f>
        <v>4</v>
      </c>
    </row>
    <row r="885" spans="1:13" x14ac:dyDescent="0.25">
      <c r="A885" s="4" t="s">
        <v>102</v>
      </c>
      <c r="B885">
        <v>7172030014000800</v>
      </c>
      <c r="C885">
        <v>67</v>
      </c>
      <c r="D885">
        <v>17</v>
      </c>
      <c r="E885">
        <v>0</v>
      </c>
      <c r="F885">
        <v>0</v>
      </c>
      <c r="G885">
        <v>50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region_summary__39[[#This Row],[APPROVED BY Pengawas]]+region_summary__39[[#This Row],[EDITED BY Admin Kabupaten]]</f>
        <v>17</v>
      </c>
    </row>
    <row r="886" spans="1:13" x14ac:dyDescent="0.25">
      <c r="A886" s="4" t="s">
        <v>102</v>
      </c>
      <c r="B886">
        <v>7172030014000400</v>
      </c>
      <c r="C886">
        <v>62</v>
      </c>
      <c r="D886">
        <v>59</v>
      </c>
      <c r="E886">
        <v>3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region_summary__39[[#This Row],[APPROVED BY Pengawas]]+region_summary__39[[#This Row],[EDITED BY Admin Kabupaten]]</f>
        <v>59</v>
      </c>
    </row>
    <row r="887" spans="1:13" x14ac:dyDescent="0.25">
      <c r="A887" s="4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region_summary__39[[#This Row],[APPROVED BY Pengawas]]+region_summary__39[[#This Row],[EDITED BY Admin Kabupaten]]</f>
        <v>223</v>
      </c>
    </row>
    <row r="888" spans="1:13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202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region_summary__39[[#This Row],[APPROVED BY Pengawas]]+region_summary__39[[#This Row],[EDITED BY Admin Kabupaten]]</f>
        <v>0</v>
      </c>
    </row>
    <row r="889" spans="1:13" x14ac:dyDescent="0.25">
      <c r="A889" s="4" t="s">
        <v>106</v>
      </c>
      <c r="B889">
        <v>7172030015001600</v>
      </c>
      <c r="C889">
        <v>88</v>
      </c>
      <c r="D889">
        <v>1</v>
      </c>
      <c r="E889">
        <v>3</v>
      </c>
      <c r="F889">
        <v>0</v>
      </c>
      <c r="G889">
        <v>80</v>
      </c>
      <c r="H889">
        <v>0</v>
      </c>
      <c r="I889">
        <v>0</v>
      </c>
      <c r="J889">
        <v>0</v>
      </c>
      <c r="K889">
        <v>4</v>
      </c>
      <c r="L889">
        <v>0</v>
      </c>
      <c r="M889">
        <f>region_summary__39[[#This Row],[APPROVED BY Pengawas]]+region_summary__39[[#This Row],[EDITED BY Admin Kabupaten]]</f>
        <v>1</v>
      </c>
    </row>
    <row r="890" spans="1:13" x14ac:dyDescent="0.25">
      <c r="A890" s="4" t="s">
        <v>106</v>
      </c>
      <c r="B890">
        <v>7172030015001400</v>
      </c>
      <c r="C890">
        <v>56</v>
      </c>
      <c r="D890">
        <v>56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region_summary__39[[#This Row],[APPROVED BY Pengawas]]+region_summary__39[[#This Row],[EDITED BY Admin Kabupaten]]</f>
        <v>56</v>
      </c>
    </row>
    <row r="891" spans="1:13" x14ac:dyDescent="0.25">
      <c r="A891" s="4" t="s">
        <v>107</v>
      </c>
      <c r="B891">
        <v>7172030017000400</v>
      </c>
      <c r="C891">
        <v>124</v>
      </c>
      <c r="D891">
        <v>60</v>
      </c>
      <c r="E891">
        <v>3</v>
      </c>
      <c r="F891">
        <v>0</v>
      </c>
      <c r="G891">
        <v>61</v>
      </c>
      <c r="H891">
        <v>0</v>
      </c>
      <c r="I891">
        <v>0</v>
      </c>
      <c r="J891">
        <v>0</v>
      </c>
      <c r="K891">
        <v>0</v>
      </c>
      <c r="L891">
        <v>0</v>
      </c>
      <c r="M891">
        <f>region_summary__39[[#This Row],[APPROVED BY Pengawas]]+region_summary__39[[#This Row],[EDITED BY Admin Kabupaten]]</f>
        <v>60</v>
      </c>
    </row>
    <row r="892" spans="1:13" x14ac:dyDescent="0.25">
      <c r="A892" s="4" t="s">
        <v>107</v>
      </c>
      <c r="B892">
        <v>7172030017000700</v>
      </c>
      <c r="C892">
        <v>110</v>
      </c>
      <c r="D892">
        <v>85</v>
      </c>
      <c r="E892">
        <v>4</v>
      </c>
      <c r="F892">
        <v>0</v>
      </c>
      <c r="G892">
        <v>20</v>
      </c>
      <c r="H892">
        <v>0</v>
      </c>
      <c r="I892">
        <v>1</v>
      </c>
      <c r="J892">
        <v>0</v>
      </c>
      <c r="K892">
        <v>0</v>
      </c>
      <c r="L892">
        <v>0</v>
      </c>
      <c r="M892">
        <f>region_summary__39[[#This Row],[APPROVED BY Pengawas]]+region_summary__39[[#This Row],[EDITED BY Admin Kabupaten]]</f>
        <v>85</v>
      </c>
    </row>
    <row r="893" spans="1:13" x14ac:dyDescent="0.25">
      <c r="A893" s="4" t="s">
        <v>107</v>
      </c>
      <c r="B893">
        <v>7172030017000600</v>
      </c>
      <c r="C893">
        <v>97</v>
      </c>
      <c r="D893">
        <v>33</v>
      </c>
      <c r="E893">
        <v>8</v>
      </c>
      <c r="F893">
        <v>0</v>
      </c>
      <c r="G893">
        <v>56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region_summary__39[[#This Row],[APPROVED BY Pengawas]]+region_summary__39[[#This Row],[EDITED BY Admin Kabupaten]]</f>
        <v>33</v>
      </c>
    </row>
    <row r="894" spans="1:13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region_summary__39[[#This Row],[APPROVED BY Pengawas]]+region_summary__39[[#This Row],[EDITED BY Admin Kabupaten]]</f>
        <v>0</v>
      </c>
    </row>
    <row r="895" spans="1:13" x14ac:dyDescent="0.25">
      <c r="A895" s="4" t="s">
        <v>107</v>
      </c>
      <c r="B895">
        <v>7172030017000800</v>
      </c>
      <c r="C895">
        <v>48</v>
      </c>
      <c r="D895">
        <v>35</v>
      </c>
      <c r="E895">
        <v>2</v>
      </c>
      <c r="F895">
        <v>0</v>
      </c>
      <c r="G895">
        <v>10</v>
      </c>
      <c r="H895">
        <v>0</v>
      </c>
      <c r="I895">
        <v>1</v>
      </c>
      <c r="J895">
        <v>0</v>
      </c>
      <c r="K895">
        <v>0</v>
      </c>
      <c r="L895">
        <v>0</v>
      </c>
      <c r="M895">
        <f>region_summary__39[[#This Row],[APPROVED BY Pengawas]]+region_summary__39[[#This Row],[EDITED BY Admin Kabupaten]]</f>
        <v>35</v>
      </c>
    </row>
    <row r="896" spans="1:13" x14ac:dyDescent="0.25">
      <c r="A896" s="4" t="s">
        <v>107</v>
      </c>
      <c r="B896">
        <v>7172030017000900</v>
      </c>
      <c r="C896">
        <v>48</v>
      </c>
      <c r="D896">
        <v>3</v>
      </c>
      <c r="E896">
        <v>0</v>
      </c>
      <c r="F896">
        <v>0</v>
      </c>
      <c r="G896">
        <v>45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region_summary__39[[#This Row],[APPROVED BY Pengawas]]+region_summary__39[[#This Row],[EDITED BY Admin Kabupaten]]</f>
        <v>3</v>
      </c>
    </row>
    <row r="897" spans="1:13" x14ac:dyDescent="0.25">
      <c r="A897" s="4" t="s">
        <v>107</v>
      </c>
      <c r="B897">
        <v>7172030017001200</v>
      </c>
      <c r="C897">
        <v>41</v>
      </c>
      <c r="D897">
        <v>5</v>
      </c>
      <c r="E897">
        <v>0</v>
      </c>
      <c r="F897">
        <v>0</v>
      </c>
      <c r="G897">
        <v>36</v>
      </c>
      <c r="H897">
        <v>0</v>
      </c>
      <c r="I897">
        <v>0</v>
      </c>
      <c r="J897">
        <v>0</v>
      </c>
      <c r="K897">
        <v>0</v>
      </c>
      <c r="L897">
        <v>0</v>
      </c>
      <c r="M897">
        <f>region_summary__39[[#This Row],[APPROVED BY Pengawas]]+region_summary__39[[#This Row],[EDITED BY Admin Kabupaten]]</f>
        <v>5</v>
      </c>
    </row>
    <row r="898" spans="1:13" x14ac:dyDescent="0.25">
      <c r="A898" s="4" t="s">
        <v>107</v>
      </c>
      <c r="B898">
        <v>7172030017001300</v>
      </c>
      <c r="C898">
        <v>41</v>
      </c>
      <c r="D898">
        <v>35</v>
      </c>
      <c r="E898">
        <v>5</v>
      </c>
      <c r="F898">
        <v>0</v>
      </c>
      <c r="G898">
        <v>1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region_summary__39[[#This Row],[APPROVED BY Pengawas]]+region_summary__39[[#This Row],[EDITED BY Admin Kabupaten]]</f>
        <v>35</v>
      </c>
    </row>
    <row r="899" spans="1:13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region_summary__39[[#This Row],[APPROVED BY Pengawas]]+region_summary__39[[#This Row],[EDITED BY Admin Kabupaten]]</f>
        <v>0</v>
      </c>
    </row>
    <row r="900" spans="1:13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region_summary__39[[#This Row],[APPROVED BY Pengawas]]+region_summary__39[[#This Row],[EDITED BY Admin Kabupaten]]</f>
        <v>0</v>
      </c>
    </row>
    <row r="901" spans="1:13" x14ac:dyDescent="0.25">
      <c r="A901" s="4" t="s">
        <v>108</v>
      </c>
      <c r="B901">
        <v>7172030017001900</v>
      </c>
      <c r="C901">
        <v>131</v>
      </c>
      <c r="D901">
        <v>69</v>
      </c>
      <c r="E901">
        <v>8</v>
      </c>
      <c r="F901">
        <v>0</v>
      </c>
      <c r="G901">
        <v>53</v>
      </c>
      <c r="H901">
        <v>0</v>
      </c>
      <c r="I901">
        <v>0</v>
      </c>
      <c r="J901">
        <v>0</v>
      </c>
      <c r="K901">
        <v>1</v>
      </c>
      <c r="L901">
        <v>0</v>
      </c>
      <c r="M901">
        <f>region_summary__39[[#This Row],[APPROVED BY Pengawas]]+region_summary__39[[#This Row],[EDITED BY Admin Kabupaten]]</f>
        <v>69</v>
      </c>
    </row>
    <row r="902" spans="1:13" x14ac:dyDescent="0.25">
      <c r="A902" s="4" t="s">
        <v>108</v>
      </c>
      <c r="B902">
        <v>7172030017002001</v>
      </c>
      <c r="C902">
        <v>108</v>
      </c>
      <c r="D902">
        <v>31</v>
      </c>
      <c r="E902">
        <v>3</v>
      </c>
      <c r="F902">
        <v>0</v>
      </c>
      <c r="G902">
        <v>74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region_summary__39[[#This Row],[APPROVED BY Pengawas]]+region_summary__39[[#This Row],[EDITED BY Admin Kabupaten]]</f>
        <v>31</v>
      </c>
    </row>
    <row r="903" spans="1:13" x14ac:dyDescent="0.25">
      <c r="A903" s="4" t="s">
        <v>108</v>
      </c>
      <c r="B903">
        <v>7172030017001700</v>
      </c>
      <c r="C903">
        <v>99</v>
      </c>
      <c r="D903">
        <v>11</v>
      </c>
      <c r="E903">
        <v>17</v>
      </c>
      <c r="F903">
        <v>0</v>
      </c>
      <c r="G903">
        <v>71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region_summary__39[[#This Row],[APPROVED BY Pengawas]]+region_summary__39[[#This Row],[EDITED BY Admin Kabupaten]]</f>
        <v>11</v>
      </c>
    </row>
    <row r="904" spans="1:13" x14ac:dyDescent="0.25">
      <c r="A904" s="4" t="s">
        <v>108</v>
      </c>
      <c r="B904">
        <v>7172030017001800</v>
      </c>
      <c r="C904">
        <v>98</v>
      </c>
      <c r="D904">
        <v>25</v>
      </c>
      <c r="E904">
        <v>10</v>
      </c>
      <c r="F904">
        <v>0</v>
      </c>
      <c r="G904">
        <v>63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region_summary__39[[#This Row],[APPROVED BY Pengawas]]+region_summary__39[[#This Row],[EDITED BY Admin Kabupaten]]</f>
        <v>25</v>
      </c>
    </row>
    <row r="905" spans="1:13" x14ac:dyDescent="0.25">
      <c r="A905" s="4" t="s">
        <v>108</v>
      </c>
      <c r="B905">
        <v>7172030017002002</v>
      </c>
      <c r="C905">
        <v>90</v>
      </c>
      <c r="D905">
        <v>23</v>
      </c>
      <c r="E905">
        <v>2</v>
      </c>
      <c r="F905">
        <v>0</v>
      </c>
      <c r="G905">
        <v>62</v>
      </c>
      <c r="H905">
        <v>0</v>
      </c>
      <c r="I905">
        <v>0</v>
      </c>
      <c r="J905">
        <v>0</v>
      </c>
      <c r="K905">
        <v>3</v>
      </c>
      <c r="L905">
        <v>0</v>
      </c>
      <c r="M905">
        <f>region_summary__39[[#This Row],[APPROVED BY Pengawas]]+region_summary__39[[#This Row],[EDITED BY Admin Kabupaten]]</f>
        <v>23</v>
      </c>
    </row>
    <row r="906" spans="1:13" x14ac:dyDescent="0.25">
      <c r="A906" s="4" t="s">
        <v>108</v>
      </c>
      <c r="B906">
        <v>7172030017001400</v>
      </c>
      <c r="C906">
        <v>85</v>
      </c>
      <c r="D906">
        <v>76</v>
      </c>
      <c r="E906">
        <v>8</v>
      </c>
      <c r="F906">
        <v>0</v>
      </c>
      <c r="G906">
        <v>1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region_summary__39[[#This Row],[APPROVED BY Pengawas]]+region_summary__39[[#This Row],[EDITED BY Admin Kabupaten]]</f>
        <v>76</v>
      </c>
    </row>
    <row r="907" spans="1:13" x14ac:dyDescent="0.25">
      <c r="A907" s="4" t="s">
        <v>108</v>
      </c>
      <c r="B907">
        <v>7172030017001600</v>
      </c>
      <c r="C907">
        <v>67</v>
      </c>
      <c r="D907">
        <v>30</v>
      </c>
      <c r="E907">
        <v>3</v>
      </c>
      <c r="F907">
        <v>0</v>
      </c>
      <c r="G907">
        <v>33</v>
      </c>
      <c r="H907">
        <v>0</v>
      </c>
      <c r="I907">
        <v>0</v>
      </c>
      <c r="J907">
        <v>1</v>
      </c>
      <c r="K907">
        <v>0</v>
      </c>
      <c r="L907">
        <v>0</v>
      </c>
      <c r="M907">
        <f>region_summary__39[[#This Row],[APPROVED BY Pengawas]]+region_summary__39[[#This Row],[EDITED BY Admin Kabupaten]]</f>
        <v>30</v>
      </c>
    </row>
    <row r="908" spans="1:13" x14ac:dyDescent="0.25">
      <c r="A908" s="4" t="s">
        <v>110</v>
      </c>
      <c r="B908">
        <v>7172031002000100</v>
      </c>
      <c r="C908">
        <v>230</v>
      </c>
      <c r="D908">
        <v>180</v>
      </c>
      <c r="E908">
        <v>8</v>
      </c>
      <c r="F908">
        <v>0</v>
      </c>
      <c r="G908">
        <v>4</v>
      </c>
      <c r="H908">
        <v>0</v>
      </c>
      <c r="I908">
        <v>0</v>
      </c>
      <c r="J908">
        <v>0</v>
      </c>
      <c r="K908">
        <v>38</v>
      </c>
      <c r="L908">
        <v>0</v>
      </c>
      <c r="M908">
        <f>region_summary__39[[#This Row],[APPROVED BY Pengawas]]+region_summary__39[[#This Row],[EDITED BY Admin Kabupaten]]</f>
        <v>180</v>
      </c>
    </row>
    <row r="909" spans="1:13" x14ac:dyDescent="0.25">
      <c r="A909" s="4" t="s">
        <v>110</v>
      </c>
      <c r="B909">
        <v>7172031002000200</v>
      </c>
      <c r="C909">
        <v>190</v>
      </c>
      <c r="D909">
        <v>159</v>
      </c>
      <c r="E909">
        <v>9</v>
      </c>
      <c r="F909">
        <v>0</v>
      </c>
      <c r="G909">
        <v>13</v>
      </c>
      <c r="H909">
        <v>0</v>
      </c>
      <c r="I909">
        <v>0</v>
      </c>
      <c r="J909">
        <v>0</v>
      </c>
      <c r="K909">
        <v>9</v>
      </c>
      <c r="L909">
        <v>0</v>
      </c>
      <c r="M909">
        <f>region_summary__39[[#This Row],[APPROVED BY Pengawas]]+region_summary__39[[#This Row],[EDITED BY Admin Kabupaten]]</f>
        <v>159</v>
      </c>
    </row>
    <row r="910" spans="1:13" x14ac:dyDescent="0.25">
      <c r="A910" s="4" t="s">
        <v>110</v>
      </c>
      <c r="B910">
        <v>7172031002000300</v>
      </c>
      <c r="C910">
        <v>135</v>
      </c>
      <c r="D910">
        <v>0</v>
      </c>
      <c r="E910">
        <v>6</v>
      </c>
      <c r="F910">
        <v>0</v>
      </c>
      <c r="G910">
        <v>103</v>
      </c>
      <c r="H910">
        <v>0</v>
      </c>
      <c r="I910">
        <v>0</v>
      </c>
      <c r="J910">
        <v>0</v>
      </c>
      <c r="K910">
        <v>26</v>
      </c>
      <c r="L910">
        <v>0</v>
      </c>
      <c r="M910">
        <f>region_summary__39[[#This Row],[APPROVED BY Pengawas]]+region_summary__39[[#This Row],[EDITED BY Admin Kabupaten]]</f>
        <v>0</v>
      </c>
    </row>
    <row r="911" spans="1:13" x14ac:dyDescent="0.25">
      <c r="A911" s="4" t="s">
        <v>110</v>
      </c>
      <c r="B911">
        <v>7172031001001500</v>
      </c>
      <c r="C911">
        <v>95</v>
      </c>
      <c r="D911">
        <v>71</v>
      </c>
      <c r="E911">
        <v>1</v>
      </c>
      <c r="F911">
        <v>0</v>
      </c>
      <c r="G911">
        <v>0</v>
      </c>
      <c r="H911">
        <v>0</v>
      </c>
      <c r="I911">
        <v>2</v>
      </c>
      <c r="J911">
        <v>0</v>
      </c>
      <c r="K911">
        <v>21</v>
      </c>
      <c r="L911">
        <v>0</v>
      </c>
      <c r="M911">
        <f>region_summary__39[[#This Row],[APPROVED BY Pengawas]]+region_summary__39[[#This Row],[EDITED BY Admin Kabupaten]]</f>
        <v>71</v>
      </c>
    </row>
    <row r="912" spans="1:13" x14ac:dyDescent="0.25">
      <c r="A912" s="4" t="s">
        <v>111</v>
      </c>
      <c r="B912">
        <v>7172031002000500</v>
      </c>
      <c r="C912">
        <v>137</v>
      </c>
      <c r="D912">
        <v>92</v>
      </c>
      <c r="E912">
        <v>17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13</v>
      </c>
      <c r="L912">
        <v>0</v>
      </c>
      <c r="M912">
        <f>region_summary__39[[#This Row],[APPROVED BY Pengawas]]+region_summary__39[[#This Row],[EDITED BY Admin Kabupaten]]</f>
        <v>92</v>
      </c>
    </row>
    <row r="913" spans="1:13" x14ac:dyDescent="0.25">
      <c r="A913" s="4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region_summary__39[[#This Row],[APPROVED BY Pengawas]]+region_summary__39[[#This Row],[EDITED BY Admin Kabupaten]]</f>
        <v>103</v>
      </c>
    </row>
    <row r="914" spans="1:13" x14ac:dyDescent="0.25">
      <c r="A914" s="4" t="s">
        <v>111</v>
      </c>
      <c r="B914">
        <v>7172031002001101</v>
      </c>
      <c r="C914">
        <v>98</v>
      </c>
      <c r="D914">
        <v>29</v>
      </c>
      <c r="E914">
        <v>3</v>
      </c>
      <c r="F914">
        <v>0</v>
      </c>
      <c r="G914">
        <v>66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region_summary__39[[#This Row],[APPROVED BY Pengawas]]+region_summary__39[[#This Row],[EDITED BY Admin Kabupaten]]</f>
        <v>29</v>
      </c>
    </row>
    <row r="915" spans="1:13" x14ac:dyDescent="0.25">
      <c r="A915" s="4" t="s">
        <v>111</v>
      </c>
      <c r="B915">
        <v>7172031002000700</v>
      </c>
      <c r="C915">
        <v>64</v>
      </c>
      <c r="D915">
        <v>4</v>
      </c>
      <c r="E915">
        <v>1</v>
      </c>
      <c r="F915">
        <v>0</v>
      </c>
      <c r="G915">
        <v>59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region_summary__39[[#This Row],[APPROVED BY Pengawas]]+region_summary__39[[#This Row],[EDITED BY Admin Kabupaten]]</f>
        <v>4</v>
      </c>
    </row>
    <row r="916" spans="1:13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region_summary__39[[#This Row],[APPROVED BY Pengawas]]+region_summary__39[[#This Row],[EDITED BY Admin Kabupaten]]</f>
        <v>0</v>
      </c>
    </row>
    <row r="917" spans="1:13" x14ac:dyDescent="0.25">
      <c r="A917" s="4" t="s">
        <v>111</v>
      </c>
      <c r="B917">
        <v>7172031003000200</v>
      </c>
      <c r="C917">
        <v>56</v>
      </c>
      <c r="D917">
        <v>20</v>
      </c>
      <c r="E917">
        <v>0</v>
      </c>
      <c r="F917">
        <v>0</v>
      </c>
      <c r="G917">
        <v>36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region_summary__39[[#This Row],[APPROVED BY Pengawas]]+region_summary__39[[#This Row],[EDITED BY Admin Kabupaten]]</f>
        <v>20</v>
      </c>
    </row>
    <row r="918" spans="1:13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region_summary__39[[#This Row],[APPROVED BY Pengawas]]+region_summary__39[[#This Row],[EDITED BY Admin Kabupaten]]</f>
        <v>0</v>
      </c>
    </row>
    <row r="919" spans="1:13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region_summary__39[[#This Row],[APPROVED BY Pengawas]]+region_summary__39[[#This Row],[EDITED BY Admin Kabupaten]]</f>
        <v>0</v>
      </c>
    </row>
    <row r="920" spans="1:13" x14ac:dyDescent="0.25">
      <c r="A920" s="4" t="s">
        <v>112</v>
      </c>
      <c r="B920">
        <v>7172031002001102</v>
      </c>
      <c r="C920">
        <v>179</v>
      </c>
      <c r="D920">
        <v>39</v>
      </c>
      <c r="E920">
        <v>71</v>
      </c>
      <c r="F920">
        <v>0</v>
      </c>
      <c r="G920">
        <v>57</v>
      </c>
      <c r="H920">
        <v>0</v>
      </c>
      <c r="I920">
        <v>0</v>
      </c>
      <c r="J920">
        <v>0</v>
      </c>
      <c r="K920">
        <v>12</v>
      </c>
      <c r="L920">
        <v>0</v>
      </c>
      <c r="M920">
        <f>region_summary__39[[#This Row],[APPROVED BY Pengawas]]+region_summary__39[[#This Row],[EDITED BY Admin Kabupaten]]</f>
        <v>39</v>
      </c>
    </row>
    <row r="921" spans="1:13" x14ac:dyDescent="0.25">
      <c r="A921" s="4" t="s">
        <v>112</v>
      </c>
      <c r="B921">
        <v>7172031002001000</v>
      </c>
      <c r="C921">
        <v>136</v>
      </c>
      <c r="D921">
        <v>102</v>
      </c>
      <c r="E921">
        <v>34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f>region_summary__39[[#This Row],[APPROVED BY Pengawas]]+region_summary__39[[#This Row],[EDITED BY Admin Kabupaten]]</f>
        <v>102</v>
      </c>
    </row>
    <row r="922" spans="1:13" x14ac:dyDescent="0.25">
      <c r="A922" s="4" t="s">
        <v>112</v>
      </c>
      <c r="B922">
        <v>7172031002001300</v>
      </c>
      <c r="C922">
        <v>88</v>
      </c>
      <c r="D922">
        <v>53</v>
      </c>
      <c r="E922">
        <v>23</v>
      </c>
      <c r="F922">
        <v>0</v>
      </c>
      <c r="G922">
        <v>12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region_summary__39[[#This Row],[APPROVED BY Pengawas]]+region_summary__39[[#This Row],[EDITED BY Admin Kabupaten]]</f>
        <v>53</v>
      </c>
    </row>
    <row r="923" spans="1:13" x14ac:dyDescent="0.25">
      <c r="A923" s="4" t="s">
        <v>112</v>
      </c>
      <c r="B923">
        <v>7172031008001400</v>
      </c>
      <c r="C923">
        <v>77</v>
      </c>
      <c r="D923">
        <v>0</v>
      </c>
      <c r="E923">
        <v>0</v>
      </c>
      <c r="F923">
        <v>0</v>
      </c>
      <c r="G923">
        <v>77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region_summary__39[[#This Row],[APPROVED BY Pengawas]]+region_summary__39[[#This Row],[EDITED BY Admin Kabupaten]]</f>
        <v>0</v>
      </c>
    </row>
    <row r="924" spans="1:13" x14ac:dyDescent="0.25">
      <c r="A924" s="4" t="s">
        <v>112</v>
      </c>
      <c r="B924">
        <v>7172031002000800</v>
      </c>
      <c r="C924">
        <v>76</v>
      </c>
      <c r="D924">
        <v>0</v>
      </c>
      <c r="E924">
        <v>0</v>
      </c>
      <c r="F924">
        <v>0</v>
      </c>
      <c r="G924">
        <v>76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region_summary__39[[#This Row],[APPROVED BY Pengawas]]+region_summary__39[[#This Row],[EDITED BY Admin Kabupaten]]</f>
        <v>0</v>
      </c>
    </row>
    <row r="925" spans="1:13" x14ac:dyDescent="0.25">
      <c r="A925" s="4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region_summary__39[[#This Row],[APPROVED BY Pengawas]]+region_summary__39[[#This Row],[EDITED BY Admin Kabupaten]]</f>
        <v>57</v>
      </c>
    </row>
    <row r="926" spans="1:13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region_summary__39[[#This Row],[APPROVED BY Pengawas]]+region_summary__39[[#This Row],[EDITED BY Admin Kabupaten]]</f>
        <v>1</v>
      </c>
    </row>
    <row r="927" spans="1:13" x14ac:dyDescent="0.25">
      <c r="A927" s="4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region_summary__39[[#This Row],[APPROVED BY Pengawas]]+region_summary__39[[#This Row],[EDITED BY Admin Kabupaten]]</f>
        <v>30</v>
      </c>
    </row>
    <row r="928" spans="1:13" x14ac:dyDescent="0.25">
      <c r="A928" s="4" t="s">
        <v>115</v>
      </c>
      <c r="B928">
        <v>7172031003002000</v>
      </c>
      <c r="C928">
        <v>198</v>
      </c>
      <c r="D928">
        <v>134</v>
      </c>
      <c r="E928">
        <v>5</v>
      </c>
      <c r="F928">
        <v>46</v>
      </c>
      <c r="G928">
        <v>13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region_summary__39[[#This Row],[APPROVED BY Pengawas]]+region_summary__39[[#This Row],[EDITED BY Admin Kabupaten]]</f>
        <v>180</v>
      </c>
    </row>
    <row r="929" spans="1:13" x14ac:dyDescent="0.25">
      <c r="A929" s="4" t="s">
        <v>115</v>
      </c>
      <c r="B929">
        <v>7172031003002100</v>
      </c>
      <c r="C929">
        <v>139</v>
      </c>
      <c r="D929">
        <v>45</v>
      </c>
      <c r="E929">
        <v>5</v>
      </c>
      <c r="F929">
        <v>0</v>
      </c>
      <c r="G929">
        <v>88</v>
      </c>
      <c r="H929">
        <v>0</v>
      </c>
      <c r="I929">
        <v>1</v>
      </c>
      <c r="J929">
        <v>0</v>
      </c>
      <c r="K929">
        <v>0</v>
      </c>
      <c r="L929">
        <v>0</v>
      </c>
      <c r="M929">
        <f>region_summary__39[[#This Row],[APPROVED BY Pengawas]]+region_summary__39[[#This Row],[EDITED BY Admin Kabupaten]]</f>
        <v>45</v>
      </c>
    </row>
    <row r="930" spans="1:13" x14ac:dyDescent="0.25">
      <c r="A930" s="4" t="s">
        <v>115</v>
      </c>
      <c r="B930">
        <v>7172031003001700</v>
      </c>
      <c r="C930">
        <v>138</v>
      </c>
      <c r="D930">
        <v>38</v>
      </c>
      <c r="E930">
        <v>0</v>
      </c>
      <c r="F930">
        <v>0</v>
      </c>
      <c r="G930">
        <v>100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region_summary__39[[#This Row],[APPROVED BY Pengawas]]+region_summary__39[[#This Row],[EDITED BY Admin Kabupaten]]</f>
        <v>38</v>
      </c>
    </row>
    <row r="931" spans="1:13" x14ac:dyDescent="0.25">
      <c r="A931" s="4" t="s">
        <v>115</v>
      </c>
      <c r="B931">
        <v>7172031003001900</v>
      </c>
      <c r="C931">
        <v>62</v>
      </c>
      <c r="D931">
        <v>26</v>
      </c>
      <c r="E931">
        <v>2</v>
      </c>
      <c r="F931">
        <v>2</v>
      </c>
      <c r="G931">
        <v>32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region_summary__39[[#This Row],[APPROVED BY Pengawas]]+region_summary__39[[#This Row],[EDITED BY Admin Kabupaten]]</f>
        <v>28</v>
      </c>
    </row>
    <row r="932" spans="1:13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region_summary__39[[#This Row],[APPROVED BY Pengawas]]+region_summary__39[[#This Row],[EDITED BY Admin Kabupaten]]</f>
        <v>0</v>
      </c>
    </row>
    <row r="933" spans="1:13" x14ac:dyDescent="0.25">
      <c r="A933" s="4" t="s">
        <v>243</v>
      </c>
      <c r="B933">
        <v>7172031003001800</v>
      </c>
      <c r="C933">
        <v>146</v>
      </c>
      <c r="D933">
        <v>108</v>
      </c>
      <c r="E933">
        <v>0</v>
      </c>
      <c r="F933">
        <v>24</v>
      </c>
      <c r="G933">
        <v>14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region_summary__39[[#This Row],[APPROVED BY Pengawas]]+region_summary__39[[#This Row],[EDITED BY Admin Kabupaten]]</f>
        <v>132</v>
      </c>
    </row>
    <row r="934" spans="1:13" x14ac:dyDescent="0.25">
      <c r="A934" s="4" t="s">
        <v>243</v>
      </c>
      <c r="B934">
        <v>7172031003002500</v>
      </c>
      <c r="C934">
        <v>108</v>
      </c>
      <c r="D934">
        <v>64</v>
      </c>
      <c r="E934">
        <v>2</v>
      </c>
      <c r="F934">
        <v>23</v>
      </c>
      <c r="G934">
        <v>19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region_summary__39[[#This Row],[APPROVED BY Pengawas]]+region_summary__39[[#This Row],[EDITED BY Admin Kabupaten]]</f>
        <v>87</v>
      </c>
    </row>
    <row r="935" spans="1:13" x14ac:dyDescent="0.25">
      <c r="A935" s="4" t="s">
        <v>243</v>
      </c>
      <c r="B935">
        <v>7172031003002700</v>
      </c>
      <c r="C935">
        <v>98</v>
      </c>
      <c r="D935">
        <v>3</v>
      </c>
      <c r="E935">
        <v>0</v>
      </c>
      <c r="F935">
        <v>0</v>
      </c>
      <c r="G935">
        <v>95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region_summary__39[[#This Row],[APPROVED BY Pengawas]]+region_summary__39[[#This Row],[EDITED BY Admin Kabupaten]]</f>
        <v>3</v>
      </c>
    </row>
    <row r="936" spans="1:13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region_summary__39[[#This Row],[APPROVED BY Pengawas]]+region_summary__39[[#This Row],[EDITED BY Admin Kabupaten]]</f>
        <v>0</v>
      </c>
    </row>
    <row r="937" spans="1:13" x14ac:dyDescent="0.25">
      <c r="A937" s="4" t="s">
        <v>243</v>
      </c>
      <c r="B937">
        <v>7172031003002600</v>
      </c>
      <c r="C937">
        <v>74</v>
      </c>
      <c r="D937">
        <v>52</v>
      </c>
      <c r="E937">
        <v>1</v>
      </c>
      <c r="F937">
        <v>3</v>
      </c>
      <c r="G937">
        <v>18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region_summary__39[[#This Row],[APPROVED BY Pengawas]]+region_summary__39[[#This Row],[EDITED BY Admin Kabupaten]]</f>
        <v>55</v>
      </c>
    </row>
    <row r="938" spans="1:13" x14ac:dyDescent="0.25">
      <c r="A938" s="4" t="s">
        <v>243</v>
      </c>
      <c r="B938">
        <v>7172031003002400</v>
      </c>
      <c r="C938">
        <v>62</v>
      </c>
      <c r="D938">
        <v>40</v>
      </c>
      <c r="E938">
        <v>0</v>
      </c>
      <c r="F938">
        <v>11</v>
      </c>
      <c r="G938">
        <v>11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region_summary__39[[#This Row],[APPROVED BY Pengawas]]+region_summary__39[[#This Row],[EDITED BY Admin Kabupaten]]</f>
        <v>51</v>
      </c>
    </row>
    <row r="939" spans="1:13" x14ac:dyDescent="0.25">
      <c r="A939" s="4" t="s">
        <v>243</v>
      </c>
      <c r="B939">
        <v>7172031003002200</v>
      </c>
      <c r="C939">
        <v>60</v>
      </c>
      <c r="D939">
        <v>1</v>
      </c>
      <c r="E939">
        <v>0</v>
      </c>
      <c r="F939">
        <v>0</v>
      </c>
      <c r="G939">
        <v>59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region_summary__39[[#This Row],[APPROVED BY Pengawas]]+region_summary__39[[#This Row],[EDITED BY Admin Kabupaten]]</f>
        <v>1</v>
      </c>
    </row>
    <row r="940" spans="1:13" x14ac:dyDescent="0.25">
      <c r="A940" s="4" t="s">
        <v>117</v>
      </c>
      <c r="B940">
        <v>7172031004000800</v>
      </c>
      <c r="C940">
        <v>123</v>
      </c>
      <c r="D940">
        <v>23</v>
      </c>
      <c r="E940">
        <v>6</v>
      </c>
      <c r="F940">
        <v>0</v>
      </c>
      <c r="G940">
        <v>94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region_summary__39[[#This Row],[APPROVED BY Pengawas]]+region_summary__39[[#This Row],[EDITED BY Admin Kabupaten]]</f>
        <v>23</v>
      </c>
    </row>
    <row r="941" spans="1:13" x14ac:dyDescent="0.25">
      <c r="A941" s="4" t="s">
        <v>117</v>
      </c>
      <c r="B941">
        <v>7172031004000900</v>
      </c>
      <c r="C941">
        <v>79</v>
      </c>
      <c r="D941">
        <v>63</v>
      </c>
      <c r="E941">
        <v>3</v>
      </c>
      <c r="F941">
        <v>13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region_summary__39[[#This Row],[APPROVED BY Pengawas]]+region_summary__39[[#This Row],[EDITED BY Admin Kabupaten]]</f>
        <v>76</v>
      </c>
    </row>
    <row r="942" spans="1:13" x14ac:dyDescent="0.25">
      <c r="A942" s="4" t="s">
        <v>117</v>
      </c>
      <c r="B942">
        <v>7172031004000200</v>
      </c>
      <c r="C942">
        <v>56</v>
      </c>
      <c r="D942">
        <v>15</v>
      </c>
      <c r="E942">
        <v>5</v>
      </c>
      <c r="F942">
        <v>0</v>
      </c>
      <c r="G942">
        <v>36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region_summary__39[[#This Row],[APPROVED BY Pengawas]]+region_summary__39[[#This Row],[EDITED BY Admin Kabupaten]]</f>
        <v>15</v>
      </c>
    </row>
    <row r="943" spans="1:13" x14ac:dyDescent="0.25">
      <c r="A943" s="4" t="s">
        <v>117</v>
      </c>
      <c r="B943">
        <v>7172031004000100</v>
      </c>
      <c r="C943">
        <v>54</v>
      </c>
      <c r="D943">
        <v>21</v>
      </c>
      <c r="E943">
        <v>3</v>
      </c>
      <c r="F943">
        <v>0</v>
      </c>
      <c r="G943">
        <v>30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region_summary__39[[#This Row],[APPROVED BY Pengawas]]+region_summary__39[[#This Row],[EDITED BY Admin Kabupaten]]</f>
        <v>21</v>
      </c>
    </row>
    <row r="944" spans="1:13" x14ac:dyDescent="0.25">
      <c r="A944" s="4" t="s">
        <v>117</v>
      </c>
      <c r="B944">
        <v>7172031004000300</v>
      </c>
      <c r="C944">
        <v>51</v>
      </c>
      <c r="D944">
        <v>15</v>
      </c>
      <c r="E944">
        <v>0</v>
      </c>
      <c r="F944">
        <v>0</v>
      </c>
      <c r="G944">
        <v>36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region_summary__39[[#This Row],[APPROVED BY Pengawas]]+region_summary__39[[#This Row],[EDITED BY Admin Kabupaten]]</f>
        <v>15</v>
      </c>
    </row>
    <row r="945" spans="1:13" x14ac:dyDescent="0.25">
      <c r="A945" s="4" t="s">
        <v>117</v>
      </c>
      <c r="B945">
        <v>7172031004001000</v>
      </c>
      <c r="C945">
        <v>50</v>
      </c>
      <c r="D945">
        <v>25</v>
      </c>
      <c r="E945">
        <v>21</v>
      </c>
      <c r="F945">
        <v>0</v>
      </c>
      <c r="G945">
        <v>2</v>
      </c>
      <c r="H945">
        <v>0</v>
      </c>
      <c r="I945">
        <v>0</v>
      </c>
      <c r="J945">
        <v>0</v>
      </c>
      <c r="K945">
        <v>2</v>
      </c>
      <c r="L945">
        <v>0</v>
      </c>
      <c r="M945">
        <f>region_summary__39[[#This Row],[APPROVED BY Pengawas]]+region_summary__39[[#This Row],[EDITED BY Admin Kabupaten]]</f>
        <v>25</v>
      </c>
    </row>
    <row r="946" spans="1:13" x14ac:dyDescent="0.25">
      <c r="A946" s="4" t="s">
        <v>117</v>
      </c>
      <c r="B946">
        <v>7172031004000500</v>
      </c>
      <c r="C946">
        <v>48</v>
      </c>
      <c r="D946">
        <v>44</v>
      </c>
      <c r="E946">
        <v>0</v>
      </c>
      <c r="F946">
        <v>2</v>
      </c>
      <c r="G946">
        <v>1</v>
      </c>
      <c r="H946">
        <v>0</v>
      </c>
      <c r="I946">
        <v>0</v>
      </c>
      <c r="J946">
        <v>1</v>
      </c>
      <c r="K946">
        <v>0</v>
      </c>
      <c r="L946">
        <v>0</v>
      </c>
      <c r="M946">
        <f>region_summary__39[[#This Row],[APPROVED BY Pengawas]]+region_summary__39[[#This Row],[EDITED BY Admin Kabupaten]]</f>
        <v>46</v>
      </c>
    </row>
    <row r="947" spans="1:13" x14ac:dyDescent="0.25">
      <c r="A947" s="4" t="s">
        <v>117</v>
      </c>
      <c r="B947">
        <v>7172031004001100</v>
      </c>
      <c r="C947">
        <v>48</v>
      </c>
      <c r="D947">
        <v>8</v>
      </c>
      <c r="E947">
        <v>0</v>
      </c>
      <c r="F947">
        <v>0</v>
      </c>
      <c r="G947">
        <v>40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region_summary__39[[#This Row],[APPROVED BY Pengawas]]+region_summary__39[[#This Row],[EDITED BY Admin Kabupaten]]</f>
        <v>8</v>
      </c>
    </row>
    <row r="948" spans="1:13" x14ac:dyDescent="0.25">
      <c r="A948" s="4" t="s">
        <v>117</v>
      </c>
      <c r="B948">
        <v>7172031004000700</v>
      </c>
      <c r="C948">
        <v>45</v>
      </c>
      <c r="D948">
        <v>10</v>
      </c>
      <c r="E948">
        <v>0</v>
      </c>
      <c r="F948">
        <v>0</v>
      </c>
      <c r="G948">
        <v>35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region_summary__39[[#This Row],[APPROVED BY Pengawas]]+region_summary__39[[#This Row],[EDITED BY Admin Kabupaten]]</f>
        <v>10</v>
      </c>
    </row>
    <row r="949" spans="1:13" x14ac:dyDescent="0.25">
      <c r="A949" s="4" t="s">
        <v>117</v>
      </c>
      <c r="B949">
        <v>7172031004000600</v>
      </c>
      <c r="C949">
        <v>42</v>
      </c>
      <c r="D949">
        <v>14</v>
      </c>
      <c r="E949">
        <v>23</v>
      </c>
      <c r="F949">
        <v>0</v>
      </c>
      <c r="G949">
        <v>5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region_summary__39[[#This Row],[APPROVED BY Pengawas]]+region_summary__39[[#This Row],[EDITED BY Admin Kabupaten]]</f>
        <v>14</v>
      </c>
    </row>
    <row r="950" spans="1:13" x14ac:dyDescent="0.25">
      <c r="A950" s="4" t="s">
        <v>117</v>
      </c>
      <c r="B950">
        <v>7172031004000400</v>
      </c>
      <c r="C950">
        <v>28</v>
      </c>
      <c r="D950">
        <v>12</v>
      </c>
      <c r="E950">
        <v>0</v>
      </c>
      <c r="F950">
        <v>0</v>
      </c>
      <c r="G950">
        <v>16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region_summary__39[[#This Row],[APPROVED BY Pengawas]]+region_summary__39[[#This Row],[EDITED BY Admin Kabupaten]]</f>
        <v>12</v>
      </c>
    </row>
    <row r="951" spans="1:13" x14ac:dyDescent="0.25">
      <c r="A951" s="4" t="s">
        <v>120</v>
      </c>
      <c r="B951">
        <v>7172031006000101</v>
      </c>
      <c r="C951">
        <v>229</v>
      </c>
      <c r="D951">
        <v>221</v>
      </c>
      <c r="E951">
        <v>3</v>
      </c>
      <c r="F951">
        <v>0</v>
      </c>
      <c r="G951">
        <v>5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region_summary__39[[#This Row],[APPROVED BY Pengawas]]+region_summary__39[[#This Row],[EDITED BY Admin Kabupaten]]</f>
        <v>221</v>
      </c>
    </row>
    <row r="952" spans="1:13" x14ac:dyDescent="0.25">
      <c r="A952" s="4" t="s">
        <v>120</v>
      </c>
      <c r="B952">
        <v>7172031006000300</v>
      </c>
      <c r="C952">
        <v>133</v>
      </c>
      <c r="D952">
        <v>15</v>
      </c>
      <c r="E952">
        <v>0</v>
      </c>
      <c r="F952">
        <v>0</v>
      </c>
      <c r="G952">
        <v>117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region_summary__39[[#This Row],[APPROVED BY Pengawas]]+region_summary__39[[#This Row],[EDITED BY Admin Kabupaten]]</f>
        <v>15</v>
      </c>
    </row>
    <row r="953" spans="1:13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region_summary__39[[#This Row],[APPROVED BY Pengawas]]+region_summary__39[[#This Row],[EDITED BY Admin Kabupaten]]</f>
        <v>0</v>
      </c>
    </row>
    <row r="954" spans="1:13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region_summary__39[[#This Row],[APPROVED BY Pengawas]]+region_summary__39[[#This Row],[EDITED BY Admin Kabupaten]]</f>
        <v>0</v>
      </c>
    </row>
    <row r="955" spans="1:13" x14ac:dyDescent="0.25">
      <c r="A955" s="4" t="s">
        <v>120</v>
      </c>
      <c r="B955">
        <v>7172031006000102</v>
      </c>
      <c r="C955">
        <v>84</v>
      </c>
      <c r="D955">
        <v>33</v>
      </c>
      <c r="E955">
        <v>12</v>
      </c>
      <c r="F955">
        <v>0</v>
      </c>
      <c r="G955">
        <v>7</v>
      </c>
      <c r="H955">
        <v>0</v>
      </c>
      <c r="I955">
        <v>0</v>
      </c>
      <c r="J955">
        <v>0</v>
      </c>
      <c r="K955">
        <v>32</v>
      </c>
      <c r="L955">
        <v>0</v>
      </c>
      <c r="M955">
        <f>region_summary__39[[#This Row],[APPROVED BY Pengawas]]+region_summary__39[[#This Row],[EDITED BY Admin Kabupaten]]</f>
        <v>33</v>
      </c>
    </row>
    <row r="956" spans="1:13" x14ac:dyDescent="0.25">
      <c r="A956" s="4" t="s">
        <v>122</v>
      </c>
      <c r="B956">
        <v>7172031006000900</v>
      </c>
      <c r="C956">
        <v>202</v>
      </c>
      <c r="D956">
        <v>141</v>
      </c>
      <c r="E956">
        <v>14</v>
      </c>
      <c r="F956">
        <v>0</v>
      </c>
      <c r="G956">
        <v>37</v>
      </c>
      <c r="H956">
        <v>0</v>
      </c>
      <c r="I956">
        <v>0</v>
      </c>
      <c r="J956">
        <v>0</v>
      </c>
      <c r="K956">
        <v>10</v>
      </c>
      <c r="L956">
        <v>0</v>
      </c>
      <c r="M956">
        <f>region_summary__39[[#This Row],[APPROVED BY Pengawas]]+region_summary__39[[#This Row],[EDITED BY Admin Kabupaten]]</f>
        <v>141</v>
      </c>
    </row>
    <row r="957" spans="1:13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region_summary__39[[#This Row],[APPROVED BY Pengawas]]+region_summary__39[[#This Row],[EDITED BY Admin Kabupaten]]</f>
        <v>0</v>
      </c>
    </row>
    <row r="958" spans="1:13" x14ac:dyDescent="0.25">
      <c r="A958" s="4" t="s">
        <v>122</v>
      </c>
      <c r="B958">
        <v>7172031006001300</v>
      </c>
      <c r="C958">
        <v>116</v>
      </c>
      <c r="D958">
        <v>110</v>
      </c>
      <c r="E958">
        <v>5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</v>
      </c>
      <c r="L958">
        <v>0</v>
      </c>
      <c r="M958">
        <f>region_summary__39[[#This Row],[APPROVED BY Pengawas]]+region_summary__39[[#This Row],[EDITED BY Admin Kabupaten]]</f>
        <v>110</v>
      </c>
    </row>
    <row r="959" spans="1:13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region_summary__39[[#This Row],[APPROVED BY Pengawas]]+region_summary__39[[#This Row],[EDITED BY Admin Kabupaten]]</f>
        <v>0</v>
      </c>
    </row>
    <row r="960" spans="1:13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region_summary__39[[#This Row],[APPROVED BY Pengawas]]+region_summary__39[[#This Row],[EDITED BY Admin Kabupaten]]</f>
        <v>0</v>
      </c>
    </row>
    <row r="961" spans="1:13" x14ac:dyDescent="0.25">
      <c r="A961" s="4" t="s">
        <v>124</v>
      </c>
      <c r="B961">
        <v>7172031006001400</v>
      </c>
      <c r="C961">
        <v>178</v>
      </c>
      <c r="D961">
        <v>162</v>
      </c>
      <c r="E961">
        <v>16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region_summary__39[[#This Row],[APPROVED BY Pengawas]]+region_summary__39[[#This Row],[EDITED BY Admin Kabupaten]]</f>
        <v>162</v>
      </c>
    </row>
    <row r="962" spans="1:13" x14ac:dyDescent="0.25">
      <c r="A962" s="4" t="s">
        <v>124</v>
      </c>
      <c r="B962">
        <v>7172031006001700</v>
      </c>
      <c r="C962">
        <v>139</v>
      </c>
      <c r="D962">
        <v>127</v>
      </c>
      <c r="E962">
        <v>3</v>
      </c>
      <c r="F962">
        <v>0</v>
      </c>
      <c r="G962">
        <v>9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region_summary__39[[#This Row],[APPROVED BY Pengawas]]+region_summary__39[[#This Row],[EDITED BY Admin Kabupaten]]</f>
        <v>127</v>
      </c>
    </row>
    <row r="963" spans="1:13" x14ac:dyDescent="0.25">
      <c r="A963" s="4" t="s">
        <v>124</v>
      </c>
      <c r="B963">
        <v>7172031006001500</v>
      </c>
      <c r="C963">
        <v>137</v>
      </c>
      <c r="D963">
        <v>45</v>
      </c>
      <c r="E963">
        <v>7</v>
      </c>
      <c r="F963">
        <v>0</v>
      </c>
      <c r="G963">
        <v>85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region_summary__39[[#This Row],[APPROVED BY Pengawas]]+region_summary__39[[#This Row],[EDITED BY Admin Kabupaten]]</f>
        <v>45</v>
      </c>
    </row>
    <row r="964" spans="1:13" x14ac:dyDescent="0.25">
      <c r="A964" s="4" t="s">
        <v>124</v>
      </c>
      <c r="B964">
        <v>7172031006001600</v>
      </c>
      <c r="C964">
        <v>98</v>
      </c>
      <c r="D964">
        <v>73</v>
      </c>
      <c r="E964">
        <v>9</v>
      </c>
      <c r="F964">
        <v>0</v>
      </c>
      <c r="G964">
        <v>14</v>
      </c>
      <c r="H964">
        <v>0</v>
      </c>
      <c r="I964">
        <v>0</v>
      </c>
      <c r="J964">
        <v>0</v>
      </c>
      <c r="K964">
        <v>2</v>
      </c>
      <c r="L964">
        <v>0</v>
      </c>
      <c r="M964">
        <f>region_summary__39[[#This Row],[APPROVED BY Pengawas]]+region_summary__39[[#This Row],[EDITED BY Admin Kabupaten]]</f>
        <v>73</v>
      </c>
    </row>
    <row r="965" spans="1:13" x14ac:dyDescent="0.25">
      <c r="A965" s="4" t="s">
        <v>124</v>
      </c>
      <c r="B965">
        <v>7172031006001800</v>
      </c>
      <c r="C965">
        <v>91</v>
      </c>
      <c r="D965">
        <v>0</v>
      </c>
      <c r="E965">
        <v>0</v>
      </c>
      <c r="F965">
        <v>0</v>
      </c>
      <c r="G965">
        <v>91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region_summary__39[[#This Row],[APPROVED BY Pengawas]]+region_summary__39[[#This Row],[EDITED BY Admin Kabupaten]]</f>
        <v>0</v>
      </c>
    </row>
    <row r="966" spans="1:13" x14ac:dyDescent="0.25">
      <c r="A966" s="4" t="s">
        <v>127</v>
      </c>
      <c r="B966">
        <v>7172031007001600</v>
      </c>
      <c r="C966">
        <v>137</v>
      </c>
      <c r="D966">
        <v>84</v>
      </c>
      <c r="E966">
        <v>4</v>
      </c>
      <c r="F966">
        <v>0</v>
      </c>
      <c r="G966">
        <v>49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region_summary__39[[#This Row],[APPROVED BY Pengawas]]+region_summary__39[[#This Row],[EDITED BY Admin Kabupaten]]</f>
        <v>84</v>
      </c>
    </row>
    <row r="967" spans="1:13" x14ac:dyDescent="0.25">
      <c r="A967" s="4" t="s">
        <v>127</v>
      </c>
      <c r="B967">
        <v>7172031007001800</v>
      </c>
      <c r="C967">
        <v>117</v>
      </c>
      <c r="D967">
        <v>17</v>
      </c>
      <c r="E967">
        <v>0</v>
      </c>
      <c r="F967">
        <v>0</v>
      </c>
      <c r="G967">
        <v>100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region_summary__39[[#This Row],[APPROVED BY Pengawas]]+region_summary__39[[#This Row],[EDITED BY Admin Kabupaten]]</f>
        <v>17</v>
      </c>
    </row>
    <row r="968" spans="1:13" x14ac:dyDescent="0.25">
      <c r="A968" s="4" t="s">
        <v>127</v>
      </c>
      <c r="B968">
        <v>7172031007001200</v>
      </c>
      <c r="C968">
        <v>106</v>
      </c>
      <c r="D968">
        <v>89</v>
      </c>
      <c r="E968">
        <v>3</v>
      </c>
      <c r="F968">
        <v>0</v>
      </c>
      <c r="G968">
        <v>9</v>
      </c>
      <c r="H968">
        <v>0</v>
      </c>
      <c r="I968">
        <v>4</v>
      </c>
      <c r="J968">
        <v>1</v>
      </c>
      <c r="K968">
        <v>0</v>
      </c>
      <c r="L968">
        <v>0</v>
      </c>
      <c r="M968">
        <f>region_summary__39[[#This Row],[APPROVED BY Pengawas]]+region_summary__39[[#This Row],[EDITED BY Admin Kabupaten]]</f>
        <v>89</v>
      </c>
    </row>
    <row r="969" spans="1:13" x14ac:dyDescent="0.25">
      <c r="A969" s="4" t="s">
        <v>127</v>
      </c>
      <c r="B969">
        <v>7172031007001000</v>
      </c>
      <c r="C969">
        <v>102</v>
      </c>
      <c r="D969">
        <v>96</v>
      </c>
      <c r="E969">
        <v>1</v>
      </c>
      <c r="F969">
        <v>0</v>
      </c>
      <c r="G969">
        <v>4</v>
      </c>
      <c r="H969">
        <v>0</v>
      </c>
      <c r="I969">
        <v>0</v>
      </c>
      <c r="J969">
        <v>1</v>
      </c>
      <c r="K969">
        <v>0</v>
      </c>
      <c r="L969">
        <v>0</v>
      </c>
      <c r="M969">
        <f>region_summary__39[[#This Row],[APPROVED BY Pengawas]]+region_summary__39[[#This Row],[EDITED BY Admin Kabupaten]]</f>
        <v>96</v>
      </c>
    </row>
    <row r="970" spans="1:13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region_summary__39[[#This Row],[APPROVED BY Pengawas]]+region_summary__39[[#This Row],[EDITED BY Admin Kabupaten]]</f>
        <v>0</v>
      </c>
    </row>
    <row r="971" spans="1:13" x14ac:dyDescent="0.25">
      <c r="A971" s="4" t="s">
        <v>127</v>
      </c>
      <c r="B971">
        <v>7172031007001700</v>
      </c>
      <c r="C971">
        <v>73</v>
      </c>
      <c r="D971">
        <v>0</v>
      </c>
      <c r="E971">
        <v>2</v>
      </c>
      <c r="F971">
        <v>0</v>
      </c>
      <c r="G971">
        <v>71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region_summary__39[[#This Row],[APPROVED BY Pengawas]]+region_summary__39[[#This Row],[EDITED BY Admin Kabupaten]]</f>
        <v>0</v>
      </c>
    </row>
    <row r="972" spans="1:13" x14ac:dyDescent="0.25">
      <c r="A972" s="4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0</v>
      </c>
      <c r="H972">
        <v>0</v>
      </c>
      <c r="I972">
        <v>1</v>
      </c>
      <c r="J972">
        <v>0</v>
      </c>
      <c r="K972">
        <v>0</v>
      </c>
      <c r="L972">
        <v>0</v>
      </c>
      <c r="M972">
        <f>region_summary__39[[#This Row],[APPROVED BY Pengawas]]+region_summary__39[[#This Row],[EDITED BY Admin Kabupaten]]</f>
        <v>92</v>
      </c>
    </row>
    <row r="973" spans="1:13" x14ac:dyDescent="0.25">
      <c r="A973" s="4" t="s">
        <v>129</v>
      </c>
      <c r="B973">
        <v>7172031008000900</v>
      </c>
      <c r="C973">
        <v>90</v>
      </c>
      <c r="D973">
        <v>22</v>
      </c>
      <c r="E973">
        <v>15</v>
      </c>
      <c r="F973">
        <v>0</v>
      </c>
      <c r="G973">
        <v>53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region_summary__39[[#This Row],[APPROVED BY Pengawas]]+region_summary__39[[#This Row],[EDITED BY Admin Kabupaten]]</f>
        <v>22</v>
      </c>
    </row>
    <row r="974" spans="1:13" x14ac:dyDescent="0.25">
      <c r="A974" s="4" t="s">
        <v>129</v>
      </c>
      <c r="B974">
        <v>7172031008001000</v>
      </c>
      <c r="C974">
        <v>86</v>
      </c>
      <c r="D974">
        <v>0</v>
      </c>
      <c r="E974">
        <v>0</v>
      </c>
      <c r="F974">
        <v>0</v>
      </c>
      <c r="G974">
        <v>86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region_summary__39[[#This Row],[APPROVED BY Pengawas]]+region_summary__39[[#This Row],[EDITED BY Admin Kabupaten]]</f>
        <v>0</v>
      </c>
    </row>
    <row r="975" spans="1:13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region_summary__39[[#This Row],[APPROVED BY Pengawas]]+region_summary__39[[#This Row],[EDITED BY Admin Kabupaten]]</f>
        <v>0</v>
      </c>
    </row>
    <row r="976" spans="1:13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region_summary__39[[#This Row],[APPROVED BY Pengawas]]+region_summary__39[[#This Row],[EDITED BY Admin Kabupaten]]</f>
        <v>0</v>
      </c>
    </row>
    <row r="977" spans="1:13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region_summary__39[[#This Row],[APPROVED BY Pengawas]]+region_summary__39[[#This Row],[EDITED BY Admin Kabupaten]]</f>
        <v>0</v>
      </c>
    </row>
    <row r="978" spans="1:13" x14ac:dyDescent="0.25">
      <c r="A978" s="4" t="s">
        <v>129</v>
      </c>
      <c r="B978">
        <v>7172031008000500</v>
      </c>
      <c r="C978">
        <v>50</v>
      </c>
      <c r="D978">
        <v>47</v>
      </c>
      <c r="E978">
        <v>1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</v>
      </c>
      <c r="L978">
        <v>0</v>
      </c>
      <c r="M978">
        <f>region_summary__39[[#This Row],[APPROVED BY Pengawas]]+region_summary__39[[#This Row],[EDITED BY Admin Kabupaten]]</f>
        <v>47</v>
      </c>
    </row>
    <row r="979" spans="1:13" x14ac:dyDescent="0.25">
      <c r="A979" s="4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0</v>
      </c>
      <c r="H979">
        <v>0</v>
      </c>
      <c r="I979">
        <v>5</v>
      </c>
      <c r="J979">
        <v>0</v>
      </c>
      <c r="K979">
        <v>0</v>
      </c>
      <c r="L979">
        <v>0</v>
      </c>
      <c r="M979">
        <f>region_summary__39[[#This Row],[APPROVED BY Pengawas]]+region_summary__39[[#This Row],[EDITED BY Admin Kabupaten]]</f>
        <v>39</v>
      </c>
    </row>
    <row r="980" spans="1:13" x14ac:dyDescent="0.25">
      <c r="A980" s="4" t="s">
        <v>129</v>
      </c>
      <c r="B980">
        <v>7172031008000700</v>
      </c>
      <c r="C980">
        <v>26</v>
      </c>
      <c r="D980">
        <v>24</v>
      </c>
      <c r="E980">
        <v>0</v>
      </c>
      <c r="F980">
        <v>1</v>
      </c>
      <c r="G980">
        <v>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f>region_summary__39[[#This Row],[APPROVED BY Pengawas]]+region_summary__39[[#This Row],[EDITED BY Admin Kabupaten]]</f>
        <v>25</v>
      </c>
    </row>
    <row r="981" spans="1:13" x14ac:dyDescent="0.25">
      <c r="A981" s="4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0</v>
      </c>
      <c r="L981">
        <v>0</v>
      </c>
      <c r="M981">
        <f>region_summary__39[[#This Row],[APPROVED BY Pengawas]]+region_summary__39[[#This Row],[EDITED BY Admin Kabupaten]]</f>
        <v>19</v>
      </c>
    </row>
    <row r="982" spans="1:13" x14ac:dyDescent="0.25">
      <c r="A982" s="4" t="s">
        <v>130</v>
      </c>
      <c r="B982">
        <v>7172040009000500</v>
      </c>
      <c r="C982">
        <v>96</v>
      </c>
      <c r="D982">
        <v>39</v>
      </c>
      <c r="E982">
        <v>18</v>
      </c>
      <c r="F982">
        <v>0</v>
      </c>
      <c r="G982">
        <v>36</v>
      </c>
      <c r="H982">
        <v>0</v>
      </c>
      <c r="I982">
        <v>0</v>
      </c>
      <c r="J982">
        <v>0</v>
      </c>
      <c r="K982">
        <v>3</v>
      </c>
      <c r="L982">
        <v>0</v>
      </c>
      <c r="M982">
        <f>region_summary__39[[#This Row],[APPROVED BY Pengawas]]+region_summary__39[[#This Row],[EDITED BY Admin Kabupaten]]</f>
        <v>39</v>
      </c>
    </row>
    <row r="983" spans="1:13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85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region_summary__39[[#This Row],[APPROVED BY Pengawas]]+region_summary__39[[#This Row],[EDITED BY Admin Kabupaten]]</f>
        <v>0</v>
      </c>
    </row>
    <row r="984" spans="1:13" x14ac:dyDescent="0.25">
      <c r="A984" s="4" t="s">
        <v>130</v>
      </c>
      <c r="B984">
        <v>7172040009000600</v>
      </c>
      <c r="C984">
        <v>84</v>
      </c>
      <c r="D984">
        <v>71</v>
      </c>
      <c r="E984">
        <v>5</v>
      </c>
      <c r="F984">
        <v>0</v>
      </c>
      <c r="G984">
        <v>6</v>
      </c>
      <c r="H984">
        <v>0</v>
      </c>
      <c r="I984">
        <v>1</v>
      </c>
      <c r="J984">
        <v>0</v>
      </c>
      <c r="K984">
        <v>1</v>
      </c>
      <c r="L984">
        <v>0</v>
      </c>
      <c r="M984">
        <f>region_summary__39[[#This Row],[APPROVED BY Pengawas]]+region_summary__39[[#This Row],[EDITED BY Admin Kabupaten]]</f>
        <v>71</v>
      </c>
    </row>
    <row r="985" spans="1:13" x14ac:dyDescent="0.25">
      <c r="A985" s="4" t="s">
        <v>130</v>
      </c>
      <c r="B985">
        <v>7172040001000200</v>
      </c>
      <c r="C985">
        <v>72</v>
      </c>
      <c r="D985">
        <v>4</v>
      </c>
      <c r="E985">
        <v>1</v>
      </c>
      <c r="F985">
        <v>0</v>
      </c>
      <c r="G985">
        <v>67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region_summary__39[[#This Row],[APPROVED BY Pengawas]]+region_summary__39[[#This Row],[EDITED BY Admin Kabupaten]]</f>
        <v>4</v>
      </c>
    </row>
    <row r="986" spans="1:13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region_summary__39[[#This Row],[APPROVED BY Pengawas]]+region_summary__39[[#This Row],[EDITED BY Admin Kabupaten]]</f>
        <v>0</v>
      </c>
    </row>
    <row r="987" spans="1:13" x14ac:dyDescent="0.25">
      <c r="A987" s="4" t="s">
        <v>130</v>
      </c>
      <c r="B987">
        <v>7172040009000300</v>
      </c>
      <c r="C987">
        <v>63</v>
      </c>
      <c r="D987">
        <v>0</v>
      </c>
      <c r="E987">
        <v>3</v>
      </c>
      <c r="F987">
        <v>0</v>
      </c>
      <c r="G987">
        <v>60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region_summary__39[[#This Row],[APPROVED BY Pengawas]]+region_summary__39[[#This Row],[EDITED BY Admin Kabupaten]]</f>
        <v>0</v>
      </c>
    </row>
    <row r="988" spans="1:13" x14ac:dyDescent="0.25">
      <c r="A988" s="4" t="s">
        <v>130</v>
      </c>
      <c r="B988">
        <v>7172040001000100</v>
      </c>
      <c r="C988">
        <v>59</v>
      </c>
      <c r="D988">
        <v>2</v>
      </c>
      <c r="E988">
        <v>0</v>
      </c>
      <c r="F988">
        <v>0</v>
      </c>
      <c r="G988">
        <v>57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region_summary__39[[#This Row],[APPROVED BY Pengawas]]+region_summary__39[[#This Row],[EDITED BY Admin Kabupaten]]</f>
        <v>2</v>
      </c>
    </row>
    <row r="989" spans="1:13" x14ac:dyDescent="0.25">
      <c r="A989" s="4" t="s">
        <v>130</v>
      </c>
      <c r="B989">
        <v>7172040009000400</v>
      </c>
      <c r="C989">
        <v>56</v>
      </c>
      <c r="D989">
        <v>1</v>
      </c>
      <c r="E989">
        <v>1</v>
      </c>
      <c r="F989">
        <v>0</v>
      </c>
      <c r="G989">
        <v>54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region_summary__39[[#This Row],[APPROVED BY Pengawas]]+region_summary__39[[#This Row],[EDITED BY Admin Kabupaten]]</f>
        <v>1</v>
      </c>
    </row>
    <row r="990" spans="1:13" x14ac:dyDescent="0.25">
      <c r="A990" s="4" t="s">
        <v>130</v>
      </c>
      <c r="B990">
        <v>7172040001000300</v>
      </c>
      <c r="C990">
        <v>38</v>
      </c>
      <c r="D990">
        <v>2</v>
      </c>
      <c r="E990">
        <v>0</v>
      </c>
      <c r="F990">
        <v>0</v>
      </c>
      <c r="G990">
        <v>36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region_summary__39[[#This Row],[APPROVED BY Pengawas]]+region_summary__39[[#This Row],[EDITED BY Admin Kabupaten]]</f>
        <v>2</v>
      </c>
    </row>
    <row r="991" spans="1:13" x14ac:dyDescent="0.25">
      <c r="A991" s="4" t="s">
        <v>132</v>
      </c>
      <c r="B991">
        <v>7172040003000601</v>
      </c>
      <c r="C991">
        <v>198</v>
      </c>
      <c r="D991">
        <v>179</v>
      </c>
      <c r="E991">
        <v>17</v>
      </c>
      <c r="F991">
        <v>0</v>
      </c>
      <c r="G991">
        <v>1</v>
      </c>
      <c r="H991">
        <v>0</v>
      </c>
      <c r="I991">
        <v>0</v>
      </c>
      <c r="J991">
        <v>0</v>
      </c>
      <c r="K991">
        <v>1</v>
      </c>
      <c r="L991">
        <v>0</v>
      </c>
      <c r="M991">
        <f>region_summary__39[[#This Row],[APPROVED BY Pengawas]]+region_summary__39[[#This Row],[EDITED BY Admin Kabupaten]]</f>
        <v>179</v>
      </c>
    </row>
    <row r="992" spans="1:13" x14ac:dyDescent="0.25">
      <c r="A992" s="4" t="s">
        <v>132</v>
      </c>
      <c r="B992">
        <v>7172040003000500</v>
      </c>
      <c r="C992">
        <v>165</v>
      </c>
      <c r="D992">
        <v>6</v>
      </c>
      <c r="E992">
        <v>3</v>
      </c>
      <c r="F992">
        <v>0</v>
      </c>
      <c r="G992">
        <v>156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region_summary__39[[#This Row],[APPROVED BY Pengawas]]+region_summary__39[[#This Row],[EDITED BY Admin Kabupaten]]</f>
        <v>6</v>
      </c>
    </row>
    <row r="993" spans="1:13" x14ac:dyDescent="0.25">
      <c r="A993" s="4" t="s">
        <v>132</v>
      </c>
      <c r="B993">
        <v>7172040005001900</v>
      </c>
      <c r="C993">
        <v>98</v>
      </c>
      <c r="D993">
        <v>28</v>
      </c>
      <c r="E993">
        <v>1</v>
      </c>
      <c r="F993">
        <v>0</v>
      </c>
      <c r="G993">
        <v>69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region_summary__39[[#This Row],[APPROVED BY Pengawas]]+region_summary__39[[#This Row],[EDITED BY Admin Kabupaten]]</f>
        <v>28</v>
      </c>
    </row>
    <row r="994" spans="1:13" x14ac:dyDescent="0.25">
      <c r="A994" s="4" t="s">
        <v>132</v>
      </c>
      <c r="B994">
        <v>7172040003000101</v>
      </c>
      <c r="C994">
        <v>96</v>
      </c>
      <c r="D994">
        <v>0</v>
      </c>
      <c r="E994">
        <v>0</v>
      </c>
      <c r="F994">
        <v>0</v>
      </c>
      <c r="G994">
        <v>96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region_summary__39[[#This Row],[APPROVED BY Pengawas]]+region_summary__39[[#This Row],[EDITED BY Admin Kabupaten]]</f>
        <v>0</v>
      </c>
    </row>
    <row r="995" spans="1:13" x14ac:dyDescent="0.25">
      <c r="A995" s="4" t="s">
        <v>132</v>
      </c>
      <c r="B995">
        <v>7172040005002002</v>
      </c>
      <c r="C995">
        <v>70</v>
      </c>
      <c r="D995">
        <v>38</v>
      </c>
      <c r="E995">
        <v>11</v>
      </c>
      <c r="F995">
        <v>0</v>
      </c>
      <c r="G995">
        <v>21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region_summary__39[[#This Row],[APPROVED BY Pengawas]]+region_summary__39[[#This Row],[EDITED BY Admin Kabupaten]]</f>
        <v>38</v>
      </c>
    </row>
    <row r="996" spans="1:13" x14ac:dyDescent="0.25">
      <c r="A996" s="4" t="s">
        <v>133</v>
      </c>
      <c r="B996">
        <v>7172040003000300</v>
      </c>
      <c r="C996">
        <v>164</v>
      </c>
      <c r="D996">
        <v>66</v>
      </c>
      <c r="E996">
        <v>0</v>
      </c>
      <c r="F996">
        <v>0</v>
      </c>
      <c r="G996">
        <v>96</v>
      </c>
      <c r="H996">
        <v>0</v>
      </c>
      <c r="I996">
        <v>0</v>
      </c>
      <c r="J996">
        <v>2</v>
      </c>
      <c r="K996">
        <v>0</v>
      </c>
      <c r="L996">
        <v>0</v>
      </c>
      <c r="M996">
        <f>region_summary__39[[#This Row],[APPROVED BY Pengawas]]+region_summary__39[[#This Row],[EDITED BY Admin Kabupaten]]</f>
        <v>66</v>
      </c>
    </row>
    <row r="997" spans="1:13" x14ac:dyDescent="0.25">
      <c r="A997" s="4" t="s">
        <v>133</v>
      </c>
      <c r="B997">
        <v>7172040003000102</v>
      </c>
      <c r="C997">
        <v>139</v>
      </c>
      <c r="D997">
        <v>56</v>
      </c>
      <c r="E997">
        <v>0</v>
      </c>
      <c r="F997">
        <v>0</v>
      </c>
      <c r="G997">
        <v>83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region_summary__39[[#This Row],[APPROVED BY Pengawas]]+region_summary__39[[#This Row],[EDITED BY Admin Kabupaten]]</f>
        <v>56</v>
      </c>
    </row>
    <row r="998" spans="1:13" x14ac:dyDescent="0.25">
      <c r="A998" s="4" t="s">
        <v>133</v>
      </c>
      <c r="B998">
        <v>7172040003000602</v>
      </c>
      <c r="C998">
        <v>99</v>
      </c>
      <c r="D998">
        <v>96</v>
      </c>
      <c r="E998">
        <v>1</v>
      </c>
      <c r="F998">
        <v>0</v>
      </c>
      <c r="G998">
        <v>1</v>
      </c>
      <c r="H998">
        <v>0</v>
      </c>
      <c r="I998">
        <v>0</v>
      </c>
      <c r="J998">
        <v>0</v>
      </c>
      <c r="K998">
        <v>0</v>
      </c>
      <c r="L998">
        <v>1</v>
      </c>
      <c r="M998">
        <f>region_summary__39[[#This Row],[APPROVED BY Pengawas]]+region_summary__39[[#This Row],[EDITED BY Admin Kabupaten]]</f>
        <v>96</v>
      </c>
    </row>
    <row r="999" spans="1:13" x14ac:dyDescent="0.25">
      <c r="A999" s="4" t="s">
        <v>133</v>
      </c>
      <c r="B999">
        <v>7172040003000700</v>
      </c>
      <c r="C999">
        <v>79</v>
      </c>
      <c r="D999">
        <v>28</v>
      </c>
      <c r="E999">
        <v>0</v>
      </c>
      <c r="F999">
        <v>0</v>
      </c>
      <c r="G999">
        <v>51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region_summary__39[[#This Row],[APPROVED BY Pengawas]]+region_summary__39[[#This Row],[EDITED BY Admin Kabupaten]]</f>
        <v>28</v>
      </c>
    </row>
    <row r="1000" spans="1:13" x14ac:dyDescent="0.25">
      <c r="A1000" s="4" t="s">
        <v>133</v>
      </c>
      <c r="B1000">
        <v>7172040003000400</v>
      </c>
      <c r="C1000">
        <v>76</v>
      </c>
      <c r="D1000">
        <v>13</v>
      </c>
      <c r="E1000">
        <v>0</v>
      </c>
      <c r="F1000">
        <v>0</v>
      </c>
      <c r="G1000">
        <v>63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region_summary__39[[#This Row],[APPROVED BY Pengawas]]+region_summary__39[[#This Row],[EDITED BY Admin Kabupaten]]</f>
        <v>13</v>
      </c>
    </row>
    <row r="1001" spans="1:13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region_summary__39[[#This Row],[APPROVED BY Pengawas]]+region_summary__39[[#This Row],[EDITED BY Admin Kabupaten]]</f>
        <v>0</v>
      </c>
    </row>
    <row r="1002" spans="1:13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region_summary__39[[#This Row],[APPROVED BY Pengawas]]+region_summary__39[[#This Row],[EDITED BY Admin Kabupaten]]</f>
        <v>0</v>
      </c>
    </row>
    <row r="1003" spans="1:13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region_summary__39[[#This Row],[APPROVED BY Pengawas]]+region_summary__39[[#This Row],[EDITED BY Admin Kabupaten]]</f>
        <v>0</v>
      </c>
    </row>
    <row r="1004" spans="1:13" x14ac:dyDescent="0.25">
      <c r="A1004" s="4" t="s">
        <v>136</v>
      </c>
      <c r="B1004">
        <v>7172040004000500</v>
      </c>
      <c r="C1004">
        <v>90</v>
      </c>
      <c r="D1004">
        <v>34</v>
      </c>
      <c r="E1004">
        <v>0</v>
      </c>
      <c r="F1004">
        <v>0</v>
      </c>
      <c r="G1004">
        <v>56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region_summary__39[[#This Row],[APPROVED BY Pengawas]]+region_summary__39[[#This Row],[EDITED BY Admin Kabupaten]]</f>
        <v>34</v>
      </c>
    </row>
    <row r="1005" spans="1:13" x14ac:dyDescent="0.25">
      <c r="A1005" s="4" t="s">
        <v>136</v>
      </c>
      <c r="B1005">
        <v>7172040004000200</v>
      </c>
      <c r="C1005">
        <v>64</v>
      </c>
      <c r="D1005">
        <v>9</v>
      </c>
      <c r="E1005">
        <v>0</v>
      </c>
      <c r="F1005">
        <v>0</v>
      </c>
      <c r="G1005">
        <v>55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region_summary__39[[#This Row],[APPROVED BY Pengawas]]+region_summary__39[[#This Row],[EDITED BY Admin Kabupaten]]</f>
        <v>9</v>
      </c>
    </row>
    <row r="1006" spans="1:13" x14ac:dyDescent="0.25">
      <c r="A1006" s="4" t="s">
        <v>136</v>
      </c>
      <c r="B1006">
        <v>7172040008000200</v>
      </c>
      <c r="C1006">
        <v>58</v>
      </c>
      <c r="D1006">
        <v>55</v>
      </c>
      <c r="E1006">
        <v>1</v>
      </c>
      <c r="F1006">
        <v>0</v>
      </c>
      <c r="G1006">
        <v>2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region_summary__39[[#This Row],[APPROVED BY Pengawas]]+region_summary__39[[#This Row],[EDITED BY Admin Kabupaten]]</f>
        <v>55</v>
      </c>
    </row>
    <row r="1007" spans="1:13" x14ac:dyDescent="0.25">
      <c r="A1007" s="4" t="s">
        <v>136</v>
      </c>
      <c r="B1007">
        <v>7172040004000100</v>
      </c>
      <c r="C1007">
        <v>54</v>
      </c>
      <c r="D1007">
        <v>11</v>
      </c>
      <c r="E1007">
        <v>0</v>
      </c>
      <c r="F1007">
        <v>0</v>
      </c>
      <c r="G1007">
        <v>43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region_summary__39[[#This Row],[APPROVED BY Pengawas]]+region_summary__39[[#This Row],[EDITED BY Admin Kabupaten]]</f>
        <v>11</v>
      </c>
    </row>
    <row r="1008" spans="1:13" x14ac:dyDescent="0.25">
      <c r="A1008" s="4" t="s">
        <v>136</v>
      </c>
      <c r="B1008">
        <v>7172040008000300</v>
      </c>
      <c r="C1008">
        <v>52</v>
      </c>
      <c r="D1008">
        <v>49</v>
      </c>
      <c r="E1008">
        <v>2</v>
      </c>
      <c r="F1008">
        <v>0</v>
      </c>
      <c r="G1008">
        <v>1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region_summary__39[[#This Row],[APPROVED BY Pengawas]]+region_summary__39[[#This Row],[EDITED BY Admin Kabupaten]]</f>
        <v>49</v>
      </c>
    </row>
    <row r="1009" spans="1:13" x14ac:dyDescent="0.25">
      <c r="A1009" s="4" t="s">
        <v>136</v>
      </c>
      <c r="B1009">
        <v>7172040004000300</v>
      </c>
      <c r="C1009">
        <v>47</v>
      </c>
      <c r="D1009">
        <v>9</v>
      </c>
      <c r="E1009">
        <v>0</v>
      </c>
      <c r="F1009">
        <v>0</v>
      </c>
      <c r="G1009">
        <v>38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region_summary__39[[#This Row],[APPROVED BY Pengawas]]+region_summary__39[[#This Row],[EDITED BY Admin Kabupaten]]</f>
        <v>9</v>
      </c>
    </row>
    <row r="1010" spans="1:13" x14ac:dyDescent="0.25">
      <c r="A1010" s="4" t="s">
        <v>136</v>
      </c>
      <c r="B1010">
        <v>7172040004000400</v>
      </c>
      <c r="C1010">
        <v>42</v>
      </c>
      <c r="D1010">
        <v>12</v>
      </c>
      <c r="E1010">
        <v>4</v>
      </c>
      <c r="F1010">
        <v>0</v>
      </c>
      <c r="G1010">
        <v>26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region_summary__39[[#This Row],[APPROVED BY Pengawas]]+region_summary__39[[#This Row],[EDITED BY Admin Kabupaten]]</f>
        <v>12</v>
      </c>
    </row>
    <row r="1011" spans="1:13" x14ac:dyDescent="0.25">
      <c r="A1011" s="4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region_summary__39[[#This Row],[APPROVED BY Pengawas]]+region_summary__39[[#This Row],[EDITED BY Admin Kabupaten]]</f>
        <v>42</v>
      </c>
    </row>
    <row r="1012" spans="1:13" x14ac:dyDescent="0.25">
      <c r="A1012" s="4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region_summary__39[[#This Row],[APPROVED BY Pengawas]]+region_summary__39[[#This Row],[EDITED BY Admin Kabupaten]]</f>
        <v>39</v>
      </c>
    </row>
    <row r="1013" spans="1:13" x14ac:dyDescent="0.25">
      <c r="A1013" s="4" t="s">
        <v>139</v>
      </c>
      <c r="B1013">
        <v>7172040006000100</v>
      </c>
      <c r="C1013">
        <v>91</v>
      </c>
      <c r="D1013">
        <v>83</v>
      </c>
      <c r="E1013">
        <v>6</v>
      </c>
      <c r="F1013">
        <v>1</v>
      </c>
      <c r="G1013">
        <v>1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region_summary__39[[#This Row],[APPROVED BY Pengawas]]+region_summary__39[[#This Row],[EDITED BY Admin Kabupaten]]</f>
        <v>84</v>
      </c>
    </row>
    <row r="1014" spans="1:13" x14ac:dyDescent="0.25">
      <c r="A1014" s="4" t="s">
        <v>139</v>
      </c>
      <c r="B1014">
        <v>7172040006000500</v>
      </c>
      <c r="C1014">
        <v>83</v>
      </c>
      <c r="D1014">
        <v>2</v>
      </c>
      <c r="E1014">
        <v>0</v>
      </c>
      <c r="F1014">
        <v>0</v>
      </c>
      <c r="G1014">
        <v>81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region_summary__39[[#This Row],[APPROVED BY Pengawas]]+region_summary__39[[#This Row],[EDITED BY Admin Kabupaten]]</f>
        <v>2</v>
      </c>
    </row>
    <row r="1015" spans="1:13" x14ac:dyDescent="0.25">
      <c r="A1015" s="4" t="s">
        <v>139</v>
      </c>
      <c r="B1015">
        <v>7172040006000200</v>
      </c>
      <c r="C1015">
        <v>80</v>
      </c>
      <c r="D1015">
        <v>57</v>
      </c>
      <c r="E1015">
        <v>3</v>
      </c>
      <c r="F1015">
        <v>0</v>
      </c>
      <c r="G1015">
        <v>18</v>
      </c>
      <c r="H1015">
        <v>0</v>
      </c>
      <c r="I1015">
        <v>0</v>
      </c>
      <c r="J1015">
        <v>0</v>
      </c>
      <c r="K1015">
        <v>2</v>
      </c>
      <c r="L1015">
        <v>0</v>
      </c>
      <c r="M1015">
        <f>region_summary__39[[#This Row],[APPROVED BY Pengawas]]+region_summary__39[[#This Row],[EDITED BY Admin Kabupaten]]</f>
        <v>57</v>
      </c>
    </row>
    <row r="1016" spans="1:13" x14ac:dyDescent="0.25">
      <c r="A1016" s="4" t="s">
        <v>139</v>
      </c>
      <c r="B1016">
        <v>7172040006000600</v>
      </c>
      <c r="C1016">
        <v>70</v>
      </c>
      <c r="D1016">
        <v>14</v>
      </c>
      <c r="E1016">
        <v>19</v>
      </c>
      <c r="F1016">
        <v>0</v>
      </c>
      <c r="G1016">
        <v>32</v>
      </c>
      <c r="H1016">
        <v>0</v>
      </c>
      <c r="I1016">
        <v>0</v>
      </c>
      <c r="J1016">
        <v>0</v>
      </c>
      <c r="K1016">
        <v>5</v>
      </c>
      <c r="L1016">
        <v>0</v>
      </c>
      <c r="M1016">
        <f>region_summary__39[[#This Row],[APPROVED BY Pengawas]]+region_summary__39[[#This Row],[EDITED BY Admin Kabupaten]]</f>
        <v>14</v>
      </c>
    </row>
    <row r="1017" spans="1:13" x14ac:dyDescent="0.25">
      <c r="A1017" s="4" t="s">
        <v>139</v>
      </c>
      <c r="B1017">
        <v>7172040006000300</v>
      </c>
      <c r="C1017">
        <v>57</v>
      </c>
      <c r="D1017">
        <v>4</v>
      </c>
      <c r="E1017">
        <v>0</v>
      </c>
      <c r="F1017">
        <v>0</v>
      </c>
      <c r="G1017">
        <v>53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region_summary__39[[#This Row],[APPROVED BY Pengawas]]+region_summary__39[[#This Row],[EDITED BY Admin Kabupaten]]</f>
        <v>4</v>
      </c>
    </row>
    <row r="1018" spans="1:13" x14ac:dyDescent="0.25">
      <c r="A1018" s="4" t="s">
        <v>139</v>
      </c>
      <c r="B1018">
        <v>7172040006000400</v>
      </c>
      <c r="C1018">
        <v>56</v>
      </c>
      <c r="D1018">
        <v>3</v>
      </c>
      <c r="E1018">
        <v>0</v>
      </c>
      <c r="F1018">
        <v>0</v>
      </c>
      <c r="G1018">
        <v>53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region_summary__39[[#This Row],[APPROVED BY Pengawas]]+region_summary__39[[#This Row],[EDITED BY Admin Kabupaten]]</f>
        <v>3</v>
      </c>
    </row>
    <row r="1019" spans="1:13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region_summary__39[[#This Row],[APPROVED BY Pengawas]]+region_summary__39[[#This Row],[EDITED BY Admin Kabupaten]]</f>
        <v>0</v>
      </c>
    </row>
    <row r="1020" spans="1:13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region_summary__39[[#This Row],[APPROVED BY Pengawas]]+region_summary__39[[#This Row],[EDITED BY Admin Kabupaten]]</f>
        <v>0</v>
      </c>
    </row>
    <row r="1021" spans="1:13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region_summary__39[[#This Row],[APPROVED BY Pengawas]]+region_summary__39[[#This Row],[EDITED BY Admin Kabupaten]]</f>
        <v>0</v>
      </c>
    </row>
    <row r="1022" spans="1:13" x14ac:dyDescent="0.25">
      <c r="A1022" s="4" t="s">
        <v>140</v>
      </c>
      <c r="B1022">
        <v>7172040012000300</v>
      </c>
      <c r="C1022">
        <v>102</v>
      </c>
      <c r="D1022">
        <v>85</v>
      </c>
      <c r="E1022">
        <v>11</v>
      </c>
      <c r="F1022">
        <v>0</v>
      </c>
      <c r="G1022">
        <v>3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region_summary__39[[#This Row],[APPROVED BY Pengawas]]+region_summary__39[[#This Row],[EDITED BY Admin Kabupaten]]</f>
        <v>85</v>
      </c>
    </row>
    <row r="1023" spans="1:13" x14ac:dyDescent="0.25">
      <c r="A1023" s="4" t="s">
        <v>140</v>
      </c>
      <c r="B1023">
        <v>7172040012000200</v>
      </c>
      <c r="C1023">
        <v>99</v>
      </c>
      <c r="D1023">
        <v>97</v>
      </c>
      <c r="E1023">
        <v>1</v>
      </c>
      <c r="F1023">
        <v>0</v>
      </c>
      <c r="G1023">
        <v>1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region_summary__39[[#This Row],[APPROVED BY Pengawas]]+region_summary__39[[#This Row],[EDITED BY Admin Kabupaten]]</f>
        <v>97</v>
      </c>
    </row>
    <row r="1024" spans="1:13" x14ac:dyDescent="0.25">
      <c r="A1024" s="4" t="s">
        <v>140</v>
      </c>
      <c r="B1024">
        <v>7172040012000400</v>
      </c>
      <c r="C1024">
        <v>84</v>
      </c>
      <c r="D1024">
        <v>73</v>
      </c>
      <c r="E1024">
        <v>0</v>
      </c>
      <c r="F1024">
        <v>0</v>
      </c>
      <c r="G1024">
        <v>9</v>
      </c>
      <c r="H1024">
        <v>0</v>
      </c>
      <c r="I1024">
        <v>0</v>
      </c>
      <c r="J1024">
        <v>0</v>
      </c>
      <c r="K1024">
        <v>2</v>
      </c>
      <c r="L1024">
        <v>0</v>
      </c>
      <c r="M1024">
        <f>region_summary__39[[#This Row],[APPROVED BY Pengawas]]+region_summary__39[[#This Row],[EDITED BY Admin Kabupaten]]</f>
        <v>73</v>
      </c>
    </row>
    <row r="1025" spans="1:13" x14ac:dyDescent="0.25">
      <c r="A1025" s="4" t="s">
        <v>140</v>
      </c>
      <c r="B1025">
        <v>7172040012000100</v>
      </c>
      <c r="C1025">
        <v>65</v>
      </c>
      <c r="D1025">
        <v>9</v>
      </c>
      <c r="E1025">
        <v>0</v>
      </c>
      <c r="F1025">
        <v>0</v>
      </c>
      <c r="G1025">
        <v>56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region_summary__39[[#This Row],[APPROVED BY Pengawas]]+region_summary__39[[#This Row],[EDITED BY Admin Kabupaten]]</f>
        <v>9</v>
      </c>
    </row>
    <row r="1026" spans="1:13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region_summary__39[[#This Row],[APPROVED BY Pengawas]]+region_summary__39[[#This Row],[EDITED BY Admin Kabupaten]]</f>
        <v>0</v>
      </c>
    </row>
    <row r="1027" spans="1:13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region_summary__39[[#This Row],[APPROVED BY Pengawas]]+region_summary__39[[#This Row],[EDITED BY Admin Kabupaten]]</f>
        <v>0</v>
      </c>
    </row>
    <row r="1028" spans="1:13" x14ac:dyDescent="0.25">
      <c r="A1028" s="4" t="s">
        <v>140</v>
      </c>
      <c r="B1028">
        <v>7172040012000500</v>
      </c>
      <c r="C1028">
        <v>46</v>
      </c>
      <c r="D1028">
        <v>41</v>
      </c>
      <c r="E1028">
        <v>1</v>
      </c>
      <c r="F1028">
        <v>0</v>
      </c>
      <c r="G1028">
        <v>4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region_summary__39[[#This Row],[APPROVED BY Pengawas]]+region_summary__39[[#This Row],[EDITED BY Admin Kabupaten]]</f>
        <v>41</v>
      </c>
    </row>
    <row r="1029" spans="1:13" x14ac:dyDescent="0.25">
      <c r="A1029" s="4" t="s">
        <v>140</v>
      </c>
      <c r="B1029">
        <v>7172040010000800</v>
      </c>
      <c r="C1029">
        <v>40</v>
      </c>
      <c r="D1029">
        <v>0</v>
      </c>
      <c r="E1029">
        <v>0</v>
      </c>
      <c r="F1029">
        <v>0</v>
      </c>
      <c r="G1029">
        <v>40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region_summary__39[[#This Row],[APPROVED BY Pengawas]]+region_summary__39[[#This Row],[EDITED BY Admin Kabupaten]]</f>
        <v>0</v>
      </c>
    </row>
    <row r="1030" spans="1:13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region_summary__39[[#This Row],[APPROVED BY Pengawas]]+region_summary__39[[#This Row],[EDITED BY Admin Kabupaten]]</f>
        <v>0</v>
      </c>
    </row>
    <row r="1031" spans="1:13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region_summary__39[[#This Row],[APPROVED BY Pengawas]]+region_summary__39[[#This Row],[EDITED BY Admin Kabupaten]]</f>
        <v>0</v>
      </c>
    </row>
    <row r="1032" spans="1:13" x14ac:dyDescent="0.25">
      <c r="A1032" s="4" t="s">
        <v>140</v>
      </c>
      <c r="B1032">
        <v>7172040012000600</v>
      </c>
      <c r="C1032">
        <v>28</v>
      </c>
      <c r="D1032">
        <v>6</v>
      </c>
      <c r="E1032">
        <v>0</v>
      </c>
      <c r="F1032">
        <v>0</v>
      </c>
      <c r="G1032">
        <v>22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f>region_summary__39[[#This Row],[APPROVED BY Pengawas]]+region_summary__39[[#This Row],[EDITED BY Admin Kabupaten]]</f>
        <v>6</v>
      </c>
    </row>
    <row r="1033" spans="1:13" x14ac:dyDescent="0.25">
      <c r="A1033" s="4" t="s">
        <v>118</v>
      </c>
      <c r="B1033">
        <v>7172031004001700</v>
      </c>
      <c r="C1033">
        <v>141</v>
      </c>
      <c r="D1033">
        <v>4</v>
      </c>
      <c r="E1033">
        <v>0</v>
      </c>
      <c r="F1033">
        <v>0</v>
      </c>
      <c r="G1033">
        <v>137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region_summary__39[[#This Row],[APPROVED BY Pengawas]]+region_summary__39[[#This Row],[EDITED BY Admin Kabupaten]]</f>
        <v>4</v>
      </c>
    </row>
    <row r="1034" spans="1:13" x14ac:dyDescent="0.25">
      <c r="A1034" s="4" t="s">
        <v>118</v>
      </c>
      <c r="B1034">
        <v>7172031004001400</v>
      </c>
      <c r="C1034">
        <v>129</v>
      </c>
      <c r="D1034">
        <v>64</v>
      </c>
      <c r="E1034">
        <v>4</v>
      </c>
      <c r="F1034">
        <v>6</v>
      </c>
      <c r="G1034">
        <v>55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region_summary__39[[#This Row],[APPROVED BY Pengawas]]+region_summary__39[[#This Row],[EDITED BY Admin Kabupaten]]</f>
        <v>70</v>
      </c>
    </row>
    <row r="1035" spans="1:13" x14ac:dyDescent="0.25">
      <c r="A1035" s="4" t="s">
        <v>118</v>
      </c>
      <c r="B1035">
        <v>7172031004001800</v>
      </c>
      <c r="C1035">
        <v>91</v>
      </c>
      <c r="D1035">
        <v>25</v>
      </c>
      <c r="E1035">
        <v>0</v>
      </c>
      <c r="F1035">
        <v>0</v>
      </c>
      <c r="G1035">
        <v>66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region_summary__39[[#This Row],[APPROVED BY Pengawas]]+region_summary__39[[#This Row],[EDITED BY Admin Kabupaten]]</f>
        <v>25</v>
      </c>
    </row>
    <row r="1036" spans="1:13" x14ac:dyDescent="0.25">
      <c r="A1036" s="4" t="s">
        <v>118</v>
      </c>
      <c r="B1036">
        <v>7172031004001300</v>
      </c>
      <c r="C1036">
        <v>64</v>
      </c>
      <c r="D1036">
        <v>23</v>
      </c>
      <c r="E1036">
        <v>1</v>
      </c>
      <c r="F1036">
        <v>6</v>
      </c>
      <c r="G1036">
        <v>34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region_summary__39[[#This Row],[APPROVED BY Pengawas]]+region_summary__39[[#This Row],[EDITED BY Admin Kabupaten]]</f>
        <v>29</v>
      </c>
    </row>
    <row r="1037" spans="1:13" x14ac:dyDescent="0.25">
      <c r="A1037" s="4" t="s">
        <v>118</v>
      </c>
      <c r="B1037">
        <v>7172031004001200</v>
      </c>
      <c r="C1037">
        <v>58</v>
      </c>
      <c r="D1037">
        <v>40</v>
      </c>
      <c r="E1037">
        <v>0</v>
      </c>
      <c r="F1037">
        <v>17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region_summary__39[[#This Row],[APPROVED BY Pengawas]]+region_summary__39[[#This Row],[EDITED BY Admin Kabupaten]]</f>
        <v>57</v>
      </c>
    </row>
    <row r="1038" spans="1:13" x14ac:dyDescent="0.25">
      <c r="A1038" s="4" t="s">
        <v>118</v>
      </c>
      <c r="B1038">
        <v>7172031004001600</v>
      </c>
      <c r="C1038">
        <v>48</v>
      </c>
      <c r="D1038">
        <v>27</v>
      </c>
      <c r="E1038">
        <v>0</v>
      </c>
      <c r="F1038">
        <v>0</v>
      </c>
      <c r="G1038">
        <v>21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region_summary__39[[#This Row],[APPROVED BY Pengawas]]+region_summary__39[[#This Row],[EDITED BY Admin Kabupaten]]</f>
        <v>27</v>
      </c>
    </row>
    <row r="1039" spans="1:13" x14ac:dyDescent="0.25">
      <c r="A1039" s="4" t="s">
        <v>118</v>
      </c>
      <c r="B1039">
        <v>7172031004001500</v>
      </c>
      <c r="C1039">
        <v>40</v>
      </c>
      <c r="D1039">
        <v>35</v>
      </c>
      <c r="E1039">
        <v>0</v>
      </c>
      <c r="F1039">
        <v>0</v>
      </c>
      <c r="G1039">
        <v>5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region_summary__39[[#This Row],[APPROVED BY Pengawas]]+region_summary__39[[#This Row],[EDITED BY Admin Kabupaten]]</f>
        <v>35</v>
      </c>
    </row>
    <row r="1040" spans="1:13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region_summary__39[[#This Row],[APPROVED BY Pengawas]]+region_summary__39[[#This Row],[EDITED BY Admin Kabupaten]]</f>
        <v>0</v>
      </c>
    </row>
    <row r="1041" spans="1:13" x14ac:dyDescent="0.25">
      <c r="A1041" s="4" t="s">
        <v>388</v>
      </c>
      <c r="B1041">
        <v>7172012004001600</v>
      </c>
      <c r="C1041">
        <v>148</v>
      </c>
      <c r="D1041">
        <v>9</v>
      </c>
      <c r="E1041">
        <v>0</v>
      </c>
      <c r="F1041">
        <v>0</v>
      </c>
      <c r="G1041">
        <v>139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region_summary__39[[#This Row],[APPROVED BY Pengawas]]+region_summary__39[[#This Row],[EDITED BY Admin Kabupaten]]</f>
        <v>9</v>
      </c>
    </row>
    <row r="1042" spans="1:13" x14ac:dyDescent="0.25">
      <c r="A1042" s="4" t="s">
        <v>388</v>
      </c>
      <c r="B1042">
        <v>7172012004001801</v>
      </c>
      <c r="C1042">
        <v>134</v>
      </c>
      <c r="D1042">
        <v>1</v>
      </c>
      <c r="E1042">
        <v>0</v>
      </c>
      <c r="F1042">
        <v>0</v>
      </c>
      <c r="G1042">
        <v>133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region_summary__39[[#This Row],[APPROVED BY Pengawas]]+region_summary__39[[#This Row],[EDITED BY Admin Kabupaten]]</f>
        <v>1</v>
      </c>
    </row>
    <row r="1043" spans="1:13" x14ac:dyDescent="0.25">
      <c r="A1043" s="4" t="s">
        <v>388</v>
      </c>
      <c r="B1043">
        <v>7172012004001702</v>
      </c>
      <c r="C1043">
        <v>128</v>
      </c>
      <c r="D1043">
        <v>48</v>
      </c>
      <c r="E1043">
        <v>0</v>
      </c>
      <c r="F1043">
        <v>1</v>
      </c>
      <c r="G1043">
        <v>79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region_summary__39[[#This Row],[APPROVED BY Pengawas]]+region_summary__39[[#This Row],[EDITED BY Admin Kabupaten]]</f>
        <v>49</v>
      </c>
    </row>
    <row r="1044" spans="1:13" x14ac:dyDescent="0.25">
      <c r="A1044" s="4" t="s">
        <v>388</v>
      </c>
      <c r="B1044">
        <v>7172012004001203</v>
      </c>
      <c r="C1044">
        <v>127</v>
      </c>
      <c r="D1044">
        <v>107</v>
      </c>
      <c r="E1044">
        <v>5</v>
      </c>
      <c r="F1044">
        <v>0</v>
      </c>
      <c r="G1044">
        <v>15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region_summary__39[[#This Row],[APPROVED BY Pengawas]]+region_summary__39[[#This Row],[EDITED BY Admin Kabupaten]]</f>
        <v>107</v>
      </c>
    </row>
    <row r="1045" spans="1:13" x14ac:dyDescent="0.25">
      <c r="A1045" s="4" t="s">
        <v>388</v>
      </c>
      <c r="B1045">
        <v>7172012004001500</v>
      </c>
      <c r="C1045">
        <v>106</v>
      </c>
      <c r="D1045">
        <v>1</v>
      </c>
      <c r="E1045">
        <v>0</v>
      </c>
      <c r="F1045">
        <v>0</v>
      </c>
      <c r="G1045">
        <v>105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region_summary__39[[#This Row],[APPROVED BY Pengawas]]+region_summary__39[[#This Row],[EDITED BY Admin Kabupaten]]</f>
        <v>1</v>
      </c>
    </row>
    <row r="1046" spans="1:13" x14ac:dyDescent="0.25">
      <c r="A1046" s="4" t="s">
        <v>388</v>
      </c>
      <c r="B1046">
        <v>7172012004001300</v>
      </c>
      <c r="C1046">
        <v>96</v>
      </c>
      <c r="D1046">
        <v>87</v>
      </c>
      <c r="E1046">
        <v>5</v>
      </c>
      <c r="F1046">
        <v>0</v>
      </c>
      <c r="G1046">
        <v>4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region_summary__39[[#This Row],[APPROVED BY Pengawas]]+region_summary__39[[#This Row],[EDITED BY Admin Kabupaten]]</f>
        <v>87</v>
      </c>
    </row>
    <row r="1047" spans="1:13" x14ac:dyDescent="0.25">
      <c r="A1047" s="4" t="s">
        <v>389</v>
      </c>
      <c r="B1047">
        <v>7172040003001502</v>
      </c>
      <c r="C1047">
        <v>253</v>
      </c>
      <c r="D1047">
        <v>236</v>
      </c>
      <c r="E1047">
        <v>4</v>
      </c>
      <c r="F1047">
        <v>0</v>
      </c>
      <c r="G1047">
        <v>11</v>
      </c>
      <c r="H1047">
        <v>0</v>
      </c>
      <c r="I1047">
        <v>0</v>
      </c>
      <c r="J1047">
        <v>0</v>
      </c>
      <c r="K1047">
        <v>2</v>
      </c>
      <c r="L1047">
        <v>0</v>
      </c>
      <c r="M1047">
        <f>region_summary__39[[#This Row],[APPROVED BY Pengawas]]+region_summary__39[[#This Row],[EDITED BY Admin Kabupaten]]</f>
        <v>236</v>
      </c>
    </row>
    <row r="1048" spans="1:13" x14ac:dyDescent="0.25">
      <c r="A1048" s="4" t="s">
        <v>389</v>
      </c>
      <c r="B1048">
        <v>7172040003001501</v>
      </c>
      <c r="C1048">
        <v>201</v>
      </c>
      <c r="D1048">
        <v>45</v>
      </c>
      <c r="E1048">
        <v>9</v>
      </c>
      <c r="F1048">
        <v>0</v>
      </c>
      <c r="G1048">
        <v>144</v>
      </c>
      <c r="H1048">
        <v>0</v>
      </c>
      <c r="I1048">
        <v>0</v>
      </c>
      <c r="J1048">
        <v>0</v>
      </c>
      <c r="K1048">
        <v>3</v>
      </c>
      <c r="L1048">
        <v>0</v>
      </c>
      <c r="M1048">
        <f>region_summary__39[[#This Row],[APPROVED BY Pengawas]]+region_summary__39[[#This Row],[EDITED BY Admin Kabupaten]]</f>
        <v>45</v>
      </c>
    </row>
    <row r="1049" spans="1:13" x14ac:dyDescent="0.25">
      <c r="A1049" s="4" t="s">
        <v>389</v>
      </c>
      <c r="B1049">
        <v>7172040003001301</v>
      </c>
      <c r="C1049">
        <v>136</v>
      </c>
      <c r="D1049">
        <v>0</v>
      </c>
      <c r="E1049">
        <v>0</v>
      </c>
      <c r="F1049">
        <v>0</v>
      </c>
      <c r="G1049">
        <v>136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region_summary__39[[#This Row],[APPROVED BY Pengawas]]+region_summary__39[[#This Row],[EDITED BY Admin Kabupaten]]</f>
        <v>0</v>
      </c>
    </row>
    <row r="1050" spans="1:13" x14ac:dyDescent="0.25">
      <c r="A1050" s="4" t="s">
        <v>389</v>
      </c>
      <c r="B1050">
        <v>7172040003001400</v>
      </c>
      <c r="C1050">
        <v>91</v>
      </c>
      <c r="D1050">
        <v>0</v>
      </c>
      <c r="E1050">
        <v>0</v>
      </c>
      <c r="F1050">
        <v>0</v>
      </c>
      <c r="G1050">
        <v>91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region_summary__39[[#This Row],[APPROVED BY Pengawas]]+region_summary__39[[#This Row],[EDITED BY Admin Kabupaten]]</f>
        <v>0</v>
      </c>
    </row>
    <row r="1051" spans="1:13" x14ac:dyDescent="0.25">
      <c r="A1051" s="4" t="s">
        <v>389</v>
      </c>
      <c r="B1051">
        <v>7172040003000800</v>
      </c>
      <c r="C1051">
        <v>88</v>
      </c>
      <c r="D1051">
        <v>71</v>
      </c>
      <c r="E1051">
        <v>13</v>
      </c>
      <c r="F1051">
        <v>1</v>
      </c>
      <c r="G1051">
        <v>0</v>
      </c>
      <c r="H1051">
        <v>0</v>
      </c>
      <c r="I1051">
        <v>0</v>
      </c>
      <c r="J1051">
        <v>1</v>
      </c>
      <c r="K1051">
        <v>2</v>
      </c>
      <c r="L1051">
        <v>0</v>
      </c>
      <c r="M1051">
        <f>region_summary__39[[#This Row],[APPROVED BY Pengawas]]+region_summary__39[[#This Row],[EDITED BY Admin Kabupaten]]</f>
        <v>72</v>
      </c>
    </row>
    <row r="1052" spans="1:13" x14ac:dyDescent="0.25">
      <c r="A1052" s="4" t="s">
        <v>389</v>
      </c>
      <c r="B1052">
        <v>7172040003001302</v>
      </c>
      <c r="C1052">
        <v>52</v>
      </c>
      <c r="D1052">
        <v>0</v>
      </c>
      <c r="E1052">
        <v>0</v>
      </c>
      <c r="F1052">
        <v>0</v>
      </c>
      <c r="G1052">
        <v>52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region_summary__39[[#This Row],[APPROVED BY Pengawas]]+region_summary__39[[#This Row],[EDITED BY Admin Kabupaten]]</f>
        <v>0</v>
      </c>
    </row>
    <row r="1053" spans="1:13" x14ac:dyDescent="0.25">
      <c r="A1053" s="4" t="s">
        <v>36</v>
      </c>
      <c r="B1053">
        <v>7172011003002401</v>
      </c>
      <c r="C1053">
        <v>195</v>
      </c>
      <c r="D1053">
        <v>154</v>
      </c>
      <c r="E1053">
        <v>11</v>
      </c>
      <c r="F1053">
        <v>0</v>
      </c>
      <c r="G1053">
        <v>0</v>
      </c>
      <c r="H1053">
        <v>0</v>
      </c>
      <c r="I1053">
        <v>4</v>
      </c>
      <c r="J1053">
        <v>0</v>
      </c>
      <c r="K1053">
        <v>26</v>
      </c>
      <c r="L1053">
        <v>0</v>
      </c>
      <c r="M1053">
        <f>region_summary__39[[#This Row],[APPROVED BY Pengawas]]+region_summary__39[[#This Row],[EDITED BY Admin Kabupaten]]</f>
        <v>154</v>
      </c>
    </row>
    <row r="1054" spans="1:13" x14ac:dyDescent="0.25">
      <c r="A1054" s="4" t="s">
        <v>36</v>
      </c>
      <c r="B1054">
        <v>7172011003002000</v>
      </c>
      <c r="C1054">
        <v>135</v>
      </c>
      <c r="D1054">
        <v>12</v>
      </c>
      <c r="E1054">
        <v>19</v>
      </c>
      <c r="F1054">
        <v>0</v>
      </c>
      <c r="G1054">
        <v>45</v>
      </c>
      <c r="H1054">
        <v>0</v>
      </c>
      <c r="I1054">
        <v>0</v>
      </c>
      <c r="J1054">
        <v>0</v>
      </c>
      <c r="K1054">
        <v>59</v>
      </c>
      <c r="L1054">
        <v>0</v>
      </c>
      <c r="M1054">
        <f>region_summary__39[[#This Row],[APPROVED BY Pengawas]]+region_summary__39[[#This Row],[EDITED BY Admin Kabupaten]]</f>
        <v>12</v>
      </c>
    </row>
    <row r="1055" spans="1:13" x14ac:dyDescent="0.25">
      <c r="A1055" s="4" t="s">
        <v>36</v>
      </c>
      <c r="B1055">
        <v>7172011003002100</v>
      </c>
      <c r="C1055">
        <v>116</v>
      </c>
      <c r="D1055">
        <v>0</v>
      </c>
      <c r="E1055">
        <v>0</v>
      </c>
      <c r="F1055">
        <v>0</v>
      </c>
      <c r="G1055">
        <v>116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region_summary__39[[#This Row],[APPROVED BY Pengawas]]+region_summary__39[[#This Row],[EDITED BY Admin Kabupaten]]</f>
        <v>0</v>
      </c>
    </row>
    <row r="1056" spans="1:13" x14ac:dyDescent="0.25">
      <c r="A1056" s="4" t="s">
        <v>36</v>
      </c>
      <c r="B1056">
        <v>7172011003002300</v>
      </c>
      <c r="C1056">
        <v>114</v>
      </c>
      <c r="D1056">
        <v>0</v>
      </c>
      <c r="E1056">
        <v>0</v>
      </c>
      <c r="F1056">
        <v>0</v>
      </c>
      <c r="G1056">
        <v>114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region_summary__39[[#This Row],[APPROVED BY Pengawas]]+region_summary__39[[#This Row],[EDITED BY Admin Kabupaten]]</f>
        <v>0</v>
      </c>
    </row>
    <row r="1057" spans="1:13" x14ac:dyDescent="0.25">
      <c r="A1057" s="4" t="s">
        <v>36</v>
      </c>
      <c r="B1057">
        <v>7172011003002402</v>
      </c>
      <c r="C1057">
        <v>92</v>
      </c>
      <c r="D1057">
        <v>54</v>
      </c>
      <c r="E1057">
        <v>14</v>
      </c>
      <c r="F1057">
        <v>0</v>
      </c>
      <c r="G1057">
        <v>6</v>
      </c>
      <c r="H1057">
        <v>0</v>
      </c>
      <c r="I1057">
        <v>0</v>
      </c>
      <c r="J1057">
        <v>0</v>
      </c>
      <c r="K1057">
        <v>18</v>
      </c>
      <c r="L1057">
        <v>0</v>
      </c>
      <c r="M1057">
        <f>region_summary__39[[#This Row],[APPROVED BY Pengawas]]+region_summary__39[[#This Row],[EDITED BY Admin Kabupaten]]</f>
        <v>54</v>
      </c>
    </row>
    <row r="1058" spans="1:13" x14ac:dyDescent="0.25">
      <c r="A1058" s="4" t="s">
        <v>36</v>
      </c>
      <c r="B1058">
        <v>7172011003002200</v>
      </c>
      <c r="C1058">
        <v>55</v>
      </c>
      <c r="D1058">
        <v>0</v>
      </c>
      <c r="E1058">
        <v>0</v>
      </c>
      <c r="F1058">
        <v>0</v>
      </c>
      <c r="G1058">
        <v>55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region_summary__39[[#This Row],[APPROVED BY Pengawas]]+region_summary__39[[#This Row],[EDITED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393</v>
      </c>
      <c r="B1" t="s">
        <v>394</v>
      </c>
      <c r="C1" t="s">
        <v>392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401</v>
      </c>
    </row>
    <row r="2" spans="1:1" x14ac:dyDescent="0.25">
      <c r="A2" s="1">
        <f ca="1">TODAY()-1</f>
        <v>46218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DATA</vt:lpstr>
      <vt:lpstr>HARIAN</vt:lpstr>
      <vt:lpstr>PPL</vt:lpstr>
      <vt:lpstr>PML</vt:lpstr>
      <vt:lpstr>region_summary (39)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2026-07-15T23:55:42Z</dcterms:modified>
</cp:coreProperties>
</file>